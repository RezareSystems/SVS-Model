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SVS\modelCsharp\"/>
    </mc:Choice>
  </mc:AlternateContent>
  <xr:revisionPtr revIDLastSave="0" documentId="8_{5B8A85DA-1424-429A-931F-C6F555070ABB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BulkDensity">ConceptDemo!$D$23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Interface'!$P$6:$AB$999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">ConceptDemo!$D$20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1" l="1"/>
  <c r="B7" i="3" s="1"/>
  <c r="D21" i="1"/>
  <c r="B4" i="3" s="1"/>
  <c r="D20" i="1"/>
  <c r="B6" i="3" s="1"/>
  <c r="D22" i="1"/>
  <c r="B3" i="3" s="1"/>
  <c r="D9" i="1"/>
  <c r="D10" i="1" s="1"/>
  <c r="D25" i="1"/>
  <c r="B10" i="3" s="1"/>
  <c r="D72" i="1"/>
  <c r="B11" i="3" s="1"/>
  <c r="G4" i="1"/>
  <c r="B12" i="3" s="1"/>
  <c r="G5" i="1"/>
  <c r="B13" i="3" s="1"/>
  <c r="G6" i="1"/>
  <c r="B14" i="3" s="1"/>
  <c r="C25" i="1"/>
  <c r="B1" i="1"/>
  <c r="G55" i="1"/>
  <c r="B25" i="3" s="1"/>
  <c r="G66" i="1"/>
  <c r="B47" i="3" s="1"/>
  <c r="G15" i="1"/>
  <c r="B36" i="3" s="1"/>
  <c r="G65" i="1"/>
  <c r="B46" i="3" s="1"/>
  <c r="G54" i="1"/>
  <c r="B24" i="3" s="1"/>
  <c r="G14" i="1"/>
  <c r="B35" i="3" s="1"/>
  <c r="D7" i="1"/>
  <c r="D8" i="1" s="1"/>
  <c r="D71" i="1"/>
  <c r="B9" i="3" s="1"/>
  <c r="D70" i="1"/>
  <c r="B8" i="3" s="1"/>
  <c r="B2" i="3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M1" i="4"/>
  <c r="L2" i="4"/>
  <c r="K3" i="4"/>
  <c r="J4" i="4"/>
  <c r="I5" i="4"/>
  <c r="H6" i="4"/>
  <c r="G7" i="4"/>
  <c r="F8" i="4"/>
  <c r="E9" i="4"/>
  <c r="D10" i="4"/>
  <c r="V10" i="4"/>
  <c r="F11" i="4"/>
  <c r="V11" i="4"/>
  <c r="E12" i="4"/>
  <c r="U12" i="4"/>
  <c r="D13" i="4"/>
  <c r="T13" i="4"/>
  <c r="C14" i="4"/>
  <c r="S14" i="4"/>
  <c r="B15" i="4"/>
  <c r="R15" i="4"/>
  <c r="A16" i="4"/>
  <c r="Q16" i="4"/>
  <c r="AG16" i="4"/>
  <c r="P17" i="4"/>
  <c r="AF17" i="4"/>
  <c r="O18" i="4"/>
  <c r="AC18" i="4"/>
  <c r="J19" i="4"/>
  <c r="U19" i="4"/>
  <c r="B20" i="4"/>
  <c r="M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O25" i="4"/>
  <c r="W25" i="4"/>
  <c r="AE25" i="4"/>
  <c r="F26" i="4"/>
  <c r="N26" i="4"/>
  <c r="V26" i="4"/>
  <c r="AD26" i="4"/>
  <c r="E27" i="4"/>
  <c r="M27" i="4"/>
  <c r="U27" i="4"/>
  <c r="AC27" i="4"/>
  <c r="D28" i="4"/>
  <c r="L28" i="4"/>
  <c r="T28" i="4"/>
  <c r="AB28" i="4"/>
  <c r="C29" i="4"/>
  <c r="K29" i="4"/>
  <c r="S29" i="4"/>
  <c r="AA29" i="4"/>
  <c r="B30" i="4"/>
  <c r="J30" i="4"/>
  <c r="R30" i="4"/>
  <c r="Z30" i="4"/>
  <c r="A31" i="4"/>
  <c r="I31" i="4"/>
  <c r="Q31" i="4"/>
  <c r="Y31" i="4"/>
  <c r="AG31" i="4"/>
  <c r="H32" i="4"/>
  <c r="P32" i="4"/>
  <c r="X32" i="4"/>
  <c r="AF32" i="4"/>
  <c r="G33" i="4"/>
  <c r="O33" i="4"/>
  <c r="W33" i="4"/>
  <c r="AE33" i="4"/>
  <c r="N1" i="4"/>
  <c r="M2" i="4"/>
  <c r="L3" i="4"/>
  <c r="K4" i="4"/>
  <c r="J5" i="4"/>
  <c r="I6" i="4"/>
  <c r="H7" i="4"/>
  <c r="G8" i="4"/>
  <c r="F9" i="4"/>
  <c r="E10" i="4"/>
  <c r="AB10" i="4"/>
  <c r="K11" i="4"/>
  <c r="AA11" i="4"/>
  <c r="J12" i="4"/>
  <c r="Z12" i="4"/>
  <c r="I13" i="4"/>
  <c r="Y13" i="4"/>
  <c r="H14" i="4"/>
  <c r="X14" i="4"/>
  <c r="G15" i="4"/>
  <c r="W15" i="4"/>
  <c r="F16" i="4"/>
  <c r="V16" i="4"/>
  <c r="E17" i="4"/>
  <c r="U17" i="4"/>
  <c r="D18" i="4"/>
  <c r="S18" i="4"/>
  <c r="AD18" i="4"/>
  <c r="K19" i="4"/>
  <c r="V19" i="4"/>
  <c r="C20" i="4"/>
  <c r="Q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X33" i="4"/>
  <c r="U1" i="4"/>
  <c r="T2" i="4"/>
  <c r="S3" i="4"/>
  <c r="R4" i="4"/>
  <c r="Q5" i="4"/>
  <c r="P6" i="4"/>
  <c r="O7" i="4"/>
  <c r="N8" i="4"/>
  <c r="M9" i="4"/>
  <c r="F10" i="4"/>
  <c r="AC10" i="4"/>
  <c r="L11" i="4"/>
  <c r="AB11" i="4"/>
  <c r="K12" i="4"/>
  <c r="AA12" i="4"/>
  <c r="J13" i="4"/>
  <c r="Z13" i="4"/>
  <c r="I14" i="4"/>
  <c r="Y14" i="4"/>
  <c r="H15" i="4"/>
  <c r="X15" i="4"/>
  <c r="G16" i="4"/>
  <c r="W16" i="4"/>
  <c r="F17" i="4"/>
  <c r="V17" i="4"/>
  <c r="E18" i="4"/>
  <c r="T18" i="4"/>
  <c r="AE18" i="4"/>
  <c r="L19" i="4"/>
  <c r="Z19" i="4"/>
  <c r="D20" i="4"/>
  <c r="R20" i="4"/>
  <c r="AC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V1" i="4"/>
  <c r="U2" i="4"/>
  <c r="T3" i="4"/>
  <c r="S4" i="4"/>
  <c r="R5" i="4"/>
  <c r="Q6" i="4"/>
  <c r="P7" i="4"/>
  <c r="O8" i="4"/>
  <c r="N9" i="4"/>
  <c r="L10" i="4"/>
  <c r="AD10" i="4"/>
  <c r="M11" i="4"/>
  <c r="AC11" i="4"/>
  <c r="L12" i="4"/>
  <c r="AB12" i="4"/>
  <c r="K13" i="4"/>
  <c r="AA13" i="4"/>
  <c r="J14" i="4"/>
  <c r="Z14" i="4"/>
  <c r="I15" i="4"/>
  <c r="Y15" i="4"/>
  <c r="H16" i="4"/>
  <c r="X16" i="4"/>
  <c r="G17" i="4"/>
  <c r="W17" i="4"/>
  <c r="F18" i="4"/>
  <c r="U18" i="4"/>
  <c r="B19" i="4"/>
  <c r="M19" i="4"/>
  <c r="AA19" i="4"/>
  <c r="E20" i="4"/>
  <c r="S20" i="4"/>
  <c r="AG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AC1" i="4"/>
  <c r="AB2" i="4"/>
  <c r="AA3" i="4"/>
  <c r="Z4" i="4"/>
  <c r="Y5" i="4"/>
  <c r="X6" i="4"/>
  <c r="W7" i="4"/>
  <c r="V8" i="4"/>
  <c r="U9" i="4"/>
  <c r="M10" i="4"/>
  <c r="AE10" i="4"/>
  <c r="N11" i="4"/>
  <c r="AD11" i="4"/>
  <c r="M12" i="4"/>
  <c r="AC12" i="4"/>
  <c r="L13" i="4"/>
  <c r="AB13" i="4"/>
  <c r="K14" i="4"/>
  <c r="AA14" i="4"/>
  <c r="J15" i="4"/>
  <c r="Z15" i="4"/>
  <c r="I16" i="4"/>
  <c r="Y16" i="4"/>
  <c r="H17" i="4"/>
  <c r="X17" i="4"/>
  <c r="G18" i="4"/>
  <c r="V18" i="4"/>
  <c r="C19" i="4"/>
  <c r="N19" i="4"/>
  <c r="AB19" i="4"/>
  <c r="I20" i="4"/>
  <c r="T20" i="4"/>
  <c r="A21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AD1" i="4"/>
  <c r="AC2" i="4"/>
  <c r="AB3" i="4"/>
  <c r="AA4" i="4"/>
  <c r="Z5" i="4"/>
  <c r="Y6" i="4"/>
  <c r="X7" i="4"/>
  <c r="W8" i="4"/>
  <c r="V9" i="4"/>
  <c r="N10" i="4"/>
  <c r="C11" i="4"/>
  <c r="S11" i="4"/>
  <c r="B12" i="4"/>
  <c r="R12" i="4"/>
  <c r="A13" i="4"/>
  <c r="Q13" i="4"/>
  <c r="AG13" i="4"/>
  <c r="P14" i="4"/>
  <c r="AF14" i="4"/>
  <c r="O15" i="4"/>
  <c r="AE15" i="4"/>
  <c r="N16" i="4"/>
  <c r="AD16" i="4"/>
  <c r="M17" i="4"/>
  <c r="AC17" i="4"/>
  <c r="L18" i="4"/>
  <c r="W18" i="4"/>
  <c r="D19" i="4"/>
  <c r="R19" i="4"/>
  <c r="AC19" i="4"/>
  <c r="J20" i="4"/>
  <c r="U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E1" i="4"/>
  <c r="A5" i="4"/>
  <c r="AD8" i="4"/>
  <c r="T11" i="4"/>
  <c r="R13" i="4"/>
  <c r="P15" i="4"/>
  <c r="N17" i="4"/>
  <c r="E19" i="4"/>
  <c r="Y20" i="4"/>
  <c r="AG21" i="4"/>
  <c r="AF22" i="4"/>
  <c r="AE23" i="4"/>
  <c r="AD24" i="4"/>
  <c r="AC25" i="4"/>
  <c r="U26" i="4"/>
  <c r="K27" i="4"/>
  <c r="A28" i="4"/>
  <c r="S28" i="4"/>
  <c r="B29" i="4"/>
  <c r="R29" i="4"/>
  <c r="A30" i="4"/>
  <c r="Q30" i="4"/>
  <c r="AG30" i="4"/>
  <c r="P31" i="4"/>
  <c r="AF31" i="4"/>
  <c r="N32" i="4"/>
  <c r="AB32" i="4"/>
  <c r="F33" i="4"/>
  <c r="R33" i="4"/>
  <c r="AB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X38" i="4"/>
  <c r="AF38" i="4"/>
  <c r="G39" i="4"/>
  <c r="O39" i="4"/>
  <c r="W39" i="4"/>
  <c r="AE39" i="4"/>
  <c r="F40" i="4"/>
  <c r="N40" i="4"/>
  <c r="V40" i="4"/>
  <c r="AD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D2" i="4"/>
  <c r="AG5" i="4"/>
  <c r="AC9" i="4"/>
  <c r="C12" i="4"/>
  <c r="A14" i="4"/>
  <c r="AF15" i="4"/>
  <c r="AD17" i="4"/>
  <c r="S19" i="4"/>
  <c r="C21" i="4"/>
  <c r="H22" i="4"/>
  <c r="G23" i="4"/>
  <c r="F24" i="4"/>
  <c r="E25" i="4"/>
  <c r="D26" i="4"/>
  <c r="AB26" i="4"/>
  <c r="R27" i="4"/>
  <c r="C28" i="4"/>
  <c r="Y28" i="4"/>
  <c r="H29" i="4"/>
  <c r="X29" i="4"/>
  <c r="G30" i="4"/>
  <c r="W30" i="4"/>
  <c r="F31" i="4"/>
  <c r="V31" i="4"/>
  <c r="E32" i="4"/>
  <c r="S32" i="4"/>
  <c r="AD32" i="4"/>
  <c r="J33" i="4"/>
  <c r="T33" i="4"/>
  <c r="AD33" i="4"/>
  <c r="F34" i="4"/>
  <c r="N34" i="4"/>
  <c r="V34" i="4"/>
  <c r="AD34" i="4"/>
  <c r="E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E2" i="4"/>
  <c r="A6" i="4"/>
  <c r="AD9" i="4"/>
  <c r="D12" i="4"/>
  <c r="B14" i="4"/>
  <c r="AG15" i="4"/>
  <c r="AE17" i="4"/>
  <c r="T19" i="4"/>
  <c r="D21" i="4"/>
  <c r="I22" i="4"/>
  <c r="H23" i="4"/>
  <c r="G24" i="4"/>
  <c r="F25" i="4"/>
  <c r="E26" i="4"/>
  <c r="AC26" i="4"/>
  <c r="S27" i="4"/>
  <c r="I28" i="4"/>
  <c r="Z28" i="4"/>
  <c r="I29" i="4"/>
  <c r="Y29" i="4"/>
  <c r="H30" i="4"/>
  <c r="X30" i="4"/>
  <c r="G31" i="4"/>
  <c r="W31" i="4"/>
  <c r="F32" i="4"/>
  <c r="T32" i="4"/>
  <c r="AE32" i="4"/>
  <c r="K33" i="4"/>
  <c r="U33" i="4"/>
  <c r="AF33" i="4"/>
  <c r="G34" i="4"/>
  <c r="O34" i="4"/>
  <c r="W34" i="4"/>
  <c r="AE34" i="4"/>
  <c r="F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D3" i="4"/>
  <c r="AG6" i="4"/>
  <c r="U10" i="4"/>
  <c r="T12" i="4"/>
  <c r="R14" i="4"/>
  <c r="P16" i="4"/>
  <c r="N18" i="4"/>
  <c r="A20" i="4"/>
  <c r="R21" i="4"/>
  <c r="Q22" i="4"/>
  <c r="P23" i="4"/>
  <c r="O24" i="4"/>
  <c r="N25" i="4"/>
  <c r="M26" i="4"/>
  <c r="C27" i="4"/>
  <c r="Z27" i="4"/>
  <c r="K28" i="4"/>
  <c r="AF28" i="4"/>
  <c r="O29" i="4"/>
  <c r="AE29" i="4"/>
  <c r="N30" i="4"/>
  <c r="AD30" i="4"/>
  <c r="M31" i="4"/>
  <c r="AC31" i="4"/>
  <c r="K32" i="4"/>
  <c r="V32" i="4"/>
  <c r="C33" i="4"/>
  <c r="M33" i="4"/>
  <c r="Y33" i="4"/>
  <c r="A34" i="4"/>
  <c r="I34" i="4"/>
  <c r="Q34" i="4"/>
  <c r="Y34" i="4"/>
  <c r="AG34" i="4"/>
  <c r="H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R41" i="4"/>
  <c r="Z41" i="4"/>
  <c r="A42" i="4"/>
  <c r="I42" i="4"/>
  <c r="Q42" i="4"/>
  <c r="Y42" i="4"/>
  <c r="AG42" i="4"/>
  <c r="B4" i="4"/>
  <c r="AE7" i="4"/>
  <c r="D11" i="4"/>
  <c r="B13" i="4"/>
  <c r="AG14" i="4"/>
  <c r="AE16" i="4"/>
  <c r="AA18" i="4"/>
  <c r="K20" i="4"/>
  <c r="Y21" i="4"/>
  <c r="X22" i="4"/>
  <c r="W23" i="4"/>
  <c r="V24" i="4"/>
  <c r="U25" i="4"/>
  <c r="S26" i="4"/>
  <c r="D27" i="4"/>
  <c r="AA27" i="4"/>
  <c r="Q28" i="4"/>
  <c r="AG28" i="4"/>
  <c r="P29" i="4"/>
  <c r="AF29" i="4"/>
  <c r="O30" i="4"/>
  <c r="AE30" i="4"/>
  <c r="N31" i="4"/>
  <c r="AD31" i="4"/>
  <c r="L32" i="4"/>
  <c r="W32" i="4"/>
  <c r="D33" i="4"/>
  <c r="N33" i="4"/>
  <c r="Z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C41" i="4"/>
  <c r="K41" i="4"/>
  <c r="S41" i="4"/>
  <c r="AA41" i="4"/>
  <c r="B42" i="4"/>
  <c r="J42" i="4"/>
  <c r="R42" i="4"/>
  <c r="Z42" i="4"/>
  <c r="A43" i="4"/>
  <c r="I43" i="4"/>
  <c r="Q43" i="4"/>
  <c r="Y43" i="4"/>
  <c r="AG43" i="4"/>
  <c r="C4" i="4"/>
  <c r="AF7" i="4"/>
  <c r="E11" i="4"/>
  <c r="C13" i="4"/>
  <c r="A15" i="4"/>
  <c r="AF16" i="4"/>
  <c r="AB18" i="4"/>
  <c r="L20" i="4"/>
  <c r="Z21" i="4"/>
  <c r="Y22" i="4"/>
  <c r="X23" i="4"/>
  <c r="W24" i="4"/>
  <c r="V25" i="4"/>
  <c r="T26" i="4"/>
  <c r="J27" i="4"/>
  <c r="AB27" i="4"/>
  <c r="R28" i="4"/>
  <c r="A29" i="4"/>
  <c r="Q29" i="4"/>
  <c r="AG29" i="4"/>
  <c r="P30" i="4"/>
  <c r="AF30" i="4"/>
  <c r="O31" i="4"/>
  <c r="AE31" i="4"/>
  <c r="M32" i="4"/>
  <c r="AA32" i="4"/>
  <c r="E33" i="4"/>
  <c r="Q33" i="4"/>
  <c r="AA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L41" i="4"/>
  <c r="T41" i="4"/>
  <c r="AB41" i="4"/>
  <c r="C42" i="4"/>
  <c r="K42" i="4"/>
  <c r="S42" i="4"/>
  <c r="AA42" i="4"/>
  <c r="B43" i="4"/>
  <c r="J43" i="4"/>
  <c r="F1" i="4"/>
  <c r="S13" i="4"/>
  <c r="Z20" i="4"/>
  <c r="AE24" i="4"/>
  <c r="B28" i="4"/>
  <c r="F30" i="4"/>
  <c r="D32" i="4"/>
  <c r="S33" i="4"/>
  <c r="U34" i="4"/>
  <c r="T35" i="4"/>
  <c r="S36" i="4"/>
  <c r="R37" i="4"/>
  <c r="Q38" i="4"/>
  <c r="P39" i="4"/>
  <c r="O40" i="4"/>
  <c r="N41" i="4"/>
  <c r="M42" i="4"/>
  <c r="H43" i="4"/>
  <c r="Z43" i="4"/>
  <c r="H44" i="4"/>
  <c r="V44" i="4"/>
  <c r="AG44" i="4"/>
  <c r="N45" i="4"/>
  <c r="Z45" i="4"/>
  <c r="F46" i="4"/>
  <c r="T46" i="4"/>
  <c r="AE46" i="4"/>
  <c r="L47" i="4"/>
  <c r="U47" i="4"/>
  <c r="AC47" i="4"/>
  <c r="D48" i="4"/>
  <c r="L48" i="4"/>
  <c r="T48" i="4"/>
  <c r="AB48" i="4"/>
  <c r="C49" i="4"/>
  <c r="K49" i="4"/>
  <c r="S49" i="4"/>
  <c r="AA49" i="4"/>
  <c r="B50" i="4"/>
  <c r="J50" i="4"/>
  <c r="R50" i="4"/>
  <c r="Z50" i="4"/>
  <c r="A51" i="4"/>
  <c r="I51" i="4"/>
  <c r="Q51" i="4"/>
  <c r="Y51" i="4"/>
  <c r="AG51" i="4"/>
  <c r="H52" i="4"/>
  <c r="P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B5" i="4"/>
  <c r="Q15" i="4"/>
  <c r="A22" i="4"/>
  <c r="AD25" i="4"/>
  <c r="X28" i="4"/>
  <c r="V30" i="4"/>
  <c r="O32" i="4"/>
  <c r="AC33" i="4"/>
  <c r="AC34" i="4"/>
  <c r="AB35" i="4"/>
  <c r="AA36" i="4"/>
  <c r="Z37" i="4"/>
  <c r="Y38" i="4"/>
  <c r="X39" i="4"/>
  <c r="W40" i="4"/>
  <c r="V41" i="4"/>
  <c r="U42" i="4"/>
  <c r="O43" i="4"/>
  <c r="AE43" i="4"/>
  <c r="K44" i="4"/>
  <c r="X44" i="4"/>
  <c r="E45" i="4"/>
  <c r="P45" i="4"/>
  <c r="AD45" i="4"/>
  <c r="I46" i="4"/>
  <c r="V46" i="4"/>
  <c r="C47" i="4"/>
  <c r="N47" i="4"/>
  <c r="W47" i="4"/>
  <c r="AE47" i="4"/>
  <c r="F48" i="4"/>
  <c r="N48" i="4"/>
  <c r="V48" i="4"/>
  <c r="AD48" i="4"/>
  <c r="E49" i="4"/>
  <c r="M49" i="4"/>
  <c r="U49" i="4"/>
  <c r="AC49" i="4"/>
  <c r="D50" i="4"/>
  <c r="L50" i="4"/>
  <c r="T50" i="4"/>
  <c r="AB50" i="4"/>
  <c r="C51" i="4"/>
  <c r="K51" i="4"/>
  <c r="S51" i="4"/>
  <c r="AA51" i="4"/>
  <c r="B52" i="4"/>
  <c r="J52" i="4"/>
  <c r="R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AF6" i="4"/>
  <c r="O16" i="4"/>
  <c r="P22" i="4"/>
  <c r="L26" i="4"/>
  <c r="AA28" i="4"/>
  <c r="Y30" i="4"/>
  <c r="U32" i="4"/>
  <c r="AG33" i="4"/>
  <c r="AF34" i="4"/>
  <c r="AE35" i="4"/>
  <c r="AD36" i="4"/>
  <c r="AC37" i="4"/>
  <c r="AB38" i="4"/>
  <c r="AA39" i="4"/>
  <c r="Z40" i="4"/>
  <c r="Y41" i="4"/>
  <c r="X42" i="4"/>
  <c r="P43" i="4"/>
  <c r="AF43" i="4"/>
  <c r="N44" i="4"/>
  <c r="Y44" i="4"/>
  <c r="F45" i="4"/>
  <c r="R45" i="4"/>
  <c r="AE45" i="4"/>
  <c r="L46" i="4"/>
  <c r="W46" i="4"/>
  <c r="D47" i="4"/>
  <c r="O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U58" i="4"/>
  <c r="AC58" i="4"/>
  <c r="D59" i="4"/>
  <c r="L59" i="4"/>
  <c r="T59" i="4"/>
  <c r="AB59" i="4"/>
  <c r="C60" i="4"/>
  <c r="K60" i="4"/>
  <c r="S60" i="4"/>
  <c r="AA60" i="4"/>
  <c r="B61" i="4"/>
  <c r="J61" i="4"/>
  <c r="R61" i="4"/>
  <c r="AE8" i="4"/>
  <c r="O17" i="4"/>
  <c r="AG22" i="4"/>
  <c r="AA26" i="4"/>
  <c r="G29" i="4"/>
  <c r="E31" i="4"/>
  <c r="AC32" i="4"/>
  <c r="E34" i="4"/>
  <c r="D35" i="4"/>
  <c r="C36" i="4"/>
  <c r="B37" i="4"/>
  <c r="A38" i="4"/>
  <c r="AG38" i="4"/>
  <c r="AF39" i="4"/>
  <c r="AE40" i="4"/>
  <c r="AD41" i="4"/>
  <c r="AC42" i="4"/>
  <c r="R43" i="4"/>
  <c r="A44" i="4"/>
  <c r="O44" i="4"/>
  <c r="AA44" i="4"/>
  <c r="G45" i="4"/>
  <c r="U45" i="4"/>
  <c r="AF45" i="4"/>
  <c r="M46" i="4"/>
  <c r="Y46" i="4"/>
  <c r="E47" i="4"/>
  <c r="P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U11" i="4"/>
  <c r="F19" i="4"/>
  <c r="AF23" i="4"/>
  <c r="L27" i="4"/>
  <c r="W29" i="4"/>
  <c r="U31" i="4"/>
  <c r="I33" i="4"/>
  <c r="M34" i="4"/>
  <c r="L35" i="4"/>
  <c r="K36" i="4"/>
  <c r="J37" i="4"/>
  <c r="I38" i="4"/>
  <c r="H39" i="4"/>
  <c r="G40" i="4"/>
  <c r="F41" i="4"/>
  <c r="E42" i="4"/>
  <c r="D43" i="4"/>
  <c r="W43" i="4"/>
  <c r="F44" i="4"/>
  <c r="Q44" i="4"/>
  <c r="AE44" i="4"/>
  <c r="J45" i="4"/>
  <c r="W45" i="4"/>
  <c r="D46" i="4"/>
  <c r="O46" i="4"/>
  <c r="AC46" i="4"/>
  <c r="H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12" i="4"/>
  <c r="AD19" i="4"/>
  <c r="N24" i="4"/>
  <c r="T27" i="4"/>
  <c r="Z29" i="4"/>
  <c r="X31" i="4"/>
  <c r="L33" i="4"/>
  <c r="P34" i="4"/>
  <c r="O35" i="4"/>
  <c r="N36" i="4"/>
  <c r="M37" i="4"/>
  <c r="L38" i="4"/>
  <c r="K39" i="4"/>
  <c r="J40" i="4"/>
  <c r="I41" i="4"/>
  <c r="H42" i="4"/>
  <c r="G43" i="4"/>
  <c r="X43" i="4"/>
  <c r="G44" i="4"/>
  <c r="S44" i="4"/>
  <c r="AF44" i="4"/>
  <c r="M45" i="4"/>
  <c r="X45" i="4"/>
  <c r="E46" i="4"/>
  <c r="Q46" i="4"/>
  <c r="AD46" i="4"/>
  <c r="K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W52" i="4"/>
  <c r="AE52" i="4"/>
  <c r="F53" i="4"/>
  <c r="N53" i="4"/>
  <c r="V53" i="4"/>
  <c r="AD53" i="4"/>
  <c r="E54" i="4"/>
  <c r="M54" i="4"/>
  <c r="U54" i="4"/>
  <c r="AC54" i="4"/>
  <c r="D55" i="4"/>
  <c r="L55" i="4"/>
  <c r="C3" i="4"/>
  <c r="J28" i="4"/>
  <c r="X34" i="4"/>
  <c r="T38" i="4"/>
  <c r="P42" i="4"/>
  <c r="W44" i="4"/>
  <c r="G46" i="4"/>
  <c r="V47" i="4"/>
  <c r="U48" i="4"/>
  <c r="T49" i="4"/>
  <c r="S50" i="4"/>
  <c r="R51" i="4"/>
  <c r="Q52" i="4"/>
  <c r="P53" i="4"/>
  <c r="O54" i="4"/>
  <c r="N55" i="4"/>
  <c r="AD55" i="4"/>
  <c r="M56" i="4"/>
  <c r="AC56" i="4"/>
  <c r="L57" i="4"/>
  <c r="AB57" i="4"/>
  <c r="K58" i="4"/>
  <c r="AA58" i="4"/>
  <c r="J59" i="4"/>
  <c r="Z59" i="4"/>
  <c r="I60" i="4"/>
  <c r="Y60" i="4"/>
  <c r="H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I74" i="4"/>
  <c r="Q74" i="4"/>
  <c r="Y74" i="4"/>
  <c r="AG74" i="4"/>
  <c r="H75" i="4"/>
  <c r="P75" i="4"/>
  <c r="X75" i="4"/>
  <c r="AF75" i="4"/>
  <c r="G76" i="4"/>
  <c r="O76" i="4"/>
  <c r="W76" i="4"/>
  <c r="AE76" i="4"/>
  <c r="F77" i="4"/>
  <c r="N77" i="4"/>
  <c r="V77" i="4"/>
  <c r="AD77" i="4"/>
  <c r="Q14" i="4"/>
  <c r="I30" i="4"/>
  <c r="W35" i="4"/>
  <c r="S39" i="4"/>
  <c r="L43" i="4"/>
  <c r="B45" i="4"/>
  <c r="U46" i="4"/>
  <c r="AD47" i="4"/>
  <c r="AC48" i="4"/>
  <c r="AB49" i="4"/>
  <c r="AA50" i="4"/>
  <c r="Z51" i="4"/>
  <c r="Y52" i="4"/>
  <c r="X53" i="4"/>
  <c r="W54" i="4"/>
  <c r="S55" i="4"/>
  <c r="B56" i="4"/>
  <c r="R56" i="4"/>
  <c r="A57" i="4"/>
  <c r="Q57" i="4"/>
  <c r="AG57" i="4"/>
  <c r="P58" i="4"/>
  <c r="AF58" i="4"/>
  <c r="O59" i="4"/>
  <c r="AE59" i="4"/>
  <c r="N60" i="4"/>
  <c r="AD60" i="4"/>
  <c r="M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M18" i="4"/>
  <c r="H31" i="4"/>
  <c r="F36" i="4"/>
  <c r="B40" i="4"/>
  <c r="T43" i="4"/>
  <c r="H45" i="4"/>
  <c r="AB46" i="4"/>
  <c r="A48" i="4"/>
  <c r="AG48" i="4"/>
  <c r="AF49" i="4"/>
  <c r="AE50" i="4"/>
  <c r="AD51" i="4"/>
  <c r="AC52" i="4"/>
  <c r="AB53" i="4"/>
  <c r="AA54" i="4"/>
  <c r="T55" i="4"/>
  <c r="C56" i="4"/>
  <c r="S56" i="4"/>
  <c r="B57" i="4"/>
  <c r="R57" i="4"/>
  <c r="A58" i="4"/>
  <c r="Q58" i="4"/>
  <c r="AG58" i="4"/>
  <c r="P59" i="4"/>
  <c r="AF59" i="4"/>
  <c r="O60" i="4"/>
  <c r="AE60" i="4"/>
  <c r="N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J76" i="4"/>
  <c r="R76" i="4"/>
  <c r="Z76" i="4"/>
  <c r="A77" i="4"/>
  <c r="I77" i="4"/>
  <c r="Q77" i="4"/>
  <c r="Y77" i="4"/>
  <c r="AG77" i="4"/>
  <c r="Q21" i="4"/>
  <c r="G32" i="4"/>
  <c r="V36" i="4"/>
  <c r="R40" i="4"/>
  <c r="AB43" i="4"/>
  <c r="O45" i="4"/>
  <c r="AG46" i="4"/>
  <c r="E48" i="4"/>
  <c r="D49" i="4"/>
  <c r="C50" i="4"/>
  <c r="B51" i="4"/>
  <c r="A52" i="4"/>
  <c r="AG52" i="4"/>
  <c r="AF53" i="4"/>
  <c r="AE54" i="4"/>
  <c r="V55" i="4"/>
  <c r="E56" i="4"/>
  <c r="U56" i="4"/>
  <c r="D57" i="4"/>
  <c r="T57" i="4"/>
  <c r="C58" i="4"/>
  <c r="S58" i="4"/>
  <c r="B59" i="4"/>
  <c r="R59" i="4"/>
  <c r="A60" i="4"/>
  <c r="Q60" i="4"/>
  <c r="AG60" i="4"/>
  <c r="P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A76" i="4"/>
  <c r="M25" i="4"/>
  <c r="V33" i="4"/>
  <c r="U37" i="4"/>
  <c r="Q41" i="4"/>
  <c r="I44" i="4"/>
  <c r="AC45" i="4"/>
  <c r="M47" i="4"/>
  <c r="M48" i="4"/>
  <c r="L49" i="4"/>
  <c r="K50" i="4"/>
  <c r="J51" i="4"/>
  <c r="I52" i="4"/>
  <c r="H53" i="4"/>
  <c r="G54" i="4"/>
  <c r="F55" i="4"/>
  <c r="AA55" i="4"/>
  <c r="J56" i="4"/>
  <c r="Z56" i="4"/>
  <c r="I57" i="4"/>
  <c r="Y57" i="4"/>
  <c r="H58" i="4"/>
  <c r="X58" i="4"/>
  <c r="G59" i="4"/>
  <c r="W59" i="4"/>
  <c r="F60" i="4"/>
  <c r="V60" i="4"/>
  <c r="E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B27" i="4"/>
  <c r="H34" i="4"/>
  <c r="D38" i="4"/>
  <c r="AG41" i="4"/>
  <c r="P44" i="4"/>
  <c r="A46" i="4"/>
  <c r="R47" i="4"/>
  <c r="Q48" i="4"/>
  <c r="P49" i="4"/>
  <c r="O50" i="4"/>
  <c r="N51" i="4"/>
  <c r="M52" i="4"/>
  <c r="L53" i="4"/>
  <c r="K54" i="4"/>
  <c r="J55" i="4"/>
  <c r="AB55" i="4"/>
  <c r="K56" i="4"/>
  <c r="AA56" i="4"/>
  <c r="J57" i="4"/>
  <c r="Z57" i="4"/>
  <c r="I58" i="4"/>
  <c r="Y58" i="4"/>
  <c r="H59" i="4"/>
  <c r="X59" i="4"/>
  <c r="G60" i="4"/>
  <c r="W60" i="4"/>
  <c r="F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X74" i="4"/>
  <c r="AF74" i="4"/>
  <c r="G75" i="4"/>
  <c r="O75" i="4"/>
  <c r="T10" i="4"/>
  <c r="AF42" i="4"/>
  <c r="Y48" i="4"/>
  <c r="U52" i="4"/>
  <c r="A56" i="4"/>
  <c r="AF57" i="4"/>
  <c r="AD59" i="4"/>
  <c r="W61" i="4"/>
  <c r="V62" i="4"/>
  <c r="U63" i="4"/>
  <c r="T64" i="4"/>
  <c r="S65" i="4"/>
  <c r="R66" i="4"/>
  <c r="Q67" i="4"/>
  <c r="P68" i="4"/>
  <c r="O69" i="4"/>
  <c r="N70" i="4"/>
  <c r="M71" i="4"/>
  <c r="L72" i="4"/>
  <c r="K73" i="4"/>
  <c r="J74" i="4"/>
  <c r="E75" i="4"/>
  <c r="W75" i="4"/>
  <c r="F76" i="4"/>
  <c r="V76" i="4"/>
  <c r="D77" i="4"/>
  <c r="R77" i="4"/>
  <c r="AC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O23" i="4"/>
  <c r="C44" i="4"/>
  <c r="H49" i="4"/>
  <c r="D53" i="4"/>
  <c r="I56" i="4"/>
  <c r="G58" i="4"/>
  <c r="E60" i="4"/>
  <c r="AA61" i="4"/>
  <c r="Z62" i="4"/>
  <c r="Y63" i="4"/>
  <c r="X64" i="4"/>
  <c r="W65" i="4"/>
  <c r="V66" i="4"/>
  <c r="U67" i="4"/>
  <c r="T68" i="4"/>
  <c r="S69" i="4"/>
  <c r="R70" i="4"/>
  <c r="Q71" i="4"/>
  <c r="P72" i="4"/>
  <c r="O73" i="4"/>
  <c r="N74" i="4"/>
  <c r="F75" i="4"/>
  <c r="Y75" i="4"/>
  <c r="H76" i="4"/>
  <c r="X76" i="4"/>
  <c r="E77" i="4"/>
  <c r="S77" i="4"/>
  <c r="AE77" i="4"/>
  <c r="H78" i="4"/>
  <c r="P78" i="4"/>
  <c r="X78" i="4"/>
  <c r="AF78" i="4"/>
  <c r="G79" i="4"/>
  <c r="O79" i="4"/>
  <c r="W79" i="4"/>
  <c r="AE79" i="4"/>
  <c r="F80" i="4"/>
  <c r="N80" i="4"/>
  <c r="V80" i="4"/>
  <c r="AD80" i="4"/>
  <c r="E81" i="4"/>
  <c r="M81" i="4"/>
  <c r="U81" i="4"/>
  <c r="AC81" i="4"/>
  <c r="D82" i="4"/>
  <c r="L82" i="4"/>
  <c r="T82" i="4"/>
  <c r="AB82" i="4"/>
  <c r="C83" i="4"/>
  <c r="K83" i="4"/>
  <c r="S83" i="4"/>
  <c r="AA83" i="4"/>
  <c r="B84" i="4"/>
  <c r="J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J29" i="4"/>
  <c r="AD44" i="4"/>
  <c r="X49" i="4"/>
  <c r="T53" i="4"/>
  <c r="Q56" i="4"/>
  <c r="O58" i="4"/>
  <c r="M60" i="4"/>
  <c r="AE61" i="4"/>
  <c r="AD62" i="4"/>
  <c r="AC63" i="4"/>
  <c r="AB64" i="4"/>
  <c r="AA65" i="4"/>
  <c r="Z66" i="4"/>
  <c r="Y67" i="4"/>
  <c r="X68" i="4"/>
  <c r="W69" i="4"/>
  <c r="V70" i="4"/>
  <c r="U71" i="4"/>
  <c r="T72" i="4"/>
  <c r="S73" i="4"/>
  <c r="R74" i="4"/>
  <c r="I75" i="4"/>
  <c r="AC75" i="4"/>
  <c r="L76" i="4"/>
  <c r="AB76" i="4"/>
  <c r="G77" i="4"/>
  <c r="T77" i="4"/>
  <c r="A78" i="4"/>
  <c r="I78" i="4"/>
  <c r="Q78" i="4"/>
  <c r="Y78" i="4"/>
  <c r="AG78" i="4"/>
  <c r="H79" i="4"/>
  <c r="P79" i="4"/>
  <c r="X79" i="4"/>
  <c r="AF79" i="4"/>
  <c r="G80" i="4"/>
  <c r="O80" i="4"/>
  <c r="W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B33" i="4"/>
  <c r="V45" i="4"/>
  <c r="G50" i="4"/>
  <c r="C54" i="4"/>
  <c r="Y56" i="4"/>
  <c r="W58" i="4"/>
  <c r="U60" i="4"/>
  <c r="B62" i="4"/>
  <c r="A63" i="4"/>
  <c r="AG63" i="4"/>
  <c r="AF64" i="4"/>
  <c r="AE65" i="4"/>
  <c r="AD66" i="4"/>
  <c r="AC67" i="4"/>
  <c r="AB68" i="4"/>
  <c r="AA69" i="4"/>
  <c r="Z70" i="4"/>
  <c r="Y71" i="4"/>
  <c r="X72" i="4"/>
  <c r="W73" i="4"/>
  <c r="V74" i="4"/>
  <c r="M75" i="4"/>
  <c r="AD75" i="4"/>
  <c r="M76" i="4"/>
  <c r="AC76" i="4"/>
  <c r="J77" i="4"/>
  <c r="U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G35" i="4"/>
  <c r="N46" i="4"/>
  <c r="W50" i="4"/>
  <c r="S54" i="4"/>
  <c r="AG56" i="4"/>
  <c r="AE58" i="4"/>
  <c r="AC60" i="4"/>
  <c r="F62" i="4"/>
  <c r="E63" i="4"/>
  <c r="D64" i="4"/>
  <c r="C65" i="4"/>
  <c r="B66" i="4"/>
  <c r="A67" i="4"/>
  <c r="AG67" i="4"/>
  <c r="AF68" i="4"/>
  <c r="AE69" i="4"/>
  <c r="AD70" i="4"/>
  <c r="AC71" i="4"/>
  <c r="AB72" i="4"/>
  <c r="AA73" i="4"/>
  <c r="Z74" i="4"/>
  <c r="N75" i="4"/>
  <c r="AE75" i="4"/>
  <c r="N76" i="4"/>
  <c r="AD76" i="4"/>
  <c r="K77" i="4"/>
  <c r="W77" i="4"/>
  <c r="C78" i="4"/>
  <c r="K78" i="4"/>
  <c r="S78" i="4"/>
  <c r="AA78" i="4"/>
  <c r="B79" i="4"/>
  <c r="J79" i="4"/>
  <c r="R79" i="4"/>
  <c r="Z79" i="4"/>
  <c r="A80" i="4"/>
  <c r="I80" i="4"/>
  <c r="Q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E37" i="4"/>
  <c r="F47" i="4"/>
  <c r="F51" i="4"/>
  <c r="B55" i="4"/>
  <c r="H57" i="4"/>
  <c r="F59" i="4"/>
  <c r="D61" i="4"/>
  <c r="J62" i="4"/>
  <c r="I63" i="4"/>
  <c r="H64" i="4"/>
  <c r="G65" i="4"/>
  <c r="F66" i="4"/>
  <c r="E67" i="4"/>
  <c r="D68" i="4"/>
  <c r="C69" i="4"/>
  <c r="B70" i="4"/>
  <c r="A71" i="4"/>
  <c r="AG71" i="4"/>
  <c r="AF72" i="4"/>
  <c r="AE73" i="4"/>
  <c r="AD74" i="4"/>
  <c r="Q75" i="4"/>
  <c r="AG75" i="4"/>
  <c r="P76" i="4"/>
  <c r="AF76" i="4"/>
  <c r="L77" i="4"/>
  <c r="Z77" i="4"/>
  <c r="D78" i="4"/>
  <c r="L78" i="4"/>
  <c r="T78" i="4"/>
  <c r="AB78" i="4"/>
  <c r="C79" i="4"/>
  <c r="K79" i="4"/>
  <c r="S79" i="4"/>
  <c r="AA79" i="4"/>
  <c r="B80" i="4"/>
  <c r="J80" i="4"/>
  <c r="R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C39" i="4"/>
  <c r="Z47" i="4"/>
  <c r="V51" i="4"/>
  <c r="R55" i="4"/>
  <c r="P57" i="4"/>
  <c r="N59" i="4"/>
  <c r="L61" i="4"/>
  <c r="N62" i="4"/>
  <c r="M63" i="4"/>
  <c r="L64" i="4"/>
  <c r="K65" i="4"/>
  <c r="J66" i="4"/>
  <c r="I67" i="4"/>
  <c r="H68" i="4"/>
  <c r="G69" i="4"/>
  <c r="F70" i="4"/>
  <c r="E71" i="4"/>
  <c r="D72" i="4"/>
  <c r="C73" i="4"/>
  <c r="B74" i="4"/>
  <c r="AE74" i="4"/>
  <c r="U75" i="4"/>
  <c r="D76" i="4"/>
  <c r="T76" i="4"/>
  <c r="B77" i="4"/>
  <c r="M77" i="4"/>
  <c r="AA77" i="4"/>
  <c r="E78" i="4"/>
  <c r="M78" i="4"/>
  <c r="U78" i="4"/>
  <c r="AC78" i="4"/>
  <c r="D79" i="4"/>
  <c r="L79" i="4"/>
  <c r="T79" i="4"/>
  <c r="AB79" i="4"/>
  <c r="C80" i="4"/>
  <c r="K80" i="4"/>
  <c r="S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A41" i="4"/>
  <c r="I48" i="4"/>
  <c r="E52" i="4"/>
  <c r="Z55" i="4"/>
  <c r="X57" i="4"/>
  <c r="V59" i="4"/>
  <c r="S61" i="4"/>
  <c r="R62" i="4"/>
  <c r="Q63" i="4"/>
  <c r="P64" i="4"/>
  <c r="O65" i="4"/>
  <c r="N66" i="4"/>
  <c r="M67" i="4"/>
  <c r="L68" i="4"/>
  <c r="K69" i="4"/>
  <c r="J70" i="4"/>
  <c r="I71" i="4"/>
  <c r="H72" i="4"/>
  <c r="G73" i="4"/>
  <c r="F74" i="4"/>
  <c r="A75" i="4"/>
  <c r="V75" i="4"/>
  <c r="E76" i="4"/>
  <c r="U76" i="4"/>
  <c r="C77" i="4"/>
  <c r="O77" i="4"/>
  <c r="AB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L87" i="4"/>
  <c r="K88" i="4"/>
  <c r="A89" i="4"/>
  <c r="S89" i="4"/>
  <c r="H90" i="4"/>
  <c r="X90" i="4"/>
  <c r="G91" i="4"/>
  <c r="U91" i="4"/>
  <c r="AF91" i="4"/>
  <c r="G92" i="4"/>
  <c r="O92" i="4"/>
  <c r="W92" i="4"/>
  <c r="AE92" i="4"/>
  <c r="F93" i="4"/>
  <c r="N93" i="4"/>
  <c r="V93" i="4"/>
  <c r="AD93" i="4"/>
  <c r="E94" i="4"/>
  <c r="M94" i="4"/>
  <c r="U94" i="4"/>
  <c r="AC94" i="4"/>
  <c r="D95" i="4"/>
  <c r="L95" i="4"/>
  <c r="T95" i="4"/>
  <c r="AB95" i="4"/>
  <c r="C96" i="4"/>
  <c r="K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T87" i="4"/>
  <c r="L88" i="4"/>
  <c r="B89" i="4"/>
  <c r="Y89" i="4"/>
  <c r="I90" i="4"/>
  <c r="Y90" i="4"/>
  <c r="H91" i="4"/>
  <c r="V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AB87" i="4"/>
  <c r="R88" i="4"/>
  <c r="C89" i="4"/>
  <c r="Z89" i="4"/>
  <c r="J90" i="4"/>
  <c r="Z90" i="4"/>
  <c r="I91" i="4"/>
  <c r="W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AC87" i="4"/>
  <c r="S88" i="4"/>
  <c r="I89" i="4"/>
  <c r="AA89" i="4"/>
  <c r="O90" i="4"/>
  <c r="AE90" i="4"/>
  <c r="M91" i="4"/>
  <c r="X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B88" i="4"/>
  <c r="T88" i="4"/>
  <c r="J89" i="4"/>
  <c r="AG89" i="4"/>
  <c r="P90" i="4"/>
  <c r="AF90" i="4"/>
  <c r="N91" i="4"/>
  <c r="Y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C88" i="4"/>
  <c r="Z88" i="4"/>
  <c r="K89" i="4"/>
  <c r="A90" i="4"/>
  <c r="Q90" i="4"/>
  <c r="AG90" i="4"/>
  <c r="O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G9" i="1" s="1"/>
  <c r="I95" i="4"/>
  <c r="Q95" i="4"/>
  <c r="Y95" i="4"/>
  <c r="AG95" i="4"/>
  <c r="H96" i="4"/>
  <c r="P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D88" i="4"/>
  <c r="AA88" i="4"/>
  <c r="Q89" i="4"/>
  <c r="B90" i="4"/>
  <c r="R90" i="4"/>
  <c r="A91" i="4"/>
  <c r="P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I96" i="4"/>
  <c r="Q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J88" i="4"/>
  <c r="AB88" i="4"/>
  <c r="R89" i="4"/>
  <c r="G90" i="4"/>
  <c r="W90" i="4"/>
  <c r="F91" i="4"/>
  <c r="Q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S110" i="4"/>
  <c r="R111" i="4"/>
  <c r="I112" i="4"/>
  <c r="AF112" i="4"/>
  <c r="Q113" i="4"/>
  <c r="F114" i="4"/>
  <c r="V114" i="4"/>
  <c r="E115" i="4"/>
  <c r="U115" i="4"/>
  <c r="B116" i="4"/>
  <c r="L116" i="4"/>
  <c r="V116" i="4"/>
  <c r="A117" i="4"/>
  <c r="K117" i="4"/>
  <c r="T117" i="4"/>
  <c r="AC117" i="4"/>
  <c r="F118" i="4"/>
  <c r="O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Z110" i="4"/>
  <c r="Y111" i="4"/>
  <c r="J112" i="4"/>
  <c r="AG112" i="4"/>
  <c r="W113" i="4"/>
  <c r="G114" i="4"/>
  <c r="W114" i="4"/>
  <c r="F115" i="4"/>
  <c r="V115" i="4"/>
  <c r="C116" i="4"/>
  <c r="M116" i="4"/>
  <c r="Y116" i="4"/>
  <c r="B117" i="4"/>
  <c r="L117" i="4"/>
  <c r="U117" i="4"/>
  <c r="AE117" i="4"/>
  <c r="G118" i="4"/>
  <c r="P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AA110" i="4"/>
  <c r="Z111" i="4"/>
  <c r="P112" i="4"/>
  <c r="A113" i="4"/>
  <c r="X113" i="4"/>
  <c r="H114" i="4"/>
  <c r="X114" i="4"/>
  <c r="G115" i="4"/>
  <c r="W115" i="4"/>
  <c r="D116" i="4"/>
  <c r="N116" i="4"/>
  <c r="Z116" i="4"/>
  <c r="C117" i="4"/>
  <c r="M117" i="4"/>
  <c r="W117" i="4"/>
  <c r="AF117" i="4"/>
  <c r="H118" i="4"/>
  <c r="Q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A111" i="4"/>
  <c r="AA111" i="4"/>
  <c r="Q112" i="4"/>
  <c r="G113" i="4"/>
  <c r="Y113" i="4"/>
  <c r="M114" i="4"/>
  <c r="AC114" i="4"/>
  <c r="L115" i="4"/>
  <c r="AA115" i="4"/>
  <c r="E116" i="4"/>
  <c r="Q116" i="4"/>
  <c r="AA116" i="4"/>
  <c r="D117" i="4"/>
  <c r="O117" i="4"/>
  <c r="X117" i="4"/>
  <c r="AG117" i="4"/>
  <c r="I118" i="4"/>
  <c r="R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B111" i="4"/>
  <c r="AG111" i="4"/>
  <c r="R112" i="4"/>
  <c r="H113" i="4"/>
  <c r="AE113" i="4"/>
  <c r="N114" i="4"/>
  <c r="AD114" i="4"/>
  <c r="M115" i="4"/>
  <c r="AB115" i="4"/>
  <c r="F116" i="4"/>
  <c r="R116" i="4"/>
  <c r="AB116" i="4"/>
  <c r="E117" i="4"/>
  <c r="P117" i="4"/>
  <c r="Y117" i="4"/>
  <c r="A118" i="4"/>
  <c r="J118" i="4"/>
  <c r="S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11" i="4"/>
  <c r="A112" i="4"/>
  <c r="X112" i="4"/>
  <c r="I113" i="4"/>
  <c r="AF113" i="4"/>
  <c r="O114" i="4"/>
  <c r="AE114" i="4"/>
  <c r="N115" i="4"/>
  <c r="AC115" i="4"/>
  <c r="I116" i="4"/>
  <c r="S116" i="4"/>
  <c r="AC116" i="4"/>
  <c r="H117" i="4"/>
  <c r="Q117" i="4"/>
  <c r="Z117" i="4"/>
  <c r="B118" i="4"/>
  <c r="K118" i="4"/>
  <c r="T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J111" i="4"/>
  <c r="B112" i="4"/>
  <c r="Y112" i="4"/>
  <c r="O113" i="4"/>
  <c r="AG113" i="4"/>
  <c r="P114" i="4"/>
  <c r="AF114" i="4"/>
  <c r="O115" i="4"/>
  <c r="AD115" i="4"/>
  <c r="J116" i="4"/>
  <c r="T116" i="4"/>
  <c r="AD116" i="4"/>
  <c r="I117" i="4"/>
  <c r="R117" i="4"/>
  <c r="AA117" i="4"/>
  <c r="C118" i="4"/>
  <c r="L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G133" i="4"/>
  <c r="O133" i="4"/>
  <c r="W133" i="4"/>
  <c r="AE133" i="4"/>
  <c r="F134" i="4"/>
  <c r="N134" i="4"/>
  <c r="V134" i="4"/>
  <c r="AD134" i="4"/>
  <c r="Q111" i="4"/>
  <c r="H112" i="4"/>
  <c r="Z112" i="4"/>
  <c r="P113" i="4"/>
  <c r="E114" i="4"/>
  <c r="U114" i="4"/>
  <c r="D115" i="4"/>
  <c r="T115" i="4"/>
  <c r="AE115" i="4"/>
  <c r="K116" i="4"/>
  <c r="U116" i="4"/>
  <c r="AG116" i="4"/>
  <c r="J117" i="4"/>
  <c r="S117" i="4"/>
  <c r="AB117" i="4"/>
  <c r="D118" i="4"/>
  <c r="N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AC134" i="4"/>
  <c r="AC135" i="4"/>
  <c r="AA136" i="4"/>
  <c r="K137" i="4"/>
  <c r="AA137" i="4"/>
  <c r="J138" i="4"/>
  <c r="Z138" i="4"/>
  <c r="I139" i="4"/>
  <c r="Y139" i="4"/>
  <c r="G140" i="4"/>
  <c r="U140" i="4"/>
  <c r="AF140" i="4"/>
  <c r="K141" i="4"/>
  <c r="T141" i="4"/>
  <c r="AC141" i="4"/>
  <c r="D135" i="4"/>
  <c r="C136" i="4"/>
  <c r="AB136" i="4"/>
  <c r="L137" i="4"/>
  <c r="AB137" i="4"/>
  <c r="K138" i="4"/>
  <c r="AA138" i="4"/>
  <c r="J139" i="4"/>
  <c r="Z139" i="4"/>
  <c r="H140" i="4"/>
  <c r="V140" i="4"/>
  <c r="AG140" i="4"/>
  <c r="L141" i="4"/>
  <c r="U141" i="4"/>
  <c r="AD141" i="4"/>
  <c r="E135" i="4"/>
  <c r="D136" i="4"/>
  <c r="AC136" i="4"/>
  <c r="Q137" i="4"/>
  <c r="AG137" i="4"/>
  <c r="P138" i="4"/>
  <c r="AF138" i="4"/>
  <c r="O139" i="4"/>
  <c r="AE139" i="4"/>
  <c r="I140" i="4"/>
  <c r="W140" i="4"/>
  <c r="C141" i="4"/>
  <c r="M141" i="4"/>
  <c r="V141" i="4"/>
  <c r="AE141" i="4"/>
  <c r="L135" i="4"/>
  <c r="K136" i="4"/>
  <c r="B137" i="4"/>
  <c r="R137" i="4"/>
  <c r="A138" i="4"/>
  <c r="Q138" i="4"/>
  <c r="AG138" i="4"/>
  <c r="P139" i="4"/>
  <c r="AF139" i="4"/>
  <c r="M140" i="4"/>
  <c r="X140" i="4"/>
  <c r="D141" i="4"/>
  <c r="N141" i="4"/>
  <c r="W141" i="4"/>
  <c r="AF141" i="4"/>
  <c r="M135" i="4"/>
  <c r="L136" i="4"/>
  <c r="C137" i="4"/>
  <c r="S137" i="4"/>
  <c r="B138" i="4"/>
  <c r="R138" i="4"/>
  <c r="A139" i="4"/>
  <c r="Q139" i="4"/>
  <c r="AG139" i="4"/>
  <c r="N140" i="4"/>
  <c r="Y140" i="4"/>
  <c r="E141" i="4"/>
  <c r="O141" i="4"/>
  <c r="X141" i="4"/>
  <c r="T135" i="4"/>
  <c r="S136" i="4"/>
  <c r="D137" i="4"/>
  <c r="T137" i="4"/>
  <c r="C138" i="4"/>
  <c r="S138" i="4"/>
  <c r="B139" i="4"/>
  <c r="R139" i="4"/>
  <c r="A140" i="4"/>
  <c r="O140" i="4"/>
  <c r="AC140" i="4"/>
  <c r="F141" i="4"/>
  <c r="P141" i="4"/>
  <c r="Z141" i="4"/>
  <c r="U135" i="4"/>
  <c r="T136" i="4"/>
  <c r="I137" i="4"/>
  <c r="Y137" i="4"/>
  <c r="H138" i="4"/>
  <c r="X138" i="4"/>
  <c r="G139" i="4"/>
  <c r="W139" i="4"/>
  <c r="E140" i="4"/>
  <c r="P140" i="4"/>
  <c r="AD140" i="4"/>
  <c r="G141" i="4"/>
  <c r="R141" i="4"/>
  <c r="AA141" i="4"/>
  <c r="AB135" i="4"/>
  <c r="U136" i="4"/>
  <c r="J137" i="4"/>
  <c r="Z137" i="4"/>
  <c r="I138" i="4"/>
  <c r="Y138" i="4"/>
  <c r="H139" i="4"/>
  <c r="X139" i="4"/>
  <c r="F140" i="4"/>
  <c r="Q140" i="4"/>
  <c r="AE140" i="4"/>
  <c r="H141" i="4"/>
  <c r="S141" i="4"/>
  <c r="AB141" i="4"/>
  <c r="B21" i="1"/>
  <c r="D23" i="1" s="1"/>
  <c r="B5" i="3" s="1"/>
  <c r="J4" i="3"/>
  <c r="J3" i="3"/>
  <c r="B44" i="1"/>
  <c r="D44" i="1"/>
  <c r="D62" i="1"/>
  <c r="B42" i="3" s="1"/>
  <c r="B33" i="3"/>
  <c r="P3" i="3" s="1"/>
  <c r="B31" i="3"/>
  <c r="D52" i="1"/>
  <c r="R14" i="1" s="1"/>
  <c r="D51" i="1"/>
  <c r="D61" i="1"/>
  <c r="D50" i="1"/>
  <c r="G52" i="1" s="1"/>
  <c r="B26" i="3"/>
  <c r="D13" i="3"/>
  <c r="D4" i="3"/>
  <c r="G58" i="1" l="1"/>
  <c r="G63" i="1"/>
  <c r="P2" i="3"/>
  <c r="D63" i="1"/>
  <c r="D13" i="1"/>
  <c r="G11" i="1"/>
  <c r="G10" i="1"/>
  <c r="D12" i="1"/>
  <c r="G13" i="1"/>
  <c r="G12" i="1"/>
  <c r="D55" i="1"/>
  <c r="D53" i="1" s="1"/>
  <c r="D54" i="1"/>
  <c r="G51" i="1"/>
  <c r="G49" i="1"/>
  <c r="G48" i="1"/>
  <c r="G47" i="1"/>
  <c r="G59" i="1"/>
  <c r="G62" i="1"/>
  <c r="G60" i="1"/>
  <c r="D65" i="1"/>
  <c r="D66" i="1"/>
  <c r="D64" i="1" s="1" a="1"/>
  <c r="D64" i="1" s="1"/>
  <c r="H4" i="3"/>
  <c r="B44" i="3" l="1"/>
  <c r="D11" i="1"/>
  <c r="B14" i="1" s="1"/>
  <c r="C14" i="1" s="1"/>
  <c r="C12" i="1"/>
  <c r="B61" i="1"/>
  <c r="B50" i="1"/>
  <c r="B30" i="3"/>
  <c r="B32" i="3"/>
  <c r="B29" i="3"/>
  <c r="B34" i="3"/>
  <c r="B28" i="3"/>
  <c r="B38" i="3" l="1"/>
  <c r="C67" i="1"/>
  <c r="B16" i="3"/>
  <c r="C56" i="1"/>
  <c r="B37" i="3"/>
  <c r="B41" i="3"/>
  <c r="B40" i="3"/>
  <c r="B39" i="3"/>
  <c r="B45" i="3"/>
  <c r="B43" i="3"/>
  <c r="B15" i="3"/>
  <c r="B23" i="3"/>
  <c r="B19" i="3"/>
  <c r="B18" i="3"/>
  <c r="B17" i="3"/>
  <c r="B21" i="3"/>
  <c r="B22" i="3"/>
  <c r="B20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B27" i="3"/>
  <c r="L495" i="3" l="1"/>
  <c r="H496" i="3"/>
  <c r="L496" i="3" s="1"/>
  <c r="G495" i="3"/>
  <c r="I494" i="3"/>
  <c r="K494" i="3"/>
  <c r="J495" i="3" l="1"/>
  <c r="G496" i="3"/>
  <c r="H497" i="3"/>
  <c r="L497" i="3" s="1"/>
  <c r="K495" i="3"/>
  <c r="I495" i="3"/>
  <c r="K496" i="3" l="1"/>
  <c r="I496" i="3"/>
  <c r="J496" i="3"/>
  <c r="H498" i="3"/>
  <c r="L498" i="3" s="1"/>
  <c r="G497" i="3"/>
  <c r="J497" i="3" s="1"/>
  <c r="I497" i="3" l="1"/>
  <c r="K497" i="3"/>
  <c r="H499" i="3"/>
  <c r="L499" i="3" s="1"/>
  <c r="G498" i="3"/>
  <c r="K498" i="3" l="1"/>
  <c r="I498" i="3"/>
  <c r="J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G501" i="3"/>
  <c r="H502" i="3"/>
  <c r="L502" i="3" s="1"/>
  <c r="I501" i="3" l="1"/>
  <c r="K501" i="3"/>
  <c r="J501" i="3"/>
  <c r="H503" i="3"/>
  <c r="L503" i="3" s="1"/>
  <c r="G502" i="3"/>
  <c r="J502" i="3" s="1"/>
  <c r="K502" i="3" l="1"/>
  <c r="I502" i="3"/>
  <c r="H504" i="3"/>
  <c r="L504" i="3" s="1"/>
  <c r="G503" i="3"/>
  <c r="I503" i="3" l="1"/>
  <c r="K503" i="3"/>
  <c r="J503" i="3"/>
  <c r="G504" i="3"/>
  <c r="H505" i="3"/>
  <c r="L505" i="3" s="1"/>
  <c r="K504" i="3" l="1"/>
  <c r="I504" i="3"/>
  <c r="J504" i="3"/>
  <c r="H506" i="3"/>
  <c r="L506" i="3" s="1"/>
  <c r="G505" i="3"/>
  <c r="I505" i="3" l="1"/>
  <c r="K505" i="3"/>
  <c r="J505" i="3"/>
  <c r="H507" i="3"/>
  <c r="L507" i="3" s="1"/>
  <c r="G506" i="3"/>
  <c r="K506" i="3" l="1"/>
  <c r="I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G509" i="3"/>
  <c r="H510" i="3"/>
  <c r="L510" i="3" s="1"/>
  <c r="I509" i="3" l="1"/>
  <c r="K509" i="3"/>
  <c r="J509" i="3"/>
  <c r="H511" i="3"/>
  <c r="L511" i="3" s="1"/>
  <c r="G510" i="3"/>
  <c r="I510" i="3" l="1"/>
  <c r="K510" i="3"/>
  <c r="J510" i="3"/>
  <c r="H512" i="3"/>
  <c r="L512" i="3" s="1"/>
  <c r="G511" i="3"/>
  <c r="I511" i="3" l="1"/>
  <c r="K511" i="3"/>
  <c r="J511" i="3"/>
  <c r="G512" i="3"/>
  <c r="H513" i="3"/>
  <c r="L513" i="3" s="1"/>
  <c r="K512" i="3" l="1"/>
  <c r="I512" i="3"/>
  <c r="J512" i="3"/>
  <c r="H514" i="3"/>
  <c r="L514" i="3" s="1"/>
  <c r="G513" i="3"/>
  <c r="I513" i="3" l="1"/>
  <c r="K513" i="3"/>
  <c r="J513" i="3"/>
  <c r="H515" i="3"/>
  <c r="L515" i="3" s="1"/>
  <c r="G514" i="3"/>
  <c r="J514" i="3" s="1"/>
  <c r="K514" i="3" l="1"/>
  <c r="I514" i="3"/>
  <c r="H516" i="3"/>
  <c r="L516" i="3" s="1"/>
  <c r="G515" i="3"/>
  <c r="J515" i="3" s="1"/>
  <c r="I515" i="3" l="1"/>
  <c r="K515" i="3"/>
  <c r="H517" i="3"/>
  <c r="L517" i="3" s="1"/>
  <c r="G516" i="3"/>
  <c r="J516" i="3" s="1"/>
  <c r="K516" i="3" l="1"/>
  <c r="I516" i="3"/>
  <c r="G517" i="3"/>
  <c r="H518" i="3"/>
  <c r="L518" i="3" s="1"/>
  <c r="I517" i="3" l="1"/>
  <c r="K517" i="3"/>
  <c r="J517" i="3"/>
  <c r="H519" i="3"/>
  <c r="L519" i="3" s="1"/>
  <c r="G518" i="3"/>
  <c r="K518" i="3" l="1"/>
  <c r="I518" i="3"/>
  <c r="J518" i="3"/>
  <c r="H520" i="3"/>
  <c r="L520" i="3" s="1"/>
  <c r="G519" i="3"/>
  <c r="I519" i="3" l="1"/>
  <c r="K519" i="3"/>
  <c r="J519" i="3"/>
  <c r="G520" i="3"/>
  <c r="H521" i="3"/>
  <c r="L521" i="3" s="1"/>
  <c r="I520" i="3" l="1"/>
  <c r="K520" i="3"/>
  <c r="J520" i="3"/>
  <c r="H522" i="3"/>
  <c r="L522" i="3" s="1"/>
  <c r="G521" i="3"/>
  <c r="I521" i="3" l="1"/>
  <c r="K521" i="3"/>
  <c r="J521" i="3"/>
  <c r="H523" i="3"/>
  <c r="L523" i="3" s="1"/>
  <c r="G522" i="3"/>
  <c r="J522" i="3" s="1"/>
  <c r="K522" i="3" l="1"/>
  <c r="I522" i="3"/>
  <c r="H524" i="3"/>
  <c r="L524" i="3" s="1"/>
  <c r="G523" i="3"/>
  <c r="K523" i="3" l="1"/>
  <c r="I523" i="3"/>
  <c r="J523" i="3"/>
  <c r="H525" i="3"/>
  <c r="L525" i="3" s="1"/>
  <c r="G524" i="3"/>
  <c r="K524" i="3" l="1"/>
  <c r="I524" i="3"/>
  <c r="J524" i="3"/>
  <c r="G525" i="3"/>
  <c r="H526" i="3"/>
  <c r="L526" i="3" s="1"/>
  <c r="I525" i="3" l="1"/>
  <c r="K525" i="3"/>
  <c r="J525" i="3"/>
  <c r="H527" i="3"/>
  <c r="L527" i="3" s="1"/>
  <c r="G526" i="3"/>
  <c r="K526" i="3" l="1"/>
  <c r="I526" i="3"/>
  <c r="J526" i="3"/>
  <c r="H528" i="3"/>
  <c r="L528" i="3" s="1"/>
  <c r="G527" i="3"/>
  <c r="J527" i="3" s="1"/>
  <c r="I527" i="3" l="1"/>
  <c r="K527" i="3"/>
  <c r="G528" i="3"/>
  <c r="H529" i="3"/>
  <c r="L529" i="3" s="1"/>
  <c r="K528" i="3" l="1"/>
  <c r="I528" i="3"/>
  <c r="J528" i="3"/>
  <c r="H530" i="3"/>
  <c r="L530" i="3" s="1"/>
  <c r="G529" i="3"/>
  <c r="I529" i="3" l="1"/>
  <c r="K529" i="3"/>
  <c r="J529" i="3"/>
  <c r="H531" i="3"/>
  <c r="L531" i="3" s="1"/>
  <c r="G530" i="3"/>
  <c r="K530" i="3" l="1"/>
  <c r="I530" i="3"/>
  <c r="J530" i="3"/>
  <c r="H532" i="3"/>
  <c r="L532" i="3" s="1"/>
  <c r="G531" i="3"/>
  <c r="I531" i="3" l="1"/>
  <c r="K531" i="3"/>
  <c r="J531" i="3"/>
  <c r="H533" i="3"/>
  <c r="L533" i="3" s="1"/>
  <c r="G532" i="3"/>
  <c r="K532" i="3" l="1"/>
  <c r="I532" i="3"/>
  <c r="J532" i="3"/>
  <c r="G533" i="3"/>
  <c r="H534" i="3"/>
  <c r="L534" i="3" s="1"/>
  <c r="I533" i="3" l="1"/>
  <c r="K533" i="3"/>
  <c r="J533" i="3"/>
  <c r="H535" i="3"/>
  <c r="L535" i="3" s="1"/>
  <c r="G534" i="3"/>
  <c r="I534" i="3" l="1"/>
  <c r="K534" i="3"/>
  <c r="J534" i="3"/>
  <c r="H536" i="3"/>
  <c r="L536" i="3" s="1"/>
  <c r="G535" i="3"/>
  <c r="J535" i="3" s="1"/>
  <c r="I535" i="3" l="1"/>
  <c r="K535" i="3"/>
  <c r="G536" i="3"/>
  <c r="H537" i="3"/>
  <c r="L537" i="3" s="1"/>
  <c r="K536" i="3" l="1"/>
  <c r="I536" i="3"/>
  <c r="J536" i="3"/>
  <c r="H538" i="3"/>
  <c r="L538" i="3" s="1"/>
  <c r="G537" i="3"/>
  <c r="I537" i="3" l="1"/>
  <c r="K537" i="3"/>
  <c r="J537" i="3"/>
  <c r="H539" i="3"/>
  <c r="L539" i="3" s="1"/>
  <c r="G538" i="3"/>
  <c r="K538" i="3" l="1"/>
  <c r="I538" i="3"/>
  <c r="J538" i="3"/>
  <c r="H540" i="3"/>
  <c r="L540" i="3" s="1"/>
  <c r="G539" i="3"/>
  <c r="I539" i="3" l="1"/>
  <c r="K539" i="3"/>
  <c r="J539" i="3"/>
  <c r="H541" i="3"/>
  <c r="L541" i="3" s="1"/>
  <c r="G540" i="3"/>
  <c r="K540" i="3" l="1"/>
  <c r="I540" i="3"/>
  <c r="J540" i="3"/>
  <c r="G541" i="3"/>
  <c r="H542" i="3"/>
  <c r="L542" i="3" s="1"/>
  <c r="I541" i="3" l="1"/>
  <c r="K541" i="3"/>
  <c r="J541" i="3"/>
  <c r="H543" i="3"/>
  <c r="L543" i="3" s="1"/>
  <c r="G542" i="3"/>
  <c r="K542" i="3" l="1"/>
  <c r="I542" i="3"/>
  <c r="J542" i="3"/>
  <c r="H544" i="3"/>
  <c r="L544" i="3" s="1"/>
  <c r="G543" i="3"/>
  <c r="I543" i="3" l="1"/>
  <c r="K543" i="3"/>
  <c r="J543" i="3"/>
  <c r="G544" i="3"/>
  <c r="H545" i="3"/>
  <c r="L545" i="3" s="1"/>
  <c r="I544" i="3" l="1"/>
  <c r="K544" i="3"/>
  <c r="J544" i="3"/>
  <c r="H546" i="3"/>
  <c r="L546" i="3" s="1"/>
  <c r="G545" i="3"/>
  <c r="I545" i="3" l="1"/>
  <c r="K545" i="3"/>
  <c r="J545" i="3"/>
  <c r="H547" i="3"/>
  <c r="L547" i="3" s="1"/>
  <c r="G546" i="3"/>
  <c r="K546" i="3" l="1"/>
  <c r="I546" i="3"/>
  <c r="J546" i="3"/>
  <c r="H548" i="3"/>
  <c r="L548" i="3" s="1"/>
  <c r="G547" i="3"/>
  <c r="I547" i="3" l="1"/>
  <c r="K547" i="3"/>
  <c r="J547" i="3"/>
  <c r="H549" i="3"/>
  <c r="L549" i="3" s="1"/>
  <c r="G548" i="3"/>
  <c r="J548" i="3" s="1"/>
  <c r="K548" i="3" l="1"/>
  <c r="I548" i="3"/>
  <c r="G549" i="3"/>
  <c r="H550" i="3"/>
  <c r="L550" i="3" s="1"/>
  <c r="I549" i="3" l="1"/>
  <c r="K549" i="3"/>
  <c r="J549" i="3"/>
  <c r="H551" i="3"/>
  <c r="L551" i="3" s="1"/>
  <c r="G550" i="3"/>
  <c r="K550" i="3" l="1"/>
  <c r="I550" i="3"/>
  <c r="J550" i="3"/>
  <c r="H552" i="3"/>
  <c r="L552" i="3" s="1"/>
  <c r="G551" i="3"/>
  <c r="I551" i="3" l="1"/>
  <c r="K551" i="3"/>
  <c r="J551" i="3"/>
  <c r="G552" i="3"/>
  <c r="H553" i="3"/>
  <c r="L553" i="3" s="1"/>
  <c r="K552" i="3" l="1"/>
  <c r="I552" i="3"/>
  <c r="J552" i="3"/>
  <c r="H554" i="3"/>
  <c r="L554" i="3" s="1"/>
  <c r="G553" i="3"/>
  <c r="J553" i="3" s="1"/>
  <c r="I553" i="3" l="1"/>
  <c r="K553" i="3"/>
  <c r="H555" i="3"/>
  <c r="L555" i="3" s="1"/>
  <c r="G554" i="3"/>
  <c r="K554" i="3" l="1"/>
  <c r="I554" i="3"/>
  <c r="J554" i="3"/>
  <c r="H556" i="3"/>
  <c r="L556" i="3" s="1"/>
  <c r="G555" i="3"/>
  <c r="J555" i="3" s="1"/>
  <c r="I555" i="3" l="1"/>
  <c r="K555" i="3"/>
  <c r="H557" i="3"/>
  <c r="L557" i="3" s="1"/>
  <c r="G556" i="3"/>
  <c r="K556" i="3" l="1"/>
  <c r="I556" i="3"/>
  <c r="J556" i="3"/>
  <c r="G557" i="3"/>
  <c r="H558" i="3"/>
  <c r="L558" i="3" s="1"/>
  <c r="I557" i="3" l="1"/>
  <c r="K557" i="3"/>
  <c r="J557" i="3"/>
  <c r="H559" i="3"/>
  <c r="L559" i="3" s="1"/>
  <c r="G558" i="3"/>
  <c r="K558" i="3" l="1"/>
  <c r="I558" i="3"/>
  <c r="J558" i="3"/>
  <c r="H560" i="3"/>
  <c r="L560" i="3" s="1"/>
  <c r="G559" i="3"/>
  <c r="K559" i="3" l="1"/>
  <c r="I559" i="3"/>
  <c r="J559" i="3"/>
  <c r="G560" i="3"/>
  <c r="J560" i="3" s="1"/>
  <c r="H561" i="3"/>
  <c r="L561" i="3" s="1"/>
  <c r="K560" i="3" l="1"/>
  <c r="I560" i="3"/>
  <c r="H562" i="3"/>
  <c r="L562" i="3" s="1"/>
  <c r="G561" i="3"/>
  <c r="J561" i="3" s="1"/>
  <c r="I561" i="3" l="1"/>
  <c r="K561" i="3"/>
  <c r="H563" i="3"/>
  <c r="L563" i="3" s="1"/>
  <c r="G562" i="3"/>
  <c r="K562" i="3" l="1"/>
  <c r="I562" i="3"/>
  <c r="J562" i="3"/>
  <c r="H564" i="3"/>
  <c r="L564" i="3" s="1"/>
  <c r="G563" i="3"/>
  <c r="J563" i="3" s="1"/>
  <c r="I563" i="3" l="1"/>
  <c r="K563" i="3"/>
  <c r="H565" i="3"/>
  <c r="L565" i="3" s="1"/>
  <c r="G564" i="3"/>
  <c r="K564" i="3" l="1"/>
  <c r="I564" i="3"/>
  <c r="J564" i="3"/>
  <c r="G565" i="3"/>
  <c r="H566" i="3"/>
  <c r="L566" i="3" s="1"/>
  <c r="I565" i="3" l="1"/>
  <c r="K565" i="3"/>
  <c r="J565" i="3"/>
  <c r="H567" i="3"/>
  <c r="L567" i="3" s="1"/>
  <c r="G566" i="3"/>
  <c r="K566" i="3" l="1"/>
  <c r="I566" i="3"/>
  <c r="J566" i="3"/>
  <c r="H568" i="3"/>
  <c r="L568" i="3" s="1"/>
  <c r="G567" i="3"/>
  <c r="I567" i="3" l="1"/>
  <c r="K567" i="3"/>
  <c r="J567" i="3"/>
  <c r="G568" i="3"/>
  <c r="H569" i="3"/>
  <c r="L569" i="3" s="1"/>
  <c r="K568" i="3" l="1"/>
  <c r="I568" i="3"/>
  <c r="J568" i="3"/>
  <c r="H570" i="3"/>
  <c r="L570" i="3" s="1"/>
  <c r="G569" i="3"/>
  <c r="J569" i="3" s="1"/>
  <c r="I569" i="3" l="1"/>
  <c r="K569" i="3"/>
  <c r="H571" i="3"/>
  <c r="L571" i="3" s="1"/>
  <c r="G570" i="3"/>
  <c r="I570" i="3" l="1"/>
  <c r="K570" i="3"/>
  <c r="J570" i="3"/>
  <c r="H572" i="3"/>
  <c r="L572" i="3" s="1"/>
  <c r="G571" i="3"/>
  <c r="I571" i="3" l="1"/>
  <c r="K571" i="3"/>
  <c r="J571" i="3"/>
  <c r="H573" i="3"/>
  <c r="L573" i="3" s="1"/>
  <c r="G572" i="3"/>
  <c r="K572" i="3" l="1"/>
  <c r="I572" i="3"/>
  <c r="J572" i="3"/>
  <c r="G573" i="3"/>
  <c r="H574" i="3"/>
  <c r="L574" i="3" s="1"/>
  <c r="I573" i="3" l="1"/>
  <c r="K573" i="3"/>
  <c r="J573" i="3"/>
  <c r="H575" i="3"/>
  <c r="L575" i="3" s="1"/>
  <c r="G574" i="3"/>
  <c r="J574" i="3" s="1"/>
  <c r="I574" i="3" l="1"/>
  <c r="K574" i="3"/>
  <c r="H576" i="3"/>
  <c r="L576" i="3" s="1"/>
  <c r="G575" i="3"/>
  <c r="I575" i="3" l="1"/>
  <c r="K575" i="3"/>
  <c r="J575" i="3"/>
  <c r="G576" i="3"/>
  <c r="H577" i="3"/>
  <c r="L577" i="3" s="1"/>
  <c r="K576" i="3" l="1"/>
  <c r="I576" i="3"/>
  <c r="J576" i="3"/>
  <c r="H578" i="3"/>
  <c r="L578" i="3" s="1"/>
  <c r="G577" i="3"/>
  <c r="I577" i="3" l="1"/>
  <c r="K577" i="3"/>
  <c r="J577" i="3"/>
  <c r="H579" i="3"/>
  <c r="L579" i="3" s="1"/>
  <c r="G578" i="3"/>
  <c r="K578" i="3" l="1"/>
  <c r="I578" i="3"/>
  <c r="J578" i="3"/>
  <c r="H580" i="3"/>
  <c r="L580" i="3" s="1"/>
  <c r="G579" i="3"/>
  <c r="J579" i="3" s="1"/>
  <c r="I579" i="3" l="1"/>
  <c r="K579" i="3"/>
  <c r="H581" i="3"/>
  <c r="L581" i="3" s="1"/>
  <c r="G580" i="3"/>
  <c r="K580" i="3" l="1"/>
  <c r="I580" i="3"/>
  <c r="J580" i="3"/>
  <c r="G581" i="3"/>
  <c r="H582" i="3"/>
  <c r="L582" i="3" s="1"/>
  <c r="I581" i="3" l="1"/>
  <c r="K581" i="3"/>
  <c r="J581" i="3"/>
  <c r="H583" i="3"/>
  <c r="L583" i="3" s="1"/>
  <c r="G582" i="3"/>
  <c r="K582" i="3" l="1"/>
  <c r="I582" i="3"/>
  <c r="J582" i="3"/>
  <c r="H584" i="3"/>
  <c r="L584" i="3" s="1"/>
  <c r="G583" i="3"/>
  <c r="J583" i="3" s="1"/>
  <c r="I583" i="3" l="1"/>
  <c r="K583" i="3"/>
  <c r="G584" i="3"/>
  <c r="J584" i="3" s="1"/>
  <c r="H585" i="3"/>
  <c r="L585" i="3" s="1"/>
  <c r="I584" i="3" l="1"/>
  <c r="K584" i="3"/>
  <c r="H586" i="3"/>
  <c r="L586" i="3" s="1"/>
  <c r="G585" i="3"/>
  <c r="I585" i="3" l="1"/>
  <c r="K585" i="3"/>
  <c r="J585" i="3"/>
  <c r="H587" i="3"/>
  <c r="L587" i="3" s="1"/>
  <c r="G586" i="3"/>
  <c r="K586" i="3" l="1"/>
  <c r="I586" i="3"/>
  <c r="J586" i="3"/>
  <c r="H588" i="3"/>
  <c r="L588" i="3" s="1"/>
  <c r="G587" i="3"/>
  <c r="I587" i="3" l="1"/>
  <c r="K587" i="3"/>
  <c r="J587" i="3"/>
  <c r="H589" i="3"/>
  <c r="L589" i="3" s="1"/>
  <c r="G588" i="3"/>
  <c r="I588" i="3" l="1"/>
  <c r="K588" i="3"/>
  <c r="J588" i="3"/>
  <c r="G589" i="3"/>
  <c r="H590" i="3"/>
  <c r="L590" i="3" s="1"/>
  <c r="I589" i="3" l="1"/>
  <c r="K589" i="3"/>
  <c r="J589" i="3"/>
  <c r="H591" i="3"/>
  <c r="L591" i="3" s="1"/>
  <c r="G590" i="3"/>
  <c r="J590" i="3" s="1"/>
  <c r="K590" i="3" l="1"/>
  <c r="I590" i="3"/>
  <c r="H592" i="3"/>
  <c r="L592" i="3" s="1"/>
  <c r="G591" i="3"/>
  <c r="I591" i="3" l="1"/>
  <c r="K591" i="3"/>
  <c r="J591" i="3"/>
  <c r="G592" i="3"/>
  <c r="H593" i="3"/>
  <c r="L593" i="3" s="1"/>
  <c r="K592" i="3" l="1"/>
  <c r="I592" i="3"/>
  <c r="J592" i="3"/>
  <c r="H594" i="3"/>
  <c r="L594" i="3" s="1"/>
  <c r="G593" i="3"/>
  <c r="I593" i="3" l="1"/>
  <c r="K593" i="3"/>
  <c r="J593" i="3"/>
  <c r="H595" i="3"/>
  <c r="L595" i="3" s="1"/>
  <c r="G594" i="3"/>
  <c r="J594" i="3" s="1"/>
  <c r="K594" i="3" l="1"/>
  <c r="I594" i="3"/>
  <c r="H596" i="3"/>
  <c r="L596" i="3" s="1"/>
  <c r="G595" i="3"/>
  <c r="K595" i="3" l="1"/>
  <c r="I595" i="3"/>
  <c r="J595" i="3"/>
  <c r="H597" i="3"/>
  <c r="L597" i="3" s="1"/>
  <c r="G596" i="3"/>
  <c r="K596" i="3" l="1"/>
  <c r="I596" i="3"/>
  <c r="J596" i="3"/>
  <c r="G597" i="3"/>
  <c r="H598" i="3"/>
  <c r="L598" i="3" s="1"/>
  <c r="I597" i="3" l="1"/>
  <c r="K597" i="3"/>
  <c r="J597" i="3"/>
  <c r="H599" i="3"/>
  <c r="L599" i="3" s="1"/>
  <c r="G598" i="3"/>
  <c r="K598" i="3" l="1"/>
  <c r="I598" i="3"/>
  <c r="J598" i="3"/>
  <c r="H600" i="3"/>
  <c r="L600" i="3" s="1"/>
  <c r="G599" i="3"/>
  <c r="I599" i="3" l="1"/>
  <c r="K599" i="3"/>
  <c r="J599" i="3"/>
  <c r="G600" i="3"/>
  <c r="J600" i="3" s="1"/>
  <c r="H601" i="3"/>
  <c r="L601" i="3" s="1"/>
  <c r="K600" i="3" l="1"/>
  <c r="I600" i="3"/>
  <c r="H602" i="3"/>
  <c r="L602" i="3" s="1"/>
  <c r="G601" i="3"/>
  <c r="I601" i="3" l="1"/>
  <c r="K601" i="3"/>
  <c r="J601" i="3"/>
  <c r="H603" i="3"/>
  <c r="L603" i="3" s="1"/>
  <c r="G602" i="3"/>
  <c r="J602" i="3" s="1"/>
  <c r="K602" i="3" l="1"/>
  <c r="I602" i="3"/>
  <c r="H604" i="3"/>
  <c r="L604" i="3" s="1"/>
  <c r="G603" i="3"/>
  <c r="I603" i="3" l="1"/>
  <c r="K603" i="3"/>
  <c r="J603" i="3"/>
  <c r="H605" i="3"/>
  <c r="L605" i="3" s="1"/>
  <c r="G604" i="3"/>
  <c r="K604" i="3" l="1"/>
  <c r="I604" i="3"/>
  <c r="J604" i="3"/>
  <c r="G605" i="3"/>
  <c r="H606" i="3"/>
  <c r="L606" i="3" s="1"/>
  <c r="I605" i="3" l="1"/>
  <c r="K605" i="3"/>
  <c r="J605" i="3"/>
  <c r="H607" i="3"/>
  <c r="L607" i="3" s="1"/>
  <c r="G606" i="3"/>
  <c r="I606" i="3" l="1"/>
  <c r="K606" i="3"/>
  <c r="J606" i="3"/>
  <c r="H608" i="3"/>
  <c r="L608" i="3" s="1"/>
  <c r="G607" i="3"/>
  <c r="I607" i="3" l="1"/>
  <c r="K607" i="3"/>
  <c r="J607" i="3"/>
  <c r="G608" i="3"/>
  <c r="J608" i="3" s="1"/>
  <c r="H609" i="3"/>
  <c r="L609" i="3" s="1"/>
  <c r="I608" i="3" l="1"/>
  <c r="K608" i="3"/>
  <c r="H610" i="3"/>
  <c r="L610" i="3" s="1"/>
  <c r="G609" i="3"/>
  <c r="I609" i="3" l="1"/>
  <c r="K609" i="3"/>
  <c r="J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K612" i="3" l="1"/>
  <c r="I612" i="3"/>
  <c r="J612" i="3"/>
  <c r="G613" i="3"/>
  <c r="H614" i="3"/>
  <c r="L614" i="3" s="1"/>
  <c r="I613" i="3" l="1"/>
  <c r="K613" i="3"/>
  <c r="J613" i="3"/>
  <c r="H615" i="3"/>
  <c r="L615" i="3" s="1"/>
  <c r="G614" i="3"/>
  <c r="J614" i="3" s="1"/>
  <c r="K614" i="3" l="1"/>
  <c r="I614" i="3"/>
  <c r="H616" i="3"/>
  <c r="L616" i="3" s="1"/>
  <c r="G615" i="3"/>
  <c r="J615" i="3" s="1"/>
  <c r="I615" i="3" l="1"/>
  <c r="K615" i="3"/>
  <c r="G616" i="3"/>
  <c r="H617" i="3"/>
  <c r="L617" i="3" s="1"/>
  <c r="I616" i="3" l="1"/>
  <c r="K616" i="3"/>
  <c r="J616" i="3"/>
  <c r="H618" i="3"/>
  <c r="L618" i="3" s="1"/>
  <c r="G617" i="3"/>
  <c r="I617" i="3" l="1"/>
  <c r="K617" i="3"/>
  <c r="J617" i="3"/>
  <c r="H619" i="3"/>
  <c r="L619" i="3" s="1"/>
  <c r="G618" i="3"/>
  <c r="K618" i="3" l="1"/>
  <c r="I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G621" i="3"/>
  <c r="H622" i="3"/>
  <c r="L622" i="3" s="1"/>
  <c r="I621" i="3" l="1"/>
  <c r="K621" i="3"/>
  <c r="J621" i="3"/>
  <c r="H623" i="3"/>
  <c r="L623" i="3" s="1"/>
  <c r="G622" i="3"/>
  <c r="J622" i="3" s="1"/>
  <c r="K622" i="3" l="1"/>
  <c r="I622" i="3"/>
  <c r="H624" i="3"/>
  <c r="L624" i="3" s="1"/>
  <c r="G623" i="3"/>
  <c r="I623" i="3" l="1"/>
  <c r="K623" i="3"/>
  <c r="J623" i="3"/>
  <c r="G624" i="3"/>
  <c r="H625" i="3"/>
  <c r="L625" i="3" s="1"/>
  <c r="K624" i="3" l="1"/>
  <c r="I624" i="3"/>
  <c r="J624" i="3"/>
  <c r="H626" i="3"/>
  <c r="L626" i="3" s="1"/>
  <c r="G625" i="3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I627" i="3" l="1"/>
  <c r="K627" i="3"/>
  <c r="J627" i="3"/>
  <c r="H629" i="3"/>
  <c r="L629" i="3" s="1"/>
  <c r="G628" i="3"/>
  <c r="K628" i="3" l="1"/>
  <c r="I628" i="3"/>
  <c r="J628" i="3"/>
  <c r="G629" i="3"/>
  <c r="H630" i="3"/>
  <c r="L630" i="3" s="1"/>
  <c r="K629" i="3" l="1"/>
  <c r="I629" i="3"/>
  <c r="J629" i="3"/>
  <c r="H631" i="3"/>
  <c r="L631" i="3" s="1"/>
  <c r="G630" i="3"/>
  <c r="J630" i="3" s="1"/>
  <c r="K630" i="3" l="1"/>
  <c r="I630" i="3"/>
  <c r="H632" i="3"/>
  <c r="L632" i="3" s="1"/>
  <c r="G631" i="3"/>
  <c r="I631" i="3" l="1"/>
  <c r="K631" i="3"/>
  <c r="J631" i="3"/>
  <c r="G632" i="3"/>
  <c r="H633" i="3"/>
  <c r="L633" i="3" s="1"/>
  <c r="K632" i="3" l="1"/>
  <c r="I632" i="3"/>
  <c r="J632" i="3"/>
  <c r="H634" i="3"/>
  <c r="L634" i="3" s="1"/>
  <c r="G633" i="3"/>
  <c r="J633" i="3" s="1"/>
  <c r="K633" i="3" l="1"/>
  <c r="I633" i="3"/>
  <c r="H635" i="3"/>
  <c r="L635" i="3" s="1"/>
  <c r="G634" i="3"/>
  <c r="K634" i="3" l="1"/>
  <c r="I634" i="3"/>
  <c r="J634" i="3"/>
  <c r="G635" i="3"/>
  <c r="H636" i="3"/>
  <c r="L636" i="3" s="1"/>
  <c r="I635" i="3" l="1"/>
  <c r="K635" i="3"/>
  <c r="J635" i="3"/>
  <c r="H637" i="3"/>
  <c r="L637" i="3" s="1"/>
  <c r="G636" i="3"/>
  <c r="K636" i="3" l="1"/>
  <c r="I636" i="3"/>
  <c r="J636" i="3"/>
  <c r="G637" i="3"/>
  <c r="H638" i="3"/>
  <c r="L638" i="3" s="1"/>
  <c r="K637" i="3" l="1"/>
  <c r="I637" i="3"/>
  <c r="J637" i="3"/>
  <c r="H639" i="3"/>
  <c r="L639" i="3" s="1"/>
  <c r="G638" i="3"/>
  <c r="K638" i="3" l="1"/>
  <c r="I638" i="3"/>
  <c r="J638" i="3"/>
  <c r="H640" i="3"/>
  <c r="L640" i="3" s="1"/>
  <c r="G639" i="3"/>
  <c r="J639" i="3" s="1"/>
  <c r="K639" i="3" l="1"/>
  <c r="I639" i="3"/>
  <c r="G640" i="3"/>
  <c r="H641" i="3"/>
  <c r="L641" i="3" s="1"/>
  <c r="K640" i="3" l="1"/>
  <c r="I640" i="3"/>
  <c r="J640" i="3"/>
  <c r="H642" i="3"/>
  <c r="L642" i="3" s="1"/>
  <c r="G641" i="3"/>
  <c r="K641" i="3" l="1"/>
  <c r="I641" i="3"/>
  <c r="J641" i="3"/>
  <c r="H643" i="3"/>
  <c r="L643" i="3" s="1"/>
  <c r="G642" i="3"/>
  <c r="J642" i="3" s="1"/>
  <c r="K642" i="3" l="1"/>
  <c r="I642" i="3"/>
  <c r="G643" i="3"/>
  <c r="H644" i="3"/>
  <c r="L644" i="3" s="1"/>
  <c r="I643" i="3" l="1"/>
  <c r="K643" i="3"/>
  <c r="J643" i="3"/>
  <c r="H645" i="3"/>
  <c r="L645" i="3" s="1"/>
  <c r="G644" i="3"/>
  <c r="I644" i="3" l="1"/>
  <c r="K644" i="3"/>
  <c r="J644" i="3"/>
  <c r="G645" i="3"/>
  <c r="H646" i="3"/>
  <c r="L646" i="3" s="1"/>
  <c r="K645" i="3" l="1"/>
  <c r="I645" i="3"/>
  <c r="J645" i="3"/>
  <c r="H647" i="3"/>
  <c r="L647" i="3" s="1"/>
  <c r="G646" i="3"/>
  <c r="I646" i="3" l="1"/>
  <c r="K646" i="3"/>
  <c r="J646" i="3"/>
  <c r="H648" i="3"/>
  <c r="L648" i="3" s="1"/>
  <c r="G647" i="3"/>
  <c r="I647" i="3" l="1"/>
  <c r="K647" i="3"/>
  <c r="J647" i="3"/>
  <c r="G648" i="3"/>
  <c r="H649" i="3"/>
  <c r="L649" i="3" s="1"/>
  <c r="I648" i="3" l="1"/>
  <c r="K648" i="3"/>
  <c r="J648" i="3"/>
  <c r="H650" i="3"/>
  <c r="L650" i="3" s="1"/>
  <c r="G649" i="3"/>
  <c r="J649" i="3" s="1"/>
  <c r="K649" i="3" l="1"/>
  <c r="I649" i="3"/>
  <c r="H651" i="3"/>
  <c r="L651" i="3" s="1"/>
  <c r="G650" i="3"/>
  <c r="K650" i="3" l="1"/>
  <c r="I650" i="3"/>
  <c r="J650" i="3"/>
  <c r="H652" i="3"/>
  <c r="L652" i="3" s="1"/>
  <c r="G651" i="3"/>
  <c r="J651" i="3" s="1"/>
  <c r="I651" i="3" l="1"/>
  <c r="K651" i="3"/>
  <c r="H653" i="3"/>
  <c r="L653" i="3" s="1"/>
  <c r="G652" i="3"/>
  <c r="I652" i="3" l="1"/>
  <c r="K652" i="3"/>
  <c r="J652" i="3"/>
  <c r="G653" i="3"/>
  <c r="H654" i="3"/>
  <c r="L654" i="3" s="1"/>
  <c r="K653" i="3" l="1"/>
  <c r="I653" i="3"/>
  <c r="J653" i="3"/>
  <c r="H655" i="3"/>
  <c r="L655" i="3" s="1"/>
  <c r="G654" i="3"/>
  <c r="J654" i="3" s="1"/>
  <c r="K654" i="3" l="1"/>
  <c r="I654" i="3"/>
  <c r="H656" i="3"/>
  <c r="L656" i="3" s="1"/>
  <c r="G655" i="3"/>
  <c r="I655" i="3" l="1"/>
  <c r="K655" i="3"/>
  <c r="J655" i="3"/>
  <c r="G656" i="3"/>
  <c r="H657" i="3"/>
  <c r="L657" i="3" s="1"/>
  <c r="K656" i="3" l="1"/>
  <c r="I656" i="3"/>
  <c r="J656" i="3"/>
  <c r="H658" i="3"/>
  <c r="L658" i="3" s="1"/>
  <c r="G657" i="3"/>
  <c r="K657" i="3" l="1"/>
  <c r="I657" i="3"/>
  <c r="J657" i="3"/>
  <c r="H659" i="3"/>
  <c r="L659" i="3" s="1"/>
  <c r="G658" i="3"/>
  <c r="I658" i="3" l="1"/>
  <c r="K658" i="3"/>
  <c r="J658" i="3"/>
  <c r="H660" i="3"/>
  <c r="L660" i="3" s="1"/>
  <c r="G659" i="3"/>
  <c r="I659" i="3" l="1"/>
  <c r="K659" i="3"/>
  <c r="J659" i="3"/>
  <c r="H661" i="3"/>
  <c r="L661" i="3" s="1"/>
  <c r="G660" i="3"/>
  <c r="K660" i="3" l="1"/>
  <c r="I660" i="3"/>
  <c r="J660" i="3"/>
  <c r="G661" i="3"/>
  <c r="H662" i="3"/>
  <c r="L662" i="3" s="1"/>
  <c r="K661" i="3" l="1"/>
  <c r="I661" i="3"/>
  <c r="J661" i="3"/>
  <c r="H663" i="3"/>
  <c r="L663" i="3" s="1"/>
  <c r="G662" i="3"/>
  <c r="J662" i="3" s="1"/>
  <c r="K662" i="3" l="1"/>
  <c r="I662" i="3"/>
  <c r="H664" i="3"/>
  <c r="L664" i="3" s="1"/>
  <c r="G663" i="3"/>
  <c r="I663" i="3" l="1"/>
  <c r="K663" i="3"/>
  <c r="J663" i="3"/>
  <c r="G664" i="3"/>
  <c r="H665" i="3"/>
  <c r="L665" i="3" s="1"/>
  <c r="K664" i="3" l="1"/>
  <c r="I664" i="3"/>
  <c r="J664" i="3"/>
  <c r="H666" i="3"/>
  <c r="L666" i="3" s="1"/>
  <c r="G665" i="3"/>
  <c r="J665" i="3" s="1"/>
  <c r="K665" i="3" l="1"/>
  <c r="I665" i="3"/>
  <c r="H667" i="3"/>
  <c r="L667" i="3" s="1"/>
  <c r="G666" i="3"/>
  <c r="I666" i="3" l="1"/>
  <c r="K666" i="3"/>
  <c r="J666" i="3"/>
  <c r="G667" i="3"/>
  <c r="J667" i="3" s="1"/>
  <c r="H668" i="3"/>
  <c r="L668" i="3" s="1"/>
  <c r="I667" i="3" l="1"/>
  <c r="K667" i="3"/>
  <c r="H669" i="3"/>
  <c r="L669" i="3" s="1"/>
  <c r="G668" i="3"/>
  <c r="K668" i="3" l="1"/>
  <c r="I668" i="3"/>
  <c r="J668" i="3"/>
  <c r="G669" i="3"/>
  <c r="H670" i="3"/>
  <c r="L670" i="3" s="1"/>
  <c r="K669" i="3" l="1"/>
  <c r="I669" i="3"/>
  <c r="J669" i="3"/>
  <c r="H671" i="3"/>
  <c r="L671" i="3" s="1"/>
  <c r="G670" i="3"/>
  <c r="K670" i="3" l="1"/>
  <c r="I670" i="3"/>
  <c r="J670" i="3"/>
  <c r="H672" i="3"/>
  <c r="L672" i="3" s="1"/>
  <c r="G671" i="3"/>
  <c r="K671" i="3" l="1"/>
  <c r="I671" i="3"/>
  <c r="J671" i="3"/>
  <c r="G672" i="3"/>
  <c r="H673" i="3"/>
  <c r="L673" i="3" s="1"/>
  <c r="K672" i="3" l="1"/>
  <c r="I672" i="3"/>
  <c r="J672" i="3"/>
  <c r="H674" i="3"/>
  <c r="L674" i="3" s="1"/>
  <c r="G673" i="3"/>
  <c r="K673" i="3" l="1"/>
  <c r="I673" i="3"/>
  <c r="J673" i="3"/>
  <c r="H675" i="3"/>
  <c r="L675" i="3" s="1"/>
  <c r="G674" i="3"/>
  <c r="I674" i="3" l="1"/>
  <c r="K674" i="3"/>
  <c r="J674" i="3"/>
  <c r="G675" i="3"/>
  <c r="H676" i="3"/>
  <c r="L676" i="3" s="1"/>
  <c r="I675" i="3" l="1"/>
  <c r="K675" i="3"/>
  <c r="J675" i="3"/>
  <c r="H677" i="3"/>
  <c r="L677" i="3" s="1"/>
  <c r="G676" i="3"/>
  <c r="J676" i="3" s="1"/>
  <c r="I676" i="3" l="1"/>
  <c r="K676" i="3"/>
  <c r="G677" i="3"/>
  <c r="H678" i="3"/>
  <c r="L678" i="3" s="1"/>
  <c r="K677" i="3" l="1"/>
  <c r="I677" i="3"/>
  <c r="J677" i="3"/>
  <c r="H679" i="3"/>
  <c r="L679" i="3" s="1"/>
  <c r="G678" i="3"/>
  <c r="I678" i="3" l="1"/>
  <c r="K678" i="3"/>
  <c r="J678" i="3"/>
  <c r="H680" i="3"/>
  <c r="L680" i="3" s="1"/>
  <c r="G679" i="3"/>
  <c r="I679" i="3" l="1"/>
  <c r="K679" i="3"/>
  <c r="J679" i="3"/>
  <c r="G680" i="3"/>
  <c r="H681" i="3"/>
  <c r="L681" i="3" s="1"/>
  <c r="K680" i="3" l="1"/>
  <c r="I680" i="3"/>
  <c r="J680" i="3"/>
  <c r="H682" i="3"/>
  <c r="L682" i="3" s="1"/>
  <c r="G681" i="3"/>
  <c r="K681" i="3" l="1"/>
  <c r="I681" i="3"/>
  <c r="J681" i="3"/>
  <c r="H683" i="3"/>
  <c r="L683" i="3" s="1"/>
  <c r="G682" i="3"/>
  <c r="J682" i="3" s="1"/>
  <c r="K682" i="3" l="1"/>
  <c r="I682" i="3"/>
  <c r="H684" i="3"/>
  <c r="L684" i="3" s="1"/>
  <c r="G683" i="3"/>
  <c r="I683" i="3" l="1"/>
  <c r="K683" i="3"/>
  <c r="J683" i="3"/>
  <c r="H685" i="3"/>
  <c r="L685" i="3" s="1"/>
  <c r="G684" i="3"/>
  <c r="I684" i="3" l="1"/>
  <c r="K684" i="3"/>
  <c r="J684" i="3"/>
  <c r="G685" i="3"/>
  <c r="H686" i="3"/>
  <c r="L686" i="3" s="1"/>
  <c r="K685" i="3" l="1"/>
  <c r="I685" i="3"/>
  <c r="J685" i="3"/>
  <c r="H687" i="3"/>
  <c r="L687" i="3" s="1"/>
  <c r="G686" i="3"/>
  <c r="K686" i="3" l="1"/>
  <c r="I686" i="3"/>
  <c r="J686" i="3"/>
  <c r="H688" i="3"/>
  <c r="L688" i="3" s="1"/>
  <c r="G687" i="3"/>
  <c r="I687" i="3" l="1"/>
  <c r="K687" i="3"/>
  <c r="J687" i="3"/>
  <c r="G688" i="3"/>
  <c r="J688" i="3" s="1"/>
  <c r="H689" i="3"/>
  <c r="L689" i="3" s="1"/>
  <c r="K688" i="3" l="1"/>
  <c r="I688" i="3"/>
  <c r="H690" i="3"/>
  <c r="L690" i="3" s="1"/>
  <c r="G689" i="3"/>
  <c r="K689" i="3" l="1"/>
  <c r="I689" i="3"/>
  <c r="J689" i="3"/>
  <c r="H691" i="3"/>
  <c r="L691" i="3" s="1"/>
  <c r="G690" i="3"/>
  <c r="K690" i="3" l="1"/>
  <c r="I690" i="3"/>
  <c r="J690" i="3"/>
  <c r="H692" i="3"/>
  <c r="L692" i="3" s="1"/>
  <c r="G691" i="3"/>
  <c r="I691" i="3" l="1"/>
  <c r="K691" i="3"/>
  <c r="J691" i="3"/>
  <c r="H693" i="3"/>
  <c r="L693" i="3" s="1"/>
  <c r="G692" i="3"/>
  <c r="K692" i="3" l="1"/>
  <c r="I692" i="3"/>
  <c r="J692" i="3"/>
  <c r="G693" i="3"/>
  <c r="H694" i="3"/>
  <c r="L694" i="3" s="1"/>
  <c r="K693" i="3" l="1"/>
  <c r="I693" i="3"/>
  <c r="J693" i="3"/>
  <c r="H695" i="3"/>
  <c r="L695" i="3" s="1"/>
  <c r="G694" i="3"/>
  <c r="J694" i="3" s="1"/>
  <c r="K694" i="3" l="1"/>
  <c r="I694" i="3"/>
  <c r="H696" i="3"/>
  <c r="L696" i="3" s="1"/>
  <c r="G695" i="3"/>
  <c r="I695" i="3" l="1"/>
  <c r="K695" i="3"/>
  <c r="J695" i="3"/>
  <c r="G696" i="3"/>
  <c r="H697" i="3"/>
  <c r="L697" i="3" s="1"/>
  <c r="K696" i="3" l="1"/>
  <c r="I696" i="3"/>
  <c r="J696" i="3"/>
  <c r="H698" i="3"/>
  <c r="L698" i="3" s="1"/>
  <c r="G697" i="3"/>
  <c r="K697" i="3" l="1"/>
  <c r="I697" i="3"/>
  <c r="J697" i="3"/>
  <c r="H699" i="3"/>
  <c r="L699" i="3" s="1"/>
  <c r="G698" i="3"/>
  <c r="J698" i="3" s="1"/>
  <c r="K698" i="3" l="1"/>
  <c r="I698" i="3"/>
  <c r="G699" i="3"/>
  <c r="H700" i="3"/>
  <c r="L700" i="3" s="1"/>
  <c r="I699" i="3" l="1"/>
  <c r="K699" i="3"/>
  <c r="J699" i="3"/>
  <c r="H701" i="3"/>
  <c r="L701" i="3" s="1"/>
  <c r="G700" i="3"/>
  <c r="J700" i="3" s="1"/>
  <c r="K700" i="3" l="1"/>
  <c r="I700" i="3"/>
  <c r="G701" i="3"/>
  <c r="H702" i="3"/>
  <c r="L702" i="3" s="1"/>
  <c r="K701" i="3" l="1"/>
  <c r="I701" i="3"/>
  <c r="J701" i="3"/>
  <c r="H703" i="3"/>
  <c r="L703" i="3" s="1"/>
  <c r="G702" i="3"/>
  <c r="K702" i="3" l="1"/>
  <c r="I702" i="3"/>
  <c r="J702" i="3"/>
  <c r="H704" i="3"/>
  <c r="L704" i="3" s="1"/>
  <c r="G703" i="3"/>
  <c r="K703" i="3" l="1"/>
  <c r="I703" i="3"/>
  <c r="J703" i="3"/>
  <c r="G704" i="3"/>
  <c r="H705" i="3"/>
  <c r="L705" i="3" s="1"/>
  <c r="K704" i="3" l="1"/>
  <c r="I704" i="3"/>
  <c r="J704" i="3"/>
  <c r="H706" i="3"/>
  <c r="L706" i="3" s="1"/>
  <c r="G705" i="3"/>
  <c r="K705" i="3" l="1"/>
  <c r="I705" i="3"/>
  <c r="J705" i="3"/>
  <c r="H707" i="3"/>
  <c r="L707" i="3" s="1"/>
  <c r="G706" i="3"/>
  <c r="K706" i="3" l="1"/>
  <c r="I706" i="3"/>
  <c r="J706" i="3"/>
  <c r="G707" i="3"/>
  <c r="H708" i="3"/>
  <c r="L708" i="3" s="1"/>
  <c r="I707" i="3" l="1"/>
  <c r="K707" i="3"/>
  <c r="J707" i="3"/>
  <c r="H709" i="3"/>
  <c r="L709" i="3" s="1"/>
  <c r="G708" i="3"/>
  <c r="I708" i="3" l="1"/>
  <c r="K708" i="3"/>
  <c r="J708" i="3"/>
  <c r="G709" i="3"/>
  <c r="H710" i="3"/>
  <c r="L710" i="3" s="1"/>
  <c r="K709" i="3" l="1"/>
  <c r="I709" i="3"/>
  <c r="J709" i="3"/>
  <c r="H711" i="3"/>
  <c r="L711" i="3" s="1"/>
  <c r="G710" i="3"/>
  <c r="I710" i="3" l="1"/>
  <c r="K710" i="3"/>
  <c r="J710" i="3"/>
  <c r="H712" i="3"/>
  <c r="L712" i="3" s="1"/>
  <c r="G711" i="3"/>
  <c r="J711" i="3" s="1"/>
  <c r="I711" i="3" l="1"/>
  <c r="K711" i="3"/>
  <c r="G712" i="3"/>
  <c r="H713" i="3"/>
  <c r="L713" i="3" s="1"/>
  <c r="K712" i="3" l="1"/>
  <c r="I712" i="3"/>
  <c r="J712" i="3"/>
  <c r="H714" i="3"/>
  <c r="L714" i="3" s="1"/>
  <c r="G713" i="3"/>
  <c r="J713" i="3" s="1"/>
  <c r="K713" i="3" l="1"/>
  <c r="I713" i="3"/>
  <c r="H715" i="3"/>
  <c r="L715" i="3" s="1"/>
  <c r="G714" i="3"/>
  <c r="K714" i="3" l="1"/>
  <c r="I714" i="3"/>
  <c r="J714" i="3"/>
  <c r="H716" i="3"/>
  <c r="L716" i="3" s="1"/>
  <c r="G715" i="3"/>
  <c r="I715" i="3" l="1"/>
  <c r="K715" i="3"/>
  <c r="J715" i="3"/>
  <c r="H717" i="3"/>
  <c r="L717" i="3" s="1"/>
  <c r="G716" i="3"/>
  <c r="I716" i="3" l="1"/>
  <c r="K716" i="3"/>
  <c r="J716" i="3"/>
  <c r="G717" i="3"/>
  <c r="H718" i="3"/>
  <c r="L718" i="3" s="1"/>
  <c r="K717" i="3" l="1"/>
  <c r="I717" i="3"/>
  <c r="J717" i="3"/>
  <c r="H719" i="3"/>
  <c r="L719" i="3" s="1"/>
  <c r="G718" i="3"/>
  <c r="J718" i="3" s="1"/>
  <c r="K718" i="3" l="1"/>
  <c r="I718" i="3"/>
  <c r="H720" i="3"/>
  <c r="L720" i="3" s="1"/>
  <c r="G719" i="3"/>
  <c r="J719" i="3" s="1"/>
  <c r="I719" i="3" l="1"/>
  <c r="K719" i="3"/>
  <c r="G720" i="3"/>
  <c r="H721" i="3"/>
  <c r="L721" i="3" s="1"/>
  <c r="K720" i="3" l="1"/>
  <c r="I720" i="3"/>
  <c r="J720" i="3"/>
  <c r="H722" i="3"/>
  <c r="L722" i="3" s="1"/>
  <c r="G721" i="3"/>
  <c r="K721" i="3" l="1"/>
  <c r="I721" i="3"/>
  <c r="J721" i="3"/>
  <c r="H723" i="3"/>
  <c r="L723" i="3" s="1"/>
  <c r="G722" i="3"/>
  <c r="I722" i="3" l="1"/>
  <c r="K722" i="3"/>
  <c r="J722" i="3"/>
  <c r="H724" i="3"/>
  <c r="L724" i="3" s="1"/>
  <c r="G723" i="3"/>
  <c r="I723" i="3" l="1"/>
  <c r="K723" i="3"/>
  <c r="J723" i="3"/>
  <c r="H725" i="3"/>
  <c r="L725" i="3" s="1"/>
  <c r="G724" i="3"/>
  <c r="K724" i="3" l="1"/>
  <c r="I724" i="3"/>
  <c r="J724" i="3"/>
  <c r="G725" i="3"/>
  <c r="H726" i="3"/>
  <c r="L726" i="3" s="1"/>
  <c r="I725" i="3" l="1"/>
  <c r="K725" i="3"/>
  <c r="J725" i="3"/>
  <c r="H727" i="3"/>
  <c r="L727" i="3" s="1"/>
  <c r="G726" i="3"/>
  <c r="J726" i="3" s="1"/>
  <c r="K726" i="3" l="1"/>
  <c r="I726" i="3"/>
  <c r="H728" i="3"/>
  <c r="L728" i="3" s="1"/>
  <c r="G727" i="3"/>
  <c r="I727" i="3" l="1"/>
  <c r="K727" i="3"/>
  <c r="J727" i="3"/>
  <c r="G728" i="3"/>
  <c r="H729" i="3"/>
  <c r="L729" i="3" s="1"/>
  <c r="K728" i="3" l="1"/>
  <c r="I728" i="3"/>
  <c r="J728" i="3"/>
  <c r="H730" i="3"/>
  <c r="L730" i="3" s="1"/>
  <c r="G729" i="3"/>
  <c r="J729" i="3" s="1"/>
  <c r="K729" i="3" l="1"/>
  <c r="I729" i="3"/>
  <c r="H731" i="3"/>
  <c r="L731" i="3" s="1"/>
  <c r="G730" i="3"/>
  <c r="I730" i="3" l="1"/>
  <c r="K730" i="3"/>
  <c r="J730" i="3"/>
  <c r="G731" i="3"/>
  <c r="H732" i="3"/>
  <c r="L732" i="3" s="1"/>
  <c r="I731" i="3" l="1"/>
  <c r="K731" i="3"/>
  <c r="J731" i="3"/>
  <c r="H733" i="3"/>
  <c r="L733" i="3" s="1"/>
  <c r="G732" i="3"/>
  <c r="J732" i="3" s="1"/>
  <c r="K732" i="3" l="1"/>
  <c r="I732" i="3"/>
  <c r="G733" i="3"/>
  <c r="J733" i="3" s="1"/>
  <c r="H734" i="3"/>
  <c r="L734" i="3" s="1"/>
  <c r="K733" i="3" l="1"/>
  <c r="I733" i="3"/>
  <c r="H735" i="3"/>
  <c r="L735" i="3" s="1"/>
  <c r="G734" i="3"/>
  <c r="K734" i="3" l="1"/>
  <c r="I734" i="3"/>
  <c r="J734" i="3"/>
  <c r="H736" i="3"/>
  <c r="L736" i="3" s="1"/>
  <c r="G735" i="3"/>
  <c r="K735" i="3" l="1"/>
  <c r="I735" i="3"/>
  <c r="J735" i="3"/>
  <c r="G736" i="3"/>
  <c r="H737" i="3"/>
  <c r="L737" i="3" s="1"/>
  <c r="K736" i="3" l="1"/>
  <c r="I736" i="3"/>
  <c r="J736" i="3"/>
  <c r="H738" i="3"/>
  <c r="L738" i="3" s="1"/>
  <c r="G737" i="3"/>
  <c r="K737" i="3" l="1"/>
  <c r="I737" i="3"/>
  <c r="J737" i="3"/>
  <c r="H739" i="3"/>
  <c r="L739" i="3" s="1"/>
  <c r="G738" i="3"/>
  <c r="I738" i="3" l="1"/>
  <c r="K738" i="3"/>
  <c r="J738" i="3"/>
  <c r="G739" i="3"/>
  <c r="J739" i="3" s="1"/>
  <c r="H740" i="3"/>
  <c r="L740" i="3" s="1"/>
  <c r="I739" i="3" l="1"/>
  <c r="K739" i="3"/>
  <c r="H741" i="3"/>
  <c r="L741" i="3" s="1"/>
  <c r="G740" i="3"/>
  <c r="I740" i="3" l="1"/>
  <c r="K740" i="3"/>
  <c r="J740" i="3"/>
  <c r="G741" i="3"/>
  <c r="J741" i="3" s="1"/>
  <c r="H742" i="3"/>
  <c r="L742" i="3" s="1"/>
  <c r="K741" i="3" l="1"/>
  <c r="I741" i="3"/>
  <c r="H743" i="3"/>
  <c r="L743" i="3" s="1"/>
  <c r="G742" i="3"/>
  <c r="I742" i="3" l="1"/>
  <c r="K742" i="3"/>
  <c r="J742" i="3"/>
  <c r="H744" i="3"/>
  <c r="L744" i="3" s="1"/>
  <c r="G743" i="3"/>
  <c r="J743" i="3" s="1"/>
  <c r="I743" i="3" l="1"/>
  <c r="K743" i="3"/>
  <c r="G744" i="3"/>
  <c r="H745" i="3"/>
  <c r="L745" i="3" s="1"/>
  <c r="K744" i="3" l="1"/>
  <c r="I744" i="3"/>
  <c r="J744" i="3"/>
  <c r="H746" i="3"/>
  <c r="L746" i="3" s="1"/>
  <c r="G745" i="3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J747" i="3" s="1"/>
  <c r="I747" i="3" l="1"/>
  <c r="K747" i="3"/>
  <c r="H749" i="3"/>
  <c r="L749" i="3" s="1"/>
  <c r="G748" i="3"/>
  <c r="I748" i="3" l="1"/>
  <c r="K748" i="3"/>
  <c r="J748" i="3"/>
  <c r="G749" i="3"/>
  <c r="H750" i="3"/>
  <c r="L750" i="3" s="1"/>
  <c r="K749" i="3" l="1"/>
  <c r="I749" i="3"/>
  <c r="J749" i="3"/>
  <c r="H751" i="3"/>
  <c r="L751" i="3" s="1"/>
  <c r="G750" i="3"/>
  <c r="J750" i="3" s="1"/>
  <c r="K750" i="3" l="1"/>
  <c r="I750" i="3"/>
  <c r="H752" i="3"/>
  <c r="L752" i="3" s="1"/>
  <c r="G751" i="3"/>
  <c r="K751" i="3" l="1"/>
  <c r="I751" i="3"/>
  <c r="J751" i="3"/>
  <c r="G752" i="3"/>
  <c r="H753" i="3"/>
  <c r="L753" i="3" s="1"/>
  <c r="K752" i="3" l="1"/>
  <c r="I752" i="3"/>
  <c r="J752" i="3"/>
  <c r="H754" i="3"/>
  <c r="L754" i="3" s="1"/>
  <c r="G753" i="3"/>
  <c r="I753" i="3" l="1"/>
  <c r="K753" i="3"/>
  <c r="J753" i="3"/>
  <c r="H755" i="3"/>
  <c r="L755" i="3" s="1"/>
  <c r="G754" i="3"/>
  <c r="K754" i="3" l="1"/>
  <c r="I754" i="3"/>
  <c r="J754" i="3"/>
  <c r="H756" i="3"/>
  <c r="L756" i="3" s="1"/>
  <c r="G755" i="3"/>
  <c r="J755" i="3" s="1"/>
  <c r="I755" i="3" l="1"/>
  <c r="K755" i="3"/>
  <c r="H757" i="3"/>
  <c r="L757" i="3" s="1"/>
  <c r="G756" i="3"/>
  <c r="K756" i="3" l="1"/>
  <c r="I756" i="3"/>
  <c r="J756" i="3"/>
  <c r="G757" i="3"/>
  <c r="H758" i="3"/>
  <c r="L758" i="3" s="1"/>
  <c r="K757" i="3" l="1"/>
  <c r="I757" i="3"/>
  <c r="J757" i="3"/>
  <c r="H759" i="3"/>
  <c r="L759" i="3" s="1"/>
  <c r="G758" i="3"/>
  <c r="K758" i="3" l="1"/>
  <c r="I758" i="3"/>
  <c r="J758" i="3"/>
  <c r="H760" i="3"/>
  <c r="L760" i="3" s="1"/>
  <c r="G759" i="3"/>
  <c r="K759" i="3" l="1"/>
  <c r="I759" i="3"/>
  <c r="J759" i="3"/>
  <c r="G760" i="3"/>
  <c r="J760" i="3" s="1"/>
  <c r="H761" i="3"/>
  <c r="L761" i="3" s="1"/>
  <c r="K760" i="3" l="1"/>
  <c r="I760" i="3"/>
  <c r="H762" i="3"/>
  <c r="L762" i="3" s="1"/>
  <c r="G761" i="3"/>
  <c r="K761" i="3" l="1"/>
  <c r="I761" i="3"/>
  <c r="J761" i="3"/>
  <c r="H763" i="3"/>
  <c r="L763" i="3" s="1"/>
  <c r="G762" i="3"/>
  <c r="J762" i="3" s="1"/>
  <c r="I762" i="3" l="1"/>
  <c r="K762" i="3"/>
  <c r="G763" i="3"/>
  <c r="H764" i="3"/>
  <c r="L764" i="3" s="1"/>
  <c r="K763" i="3" l="1"/>
  <c r="I763" i="3"/>
  <c r="J763" i="3"/>
  <c r="H765" i="3"/>
  <c r="L765" i="3" s="1"/>
  <c r="G764" i="3"/>
  <c r="K764" i="3" l="1"/>
  <c r="I764" i="3"/>
  <c r="J764" i="3"/>
  <c r="G765" i="3"/>
  <c r="H766" i="3"/>
  <c r="L766" i="3" s="1"/>
  <c r="K765" i="3" l="1"/>
  <c r="I765" i="3"/>
  <c r="J765" i="3"/>
  <c r="H767" i="3"/>
  <c r="L767" i="3" s="1"/>
  <c r="G766" i="3"/>
  <c r="K766" i="3" l="1"/>
  <c r="I766" i="3"/>
  <c r="J766" i="3"/>
  <c r="H768" i="3"/>
  <c r="L768" i="3" s="1"/>
  <c r="G767" i="3"/>
  <c r="J767" i="3" s="1"/>
  <c r="K767" i="3" l="1"/>
  <c r="I767" i="3"/>
  <c r="G768" i="3"/>
  <c r="H769" i="3"/>
  <c r="L769" i="3" s="1"/>
  <c r="K768" i="3" l="1"/>
  <c r="I768" i="3"/>
  <c r="J768" i="3"/>
  <c r="H770" i="3"/>
  <c r="L770" i="3" s="1"/>
  <c r="G769" i="3"/>
  <c r="I769" i="3" l="1"/>
  <c r="K769" i="3"/>
  <c r="J769" i="3"/>
  <c r="H771" i="3"/>
  <c r="L771" i="3" s="1"/>
  <c r="G770" i="3"/>
  <c r="K770" i="3" l="1"/>
  <c r="I770" i="3"/>
  <c r="J770" i="3"/>
  <c r="G771" i="3"/>
  <c r="H772" i="3"/>
  <c r="L772" i="3" s="1"/>
  <c r="K771" i="3" l="1"/>
  <c r="I771" i="3"/>
  <c r="J771" i="3"/>
  <c r="H773" i="3"/>
  <c r="L773" i="3" s="1"/>
  <c r="G772" i="3"/>
  <c r="J772" i="3" s="1"/>
  <c r="K772" i="3" l="1"/>
  <c r="I772" i="3"/>
  <c r="G773" i="3"/>
  <c r="J773" i="3" s="1"/>
  <c r="H774" i="3"/>
  <c r="L774" i="3" s="1"/>
  <c r="K773" i="3" l="1"/>
  <c r="I773" i="3"/>
  <c r="H775" i="3"/>
  <c r="L775" i="3" s="1"/>
  <c r="G774" i="3"/>
  <c r="J774" i="3" s="1"/>
  <c r="K774" i="3" l="1"/>
  <c r="I774" i="3"/>
  <c r="H776" i="3"/>
  <c r="L776" i="3" s="1"/>
  <c r="G775" i="3"/>
  <c r="J775" i="3" s="1"/>
  <c r="K775" i="3" l="1"/>
  <c r="I775" i="3"/>
  <c r="G776" i="3"/>
  <c r="H777" i="3"/>
  <c r="L777" i="3" s="1"/>
  <c r="K776" i="3" l="1"/>
  <c r="I776" i="3"/>
  <c r="J776" i="3"/>
  <c r="H778" i="3"/>
  <c r="L778" i="3" s="1"/>
  <c r="G777" i="3"/>
  <c r="J777" i="3" s="1"/>
  <c r="K777" i="3" l="1"/>
  <c r="I777" i="3"/>
  <c r="H779" i="3"/>
  <c r="L779" i="3" s="1"/>
  <c r="G778" i="3"/>
  <c r="K778" i="3" l="1"/>
  <c r="I778" i="3"/>
  <c r="J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G781" i="3"/>
  <c r="H782" i="3"/>
  <c r="L782" i="3" s="1"/>
  <c r="K781" i="3" l="1"/>
  <c r="I781" i="3"/>
  <c r="J781" i="3"/>
  <c r="H783" i="3"/>
  <c r="L783" i="3" s="1"/>
  <c r="G782" i="3"/>
  <c r="I782" i="3" l="1"/>
  <c r="K782" i="3"/>
  <c r="J782" i="3"/>
  <c r="H784" i="3"/>
  <c r="L784" i="3" s="1"/>
  <c r="G783" i="3"/>
  <c r="J783" i="3" s="1"/>
  <c r="I783" i="3" l="1"/>
  <c r="K783" i="3"/>
  <c r="G784" i="3"/>
  <c r="J784" i="3" s="1"/>
  <c r="H785" i="3"/>
  <c r="L785" i="3" s="1"/>
  <c r="K784" i="3" l="1"/>
  <c r="I784" i="3"/>
  <c r="H786" i="3"/>
  <c r="L786" i="3" s="1"/>
  <c r="G785" i="3"/>
  <c r="I785" i="3" l="1"/>
  <c r="K785" i="3"/>
  <c r="J785" i="3"/>
  <c r="H787" i="3"/>
  <c r="L787" i="3" s="1"/>
  <c r="G786" i="3"/>
  <c r="K786" i="3" l="1"/>
  <c r="I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G789" i="3"/>
  <c r="J789" i="3" s="1"/>
  <c r="H790" i="3"/>
  <c r="L790" i="3" s="1"/>
  <c r="K789" i="3" l="1"/>
  <c r="I789" i="3"/>
  <c r="G790" i="3"/>
  <c r="H791" i="3"/>
  <c r="L791" i="3" s="1"/>
  <c r="K790" i="3" l="1"/>
  <c r="I790" i="3"/>
  <c r="J790" i="3"/>
  <c r="H792" i="3"/>
  <c r="L792" i="3" s="1"/>
  <c r="G791" i="3"/>
  <c r="K791" i="3" l="1"/>
  <c r="I791" i="3"/>
  <c r="J791" i="3"/>
  <c r="G792" i="3"/>
  <c r="H793" i="3"/>
  <c r="L793" i="3" s="1"/>
  <c r="K792" i="3" l="1"/>
  <c r="I792" i="3"/>
  <c r="J792" i="3"/>
  <c r="H794" i="3"/>
  <c r="L794" i="3" s="1"/>
  <c r="G793" i="3"/>
  <c r="I793" i="3" l="1"/>
  <c r="K793" i="3"/>
  <c r="J793" i="3"/>
  <c r="H795" i="3"/>
  <c r="L795" i="3" s="1"/>
  <c r="G794" i="3"/>
  <c r="I794" i="3" l="1"/>
  <c r="K794" i="3"/>
  <c r="J794" i="3"/>
  <c r="H796" i="3"/>
  <c r="L796" i="3" s="1"/>
  <c r="G795" i="3"/>
  <c r="K795" i="3" l="1"/>
  <c r="I795" i="3"/>
  <c r="J795" i="3"/>
  <c r="H797" i="3"/>
  <c r="L797" i="3" s="1"/>
  <c r="G796" i="3"/>
  <c r="J796" i="3" s="1"/>
  <c r="K796" i="3" l="1"/>
  <c r="I796" i="3"/>
  <c r="G797" i="3"/>
  <c r="J797" i="3" s="1"/>
  <c r="H798" i="3"/>
  <c r="L798" i="3" s="1"/>
  <c r="K797" i="3" l="1"/>
  <c r="I797" i="3"/>
  <c r="G798" i="3"/>
  <c r="H799" i="3"/>
  <c r="L799" i="3" s="1"/>
  <c r="K798" i="3" l="1"/>
  <c r="I798" i="3"/>
  <c r="J798" i="3"/>
  <c r="H800" i="3"/>
  <c r="L800" i="3" s="1"/>
  <c r="G799" i="3"/>
  <c r="I799" i="3" l="1"/>
  <c r="K799" i="3"/>
  <c r="J799" i="3"/>
  <c r="G800" i="3"/>
  <c r="H801" i="3"/>
  <c r="L801" i="3" s="1"/>
  <c r="K800" i="3" l="1"/>
  <c r="I800" i="3"/>
  <c r="J800" i="3"/>
  <c r="H802" i="3"/>
  <c r="L802" i="3" s="1"/>
  <c r="G801" i="3"/>
  <c r="J801" i="3" s="1"/>
  <c r="K801" i="3" l="1"/>
  <c r="I801" i="3"/>
  <c r="H803" i="3"/>
  <c r="L803" i="3" s="1"/>
  <c r="G802" i="3"/>
  <c r="J802" i="3" s="1"/>
  <c r="K802" i="3" l="1"/>
  <c r="I802" i="3"/>
  <c r="H804" i="3"/>
  <c r="L804" i="3" s="1"/>
  <c r="G803" i="3"/>
  <c r="K803" i="3" l="1"/>
  <c r="I803" i="3"/>
  <c r="J803" i="3"/>
  <c r="H805" i="3"/>
  <c r="L805" i="3" s="1"/>
  <c r="G804" i="3"/>
  <c r="I804" i="3" l="1"/>
  <c r="K804" i="3"/>
  <c r="J804" i="3"/>
  <c r="G805" i="3"/>
  <c r="H806" i="3"/>
  <c r="L806" i="3" s="1"/>
  <c r="K805" i="3" l="1"/>
  <c r="I805" i="3"/>
  <c r="J805" i="3"/>
  <c r="G806" i="3"/>
  <c r="H807" i="3"/>
  <c r="L807" i="3" s="1"/>
  <c r="K806" i="3" l="1"/>
  <c r="I806" i="3"/>
  <c r="J806" i="3"/>
  <c r="H808" i="3"/>
  <c r="L808" i="3" s="1"/>
  <c r="G807" i="3"/>
  <c r="J807" i="3" s="1"/>
  <c r="I807" i="3" l="1"/>
  <c r="K807" i="3"/>
  <c r="G808" i="3"/>
  <c r="J808" i="3" s="1"/>
  <c r="H809" i="3"/>
  <c r="L809" i="3" s="1"/>
  <c r="K808" i="3" l="1"/>
  <c r="I808" i="3"/>
  <c r="H810" i="3"/>
  <c r="L810" i="3" s="1"/>
  <c r="G809" i="3"/>
  <c r="K809" i="3" l="1"/>
  <c r="I809" i="3"/>
  <c r="J809" i="3"/>
  <c r="H811" i="3"/>
  <c r="L811" i="3" s="1"/>
  <c r="G810" i="3"/>
  <c r="J810" i="3" s="1"/>
  <c r="I810" i="3" l="1"/>
  <c r="K810" i="3"/>
  <c r="H812" i="3"/>
  <c r="L812" i="3" s="1"/>
  <c r="G811" i="3"/>
  <c r="K811" i="3" l="1"/>
  <c r="I811" i="3"/>
  <c r="J811" i="3"/>
  <c r="H813" i="3"/>
  <c r="L813" i="3" s="1"/>
  <c r="G812" i="3"/>
  <c r="K812" i="3" l="1"/>
  <c r="I812" i="3"/>
  <c r="J812" i="3"/>
  <c r="G813" i="3"/>
  <c r="H814" i="3"/>
  <c r="L814" i="3" s="1"/>
  <c r="K813" i="3" l="1"/>
  <c r="I813" i="3"/>
  <c r="J813" i="3"/>
  <c r="G814" i="3"/>
  <c r="J814" i="3" s="1"/>
  <c r="H815" i="3"/>
  <c r="L815" i="3" s="1"/>
  <c r="K814" i="3" l="1"/>
  <c r="I814" i="3"/>
  <c r="H816" i="3"/>
  <c r="L816" i="3" s="1"/>
  <c r="G815" i="3"/>
  <c r="I815" i="3" l="1"/>
  <c r="K815" i="3"/>
  <c r="J815" i="3"/>
  <c r="G816" i="3"/>
  <c r="H817" i="3"/>
  <c r="L817" i="3" s="1"/>
  <c r="K816" i="3" l="1"/>
  <c r="I816" i="3"/>
  <c r="J816" i="3"/>
  <c r="H818" i="3"/>
  <c r="L818" i="3" s="1"/>
  <c r="G817" i="3"/>
  <c r="I817" i="3" l="1"/>
  <c r="K817" i="3"/>
  <c r="J817" i="3"/>
  <c r="H819" i="3"/>
  <c r="L819" i="3" s="1"/>
  <c r="G818" i="3"/>
  <c r="K818" i="3" l="1"/>
  <c r="I818" i="3"/>
  <c r="J818" i="3"/>
  <c r="H820" i="3"/>
  <c r="L820" i="3" s="1"/>
  <c r="G819" i="3"/>
  <c r="J819" i="3" s="1"/>
  <c r="I819" i="3" l="1"/>
  <c r="K819" i="3"/>
  <c r="H821" i="3"/>
  <c r="L821" i="3" s="1"/>
  <c r="G820" i="3"/>
  <c r="K820" i="3" l="1"/>
  <c r="I820" i="3"/>
  <c r="J820" i="3"/>
  <c r="G821" i="3"/>
  <c r="J821" i="3" s="1"/>
  <c r="H822" i="3"/>
  <c r="L822" i="3" s="1"/>
  <c r="K821" i="3" l="1"/>
  <c r="I821" i="3"/>
  <c r="G822" i="3"/>
  <c r="H823" i="3"/>
  <c r="L823" i="3" s="1"/>
  <c r="K822" i="3" l="1"/>
  <c r="I822" i="3"/>
  <c r="J822" i="3"/>
  <c r="H824" i="3"/>
  <c r="L824" i="3" s="1"/>
  <c r="G823" i="3"/>
  <c r="K823" i="3" l="1"/>
  <c r="I823" i="3"/>
  <c r="J823" i="3"/>
  <c r="G824" i="3"/>
  <c r="H825" i="3"/>
  <c r="L825" i="3" s="1"/>
  <c r="K824" i="3" l="1"/>
  <c r="I824" i="3"/>
  <c r="J824" i="3"/>
  <c r="H826" i="3"/>
  <c r="L826" i="3" s="1"/>
  <c r="G825" i="3"/>
  <c r="K825" i="3" l="1"/>
  <c r="I825" i="3"/>
  <c r="J825" i="3"/>
  <c r="H827" i="3"/>
  <c r="L827" i="3" s="1"/>
  <c r="G826" i="3"/>
  <c r="I826" i="3" l="1"/>
  <c r="K826" i="3"/>
  <c r="J826" i="3"/>
  <c r="H828" i="3"/>
  <c r="L828" i="3" s="1"/>
  <c r="G827" i="3"/>
  <c r="K827" i="3" l="1"/>
  <c r="I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G830" i="3"/>
  <c r="J830" i="3" s="1"/>
  <c r="H831" i="3"/>
  <c r="L831" i="3" s="1"/>
  <c r="K830" i="3" l="1"/>
  <c r="I830" i="3"/>
  <c r="G831" i="3"/>
  <c r="H832" i="3"/>
  <c r="L832" i="3" s="1"/>
  <c r="I831" i="3" l="1"/>
  <c r="K831" i="3"/>
  <c r="J831" i="3"/>
  <c r="G832" i="3"/>
  <c r="H833" i="3"/>
  <c r="L833" i="3" s="1"/>
  <c r="K832" i="3" l="1"/>
  <c r="I832" i="3"/>
  <c r="J832" i="3"/>
  <c r="G833" i="3"/>
  <c r="H834" i="3"/>
  <c r="L834" i="3" s="1"/>
  <c r="K833" i="3" l="1"/>
  <c r="I833" i="3"/>
  <c r="J833" i="3"/>
  <c r="H835" i="3"/>
  <c r="L835" i="3" s="1"/>
  <c r="G834" i="3"/>
  <c r="K834" i="3" l="1"/>
  <c r="I834" i="3"/>
  <c r="J834" i="3"/>
  <c r="G835" i="3"/>
  <c r="H836" i="3"/>
  <c r="L836" i="3" s="1"/>
  <c r="K835" i="3" l="1"/>
  <c r="I835" i="3"/>
  <c r="J835" i="3"/>
  <c r="H837" i="3"/>
  <c r="L837" i="3" s="1"/>
  <c r="G836" i="3"/>
  <c r="K836" i="3" l="1"/>
  <c r="I836" i="3"/>
  <c r="J836" i="3"/>
  <c r="H838" i="3"/>
  <c r="L838" i="3" s="1"/>
  <c r="G837" i="3"/>
  <c r="K837" i="3" l="1"/>
  <c r="I837" i="3"/>
  <c r="J837" i="3"/>
  <c r="G838" i="3"/>
  <c r="H839" i="3"/>
  <c r="L839" i="3" s="1"/>
  <c r="K838" i="3" l="1"/>
  <c r="I838" i="3"/>
  <c r="J838" i="3"/>
  <c r="H840" i="3"/>
  <c r="L840" i="3" s="1"/>
  <c r="G839" i="3"/>
  <c r="J839" i="3" s="1"/>
  <c r="I839" i="3" l="1"/>
  <c r="K839" i="3"/>
  <c r="H841" i="3"/>
  <c r="L841" i="3" s="1"/>
  <c r="G840" i="3"/>
  <c r="J840" i="3" s="1"/>
  <c r="I840" i="3" l="1"/>
  <c r="K840" i="3"/>
  <c r="G841" i="3"/>
  <c r="H842" i="3"/>
  <c r="L842" i="3" s="1"/>
  <c r="K841" i="3" l="1"/>
  <c r="I841" i="3"/>
  <c r="J841" i="3"/>
  <c r="H843" i="3"/>
  <c r="L843" i="3" s="1"/>
  <c r="G842" i="3"/>
  <c r="J842" i="3" s="1"/>
  <c r="K842" i="3" l="1"/>
  <c r="I842" i="3"/>
  <c r="H844" i="3"/>
  <c r="L844" i="3" s="1"/>
  <c r="G843" i="3"/>
  <c r="I843" i="3" l="1"/>
  <c r="K843" i="3"/>
  <c r="J843" i="3"/>
  <c r="H845" i="3"/>
  <c r="L845" i="3" s="1"/>
  <c r="G844" i="3"/>
  <c r="I844" i="3" l="1"/>
  <c r="K844" i="3"/>
  <c r="J844" i="3"/>
  <c r="H846" i="3"/>
  <c r="L846" i="3" s="1"/>
  <c r="G845" i="3"/>
  <c r="K845" i="3" l="1"/>
  <c r="I845" i="3"/>
  <c r="J845" i="3"/>
  <c r="G846" i="3"/>
  <c r="H847" i="3"/>
  <c r="L847" i="3" s="1"/>
  <c r="K846" i="3" l="1"/>
  <c r="I846" i="3"/>
  <c r="J846" i="3"/>
  <c r="H848" i="3"/>
  <c r="L848" i="3" s="1"/>
  <c r="G847" i="3"/>
  <c r="J847" i="3" s="1"/>
  <c r="K847" i="3" l="1"/>
  <c r="I847" i="3"/>
  <c r="H849" i="3"/>
  <c r="L849" i="3" s="1"/>
  <c r="G848" i="3"/>
  <c r="I848" i="3" l="1"/>
  <c r="K848" i="3"/>
  <c r="J848" i="3"/>
  <c r="G849" i="3"/>
  <c r="J849" i="3" s="1"/>
  <c r="H850" i="3"/>
  <c r="L850" i="3" s="1"/>
  <c r="K849" i="3" l="1"/>
  <c r="I849" i="3"/>
  <c r="H851" i="3"/>
  <c r="L851" i="3" s="1"/>
  <c r="G850" i="3"/>
  <c r="K850" i="3" l="1"/>
  <c r="I850" i="3"/>
  <c r="J850" i="3"/>
  <c r="G851" i="3"/>
  <c r="H852" i="3"/>
  <c r="L852" i="3" s="1"/>
  <c r="K851" i="3" l="1"/>
  <c r="I851" i="3"/>
  <c r="J851" i="3"/>
  <c r="H853" i="3"/>
  <c r="L853" i="3" s="1"/>
  <c r="G852" i="3"/>
  <c r="J852" i="3" s="1"/>
  <c r="I852" i="3" l="1"/>
  <c r="K852" i="3"/>
  <c r="H854" i="3"/>
  <c r="L854" i="3" s="1"/>
  <c r="G853" i="3"/>
  <c r="K853" i="3" l="1"/>
  <c r="I853" i="3"/>
  <c r="J853" i="3"/>
  <c r="G854" i="3"/>
  <c r="J854" i="3" s="1"/>
  <c r="H855" i="3"/>
  <c r="L855" i="3" s="1"/>
  <c r="K854" i="3" l="1"/>
  <c r="I854" i="3"/>
  <c r="H856" i="3"/>
  <c r="L856" i="3" s="1"/>
  <c r="G855" i="3"/>
  <c r="I855" i="3" l="1"/>
  <c r="K855" i="3"/>
  <c r="J855" i="3"/>
  <c r="H857" i="3"/>
  <c r="L857" i="3" s="1"/>
  <c r="G856" i="3"/>
  <c r="I856" i="3" l="1"/>
  <c r="K856" i="3"/>
  <c r="J856" i="3"/>
  <c r="G857" i="3"/>
  <c r="H858" i="3"/>
  <c r="L858" i="3" s="1"/>
  <c r="K857" i="3" l="1"/>
  <c r="I857" i="3"/>
  <c r="J857" i="3"/>
  <c r="H859" i="3"/>
  <c r="L859" i="3" s="1"/>
  <c r="G858" i="3"/>
  <c r="K858" i="3" l="1"/>
  <c r="I858" i="3"/>
  <c r="J858" i="3"/>
  <c r="G859" i="3"/>
  <c r="J859" i="3" s="1"/>
  <c r="H860" i="3"/>
  <c r="L860" i="3" s="1"/>
  <c r="I859" i="3" l="1"/>
  <c r="K859" i="3"/>
  <c r="H861" i="3"/>
  <c r="L861" i="3" s="1"/>
  <c r="G860" i="3"/>
  <c r="I860" i="3" l="1"/>
  <c r="K860" i="3"/>
  <c r="J860" i="3"/>
  <c r="G861" i="3"/>
  <c r="H862" i="3"/>
  <c r="L862" i="3" s="1"/>
  <c r="K861" i="3" l="1"/>
  <c r="I861" i="3"/>
  <c r="J861" i="3"/>
  <c r="G862" i="3"/>
  <c r="J862" i="3" s="1"/>
  <c r="H863" i="3"/>
  <c r="L863" i="3" s="1"/>
  <c r="K862" i="3" l="1"/>
  <c r="I862" i="3"/>
  <c r="H864" i="3"/>
  <c r="L864" i="3" s="1"/>
  <c r="G863" i="3"/>
  <c r="K863" i="3" l="1"/>
  <c r="I863" i="3"/>
  <c r="J863" i="3"/>
  <c r="H865" i="3"/>
  <c r="L865" i="3" s="1"/>
  <c r="G864" i="3"/>
  <c r="I864" i="3" l="1"/>
  <c r="K864" i="3"/>
  <c r="J864" i="3"/>
  <c r="G865" i="3"/>
  <c r="H866" i="3"/>
  <c r="L866" i="3" s="1"/>
  <c r="K865" i="3" l="1"/>
  <c r="I865" i="3"/>
  <c r="J865" i="3"/>
  <c r="H867" i="3"/>
  <c r="L867" i="3" s="1"/>
  <c r="G866" i="3"/>
  <c r="J866" i="3" s="1"/>
  <c r="K866" i="3" l="1"/>
  <c r="I866" i="3"/>
  <c r="G867" i="3"/>
  <c r="J867" i="3" s="1"/>
  <c r="H868" i="3"/>
  <c r="L868" i="3" s="1"/>
  <c r="K867" i="3" l="1"/>
  <c r="I867" i="3"/>
  <c r="H869" i="3"/>
  <c r="L869" i="3" s="1"/>
  <c r="G868" i="3"/>
  <c r="I868" i="3" l="1"/>
  <c r="K868" i="3"/>
  <c r="J868" i="3"/>
  <c r="H870" i="3"/>
  <c r="L870" i="3" s="1"/>
  <c r="G869" i="3"/>
  <c r="K869" i="3" l="1"/>
  <c r="I869" i="3"/>
  <c r="J869" i="3"/>
  <c r="G870" i="3"/>
  <c r="H871" i="3"/>
  <c r="L871" i="3" s="1"/>
  <c r="K870" i="3" l="1"/>
  <c r="I870" i="3"/>
  <c r="J870" i="3"/>
  <c r="H872" i="3"/>
  <c r="L872" i="3" s="1"/>
  <c r="G871" i="3"/>
  <c r="J871" i="3" s="1"/>
  <c r="K871" i="3" l="1"/>
  <c r="I871" i="3"/>
  <c r="H873" i="3"/>
  <c r="L873" i="3" s="1"/>
  <c r="G872" i="3"/>
  <c r="J872" i="3" s="1"/>
  <c r="I872" i="3" l="1"/>
  <c r="K872" i="3"/>
  <c r="G873" i="3"/>
  <c r="H874" i="3"/>
  <c r="L874" i="3" s="1"/>
  <c r="K873" i="3" l="1"/>
  <c r="I873" i="3"/>
  <c r="J873" i="3"/>
  <c r="H875" i="3"/>
  <c r="L875" i="3" s="1"/>
  <c r="G874" i="3"/>
  <c r="K874" i="3" l="1"/>
  <c r="I874" i="3"/>
  <c r="J874" i="3"/>
  <c r="G875" i="3"/>
  <c r="H876" i="3"/>
  <c r="L876" i="3" s="1"/>
  <c r="K875" i="3" l="1"/>
  <c r="I875" i="3"/>
  <c r="J875" i="3"/>
  <c r="H877" i="3"/>
  <c r="L877" i="3" s="1"/>
  <c r="G876" i="3"/>
  <c r="I876" i="3" l="1"/>
  <c r="K876" i="3"/>
  <c r="J876" i="3"/>
  <c r="H878" i="3"/>
  <c r="L878" i="3" s="1"/>
  <c r="G877" i="3"/>
  <c r="K877" i="3" l="1"/>
  <c r="I877" i="3"/>
  <c r="J877" i="3"/>
  <c r="G878" i="3"/>
  <c r="H879" i="3"/>
  <c r="L879" i="3" s="1"/>
  <c r="K878" i="3" l="1"/>
  <c r="I878" i="3"/>
  <c r="J878" i="3"/>
  <c r="H880" i="3"/>
  <c r="L880" i="3" s="1"/>
  <c r="G879" i="3"/>
  <c r="K879" i="3" l="1"/>
  <c r="I879" i="3"/>
  <c r="J879" i="3"/>
  <c r="H881" i="3"/>
  <c r="L881" i="3" s="1"/>
  <c r="G880" i="3"/>
  <c r="I880" i="3" l="1"/>
  <c r="K880" i="3"/>
  <c r="J880" i="3"/>
  <c r="G881" i="3"/>
  <c r="H882" i="3"/>
  <c r="L882" i="3" s="1"/>
  <c r="K881" i="3" l="1"/>
  <c r="I881" i="3"/>
  <c r="J881" i="3"/>
  <c r="H883" i="3"/>
  <c r="L883" i="3" s="1"/>
  <c r="G882" i="3"/>
  <c r="I882" i="3" l="1"/>
  <c r="K882" i="3"/>
  <c r="J882" i="3"/>
  <c r="H884" i="3"/>
  <c r="L884" i="3" s="1"/>
  <c r="G883" i="3"/>
  <c r="K883" i="3" l="1"/>
  <c r="I883" i="3"/>
  <c r="J883" i="3"/>
  <c r="H885" i="3"/>
  <c r="L885" i="3" s="1"/>
  <c r="G884" i="3"/>
  <c r="I884" i="3" l="1"/>
  <c r="K884" i="3"/>
  <c r="J884" i="3"/>
  <c r="G885" i="3"/>
  <c r="H886" i="3"/>
  <c r="L886" i="3" s="1"/>
  <c r="K885" i="3" l="1"/>
  <c r="I885" i="3"/>
  <c r="J885" i="3"/>
  <c r="G886" i="3"/>
  <c r="H887" i="3"/>
  <c r="L887" i="3" s="1"/>
  <c r="K886" i="3" l="1"/>
  <c r="I886" i="3"/>
  <c r="J886" i="3"/>
  <c r="H888" i="3"/>
  <c r="L888" i="3" s="1"/>
  <c r="G887" i="3"/>
  <c r="I887" i="3" l="1"/>
  <c r="K887" i="3"/>
  <c r="J887" i="3"/>
  <c r="H889" i="3"/>
  <c r="L889" i="3" s="1"/>
  <c r="G888" i="3"/>
  <c r="I888" i="3" l="1"/>
  <c r="K888" i="3"/>
  <c r="J888" i="3"/>
  <c r="G889" i="3"/>
  <c r="J889" i="3" s="1"/>
  <c r="H890" i="3"/>
  <c r="L890" i="3" s="1"/>
  <c r="K889" i="3" l="1"/>
  <c r="I889" i="3"/>
  <c r="H891" i="3"/>
  <c r="L891" i="3" s="1"/>
  <c r="G890" i="3"/>
  <c r="K890" i="3" l="1"/>
  <c r="I890" i="3"/>
  <c r="J890" i="3"/>
  <c r="G891" i="3"/>
  <c r="H892" i="3"/>
  <c r="L892" i="3" s="1"/>
  <c r="I891" i="3" l="1"/>
  <c r="K891" i="3"/>
  <c r="J891" i="3"/>
  <c r="H893" i="3"/>
  <c r="L893" i="3" s="1"/>
  <c r="G892" i="3"/>
  <c r="I892" i="3" l="1"/>
  <c r="K892" i="3"/>
  <c r="J892" i="3"/>
  <c r="H894" i="3"/>
  <c r="L894" i="3" s="1"/>
  <c r="G893" i="3"/>
  <c r="K893" i="3" l="1"/>
  <c r="I893" i="3"/>
  <c r="J893" i="3"/>
  <c r="G894" i="3"/>
  <c r="J894" i="3" s="1"/>
  <c r="H895" i="3"/>
  <c r="L895" i="3" s="1"/>
  <c r="K894" i="3" l="1"/>
  <c r="I894" i="3"/>
  <c r="H896" i="3"/>
  <c r="L896" i="3" s="1"/>
  <c r="G895" i="3"/>
  <c r="K895" i="3" l="1"/>
  <c r="I895" i="3"/>
  <c r="J895" i="3"/>
  <c r="H897" i="3"/>
  <c r="L897" i="3" s="1"/>
  <c r="G896" i="3"/>
  <c r="I896" i="3" l="1"/>
  <c r="K896" i="3"/>
  <c r="J896" i="3"/>
  <c r="G897" i="3"/>
  <c r="H898" i="3"/>
  <c r="L898" i="3" s="1"/>
  <c r="K897" i="3" l="1"/>
  <c r="I897" i="3"/>
  <c r="J897" i="3"/>
  <c r="H899" i="3"/>
  <c r="L899" i="3" s="1"/>
  <c r="G898" i="3"/>
  <c r="J898" i="3" s="1"/>
  <c r="I898" i="3" l="1"/>
  <c r="K898" i="3"/>
  <c r="G899" i="3"/>
  <c r="H900" i="3"/>
  <c r="L900" i="3" s="1"/>
  <c r="K899" i="3" l="1"/>
  <c r="I899" i="3"/>
  <c r="J899" i="3"/>
  <c r="H901" i="3"/>
  <c r="L901" i="3" s="1"/>
  <c r="G900" i="3"/>
  <c r="I900" i="3" l="1"/>
  <c r="K900" i="3"/>
  <c r="J900" i="3"/>
  <c r="G901" i="3"/>
  <c r="J901" i="3" s="1"/>
  <c r="H902" i="3"/>
  <c r="L902" i="3" s="1"/>
  <c r="K901" i="3" l="1"/>
  <c r="I901" i="3"/>
  <c r="G902" i="3"/>
  <c r="H903" i="3"/>
  <c r="L903" i="3" s="1"/>
  <c r="K902" i="3" l="1"/>
  <c r="I902" i="3"/>
  <c r="J902" i="3"/>
  <c r="H904" i="3"/>
  <c r="L904" i="3" s="1"/>
  <c r="G903" i="3"/>
  <c r="K903" i="3" l="1"/>
  <c r="I903" i="3"/>
  <c r="J903" i="3"/>
  <c r="H905" i="3"/>
  <c r="L905" i="3" s="1"/>
  <c r="G904" i="3"/>
  <c r="I904" i="3" l="1"/>
  <c r="K904" i="3"/>
  <c r="J904" i="3"/>
  <c r="G905" i="3"/>
  <c r="H906" i="3"/>
  <c r="L906" i="3" s="1"/>
  <c r="K905" i="3" l="1"/>
  <c r="I905" i="3"/>
  <c r="J905" i="3"/>
  <c r="H907" i="3"/>
  <c r="L907" i="3" s="1"/>
  <c r="G906" i="3"/>
  <c r="K906" i="3" l="1"/>
  <c r="I906" i="3"/>
  <c r="J906" i="3"/>
  <c r="H908" i="3"/>
  <c r="L908" i="3" s="1"/>
  <c r="G907" i="3"/>
  <c r="I907" i="3" l="1"/>
  <c r="K907" i="3"/>
  <c r="J907" i="3"/>
  <c r="H909" i="3"/>
  <c r="L909" i="3" s="1"/>
  <c r="G908" i="3"/>
  <c r="I908" i="3" l="1"/>
  <c r="K908" i="3"/>
  <c r="J908" i="3"/>
  <c r="G909" i="3"/>
  <c r="H910" i="3"/>
  <c r="L910" i="3" s="1"/>
  <c r="K909" i="3" l="1"/>
  <c r="I909" i="3"/>
  <c r="J909" i="3"/>
  <c r="G910" i="3"/>
  <c r="H911" i="3"/>
  <c r="L911" i="3" s="1"/>
  <c r="K910" i="3" l="1"/>
  <c r="I910" i="3"/>
  <c r="J910" i="3"/>
  <c r="H912" i="3"/>
  <c r="L912" i="3" s="1"/>
  <c r="G911" i="3"/>
  <c r="K911" i="3" l="1"/>
  <c r="I911" i="3"/>
  <c r="J911" i="3"/>
  <c r="H913" i="3"/>
  <c r="L913" i="3" s="1"/>
  <c r="G912" i="3"/>
  <c r="I912" i="3" l="1"/>
  <c r="K912" i="3"/>
  <c r="J912" i="3"/>
  <c r="G913" i="3"/>
  <c r="H914" i="3"/>
  <c r="L914" i="3" s="1"/>
  <c r="K913" i="3" l="1"/>
  <c r="I913" i="3"/>
  <c r="J913" i="3"/>
  <c r="H915" i="3"/>
  <c r="L915" i="3" s="1"/>
  <c r="G914" i="3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I916" i="3" l="1"/>
  <c r="K916" i="3"/>
  <c r="J916" i="3"/>
  <c r="G917" i="3"/>
  <c r="H918" i="3"/>
  <c r="L918" i="3" s="1"/>
  <c r="K917" i="3" l="1"/>
  <c r="I917" i="3"/>
  <c r="J917" i="3"/>
  <c r="G918" i="3"/>
  <c r="H919" i="3"/>
  <c r="L919" i="3" s="1"/>
  <c r="K918" i="3" l="1"/>
  <c r="I918" i="3"/>
  <c r="J918" i="3"/>
  <c r="H920" i="3"/>
  <c r="L920" i="3" s="1"/>
  <c r="G919" i="3"/>
  <c r="I919" i="3" l="1"/>
  <c r="K919" i="3"/>
  <c r="J919" i="3"/>
  <c r="H921" i="3"/>
  <c r="L921" i="3" s="1"/>
  <c r="G920" i="3"/>
  <c r="I920" i="3" l="1"/>
  <c r="K920" i="3"/>
  <c r="J920" i="3"/>
  <c r="G921" i="3"/>
  <c r="H922" i="3"/>
  <c r="L922" i="3" s="1"/>
  <c r="K921" i="3" l="1"/>
  <c r="I921" i="3"/>
  <c r="J921" i="3"/>
  <c r="H923" i="3"/>
  <c r="L923" i="3" s="1"/>
  <c r="G922" i="3"/>
  <c r="K922" i="3" l="1"/>
  <c r="I922" i="3"/>
  <c r="J922" i="3"/>
  <c r="H924" i="3"/>
  <c r="L924" i="3" s="1"/>
  <c r="G923" i="3"/>
  <c r="J923" i="3" s="1"/>
  <c r="I923" i="3" l="1"/>
  <c r="K923" i="3"/>
  <c r="H925" i="3"/>
  <c r="L925" i="3" s="1"/>
  <c r="G924" i="3"/>
  <c r="I924" i="3" l="1"/>
  <c r="K924" i="3"/>
  <c r="J924" i="3"/>
  <c r="G925" i="3"/>
  <c r="H926" i="3"/>
  <c r="L926" i="3" s="1"/>
  <c r="K925" i="3" l="1"/>
  <c r="I925" i="3"/>
  <c r="J925" i="3"/>
  <c r="G926" i="3"/>
  <c r="H927" i="3"/>
  <c r="L927" i="3" s="1"/>
  <c r="K926" i="3" l="1"/>
  <c r="I926" i="3"/>
  <c r="J926" i="3"/>
  <c r="H928" i="3"/>
  <c r="L928" i="3" s="1"/>
  <c r="G927" i="3"/>
  <c r="J927" i="3" s="1"/>
  <c r="K927" i="3" l="1"/>
  <c r="I927" i="3"/>
  <c r="H929" i="3"/>
  <c r="L929" i="3" s="1"/>
  <c r="G928" i="3"/>
  <c r="I928" i="3" l="1"/>
  <c r="K928" i="3"/>
  <c r="J928" i="3"/>
  <c r="G929" i="3"/>
  <c r="H930" i="3"/>
  <c r="L930" i="3" s="1"/>
  <c r="K929" i="3" l="1"/>
  <c r="I929" i="3"/>
  <c r="J929" i="3"/>
  <c r="H931" i="3"/>
  <c r="L931" i="3" s="1"/>
  <c r="G930" i="3"/>
  <c r="K930" i="3" l="1"/>
  <c r="I930" i="3"/>
  <c r="J930" i="3"/>
  <c r="H932" i="3"/>
  <c r="L932" i="3" s="1"/>
  <c r="G931" i="3"/>
  <c r="J931" i="3" s="1"/>
  <c r="K931" i="3" l="1"/>
  <c r="I931" i="3"/>
  <c r="H933" i="3"/>
  <c r="L933" i="3" s="1"/>
  <c r="G932" i="3"/>
  <c r="I932" i="3" l="1"/>
  <c r="K932" i="3"/>
  <c r="J932" i="3"/>
  <c r="G933" i="3"/>
  <c r="H934" i="3"/>
  <c r="L934" i="3" s="1"/>
  <c r="K933" i="3" l="1"/>
  <c r="I933" i="3"/>
  <c r="J933" i="3"/>
  <c r="G934" i="3"/>
  <c r="H935" i="3"/>
  <c r="L935" i="3" s="1"/>
  <c r="K934" i="3" l="1"/>
  <c r="I934" i="3"/>
  <c r="J934" i="3"/>
  <c r="H936" i="3"/>
  <c r="L936" i="3" s="1"/>
  <c r="G935" i="3"/>
  <c r="K935" i="3" l="1"/>
  <c r="I935" i="3"/>
  <c r="J935" i="3"/>
  <c r="H937" i="3"/>
  <c r="L937" i="3" s="1"/>
  <c r="G936" i="3"/>
  <c r="I936" i="3" l="1"/>
  <c r="K936" i="3"/>
  <c r="J936" i="3"/>
  <c r="G937" i="3"/>
  <c r="H938" i="3"/>
  <c r="L938" i="3" s="1"/>
  <c r="K937" i="3" l="1"/>
  <c r="I937" i="3"/>
  <c r="J937" i="3"/>
  <c r="H939" i="3"/>
  <c r="L939" i="3" s="1"/>
  <c r="G938" i="3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I940" i="3" l="1"/>
  <c r="K940" i="3"/>
  <c r="J940" i="3"/>
  <c r="G941" i="3"/>
  <c r="H942" i="3"/>
  <c r="L942" i="3" s="1"/>
  <c r="K941" i="3" l="1"/>
  <c r="I941" i="3"/>
  <c r="J941" i="3"/>
  <c r="G942" i="3"/>
  <c r="H943" i="3"/>
  <c r="L943" i="3" s="1"/>
  <c r="K942" i="3" l="1"/>
  <c r="I942" i="3"/>
  <c r="J942" i="3"/>
  <c r="H944" i="3"/>
  <c r="L944" i="3" s="1"/>
  <c r="G943" i="3"/>
  <c r="K943" i="3" l="1"/>
  <c r="I943" i="3"/>
  <c r="J943" i="3"/>
  <c r="H945" i="3"/>
  <c r="L945" i="3" s="1"/>
  <c r="G944" i="3"/>
  <c r="I944" i="3" l="1"/>
  <c r="K944" i="3"/>
  <c r="J944" i="3"/>
  <c r="G945" i="3"/>
  <c r="H946" i="3"/>
  <c r="L946" i="3" s="1"/>
  <c r="K945" i="3" l="1"/>
  <c r="I945" i="3"/>
  <c r="J945" i="3"/>
  <c r="H947" i="3"/>
  <c r="L947" i="3" s="1"/>
  <c r="G946" i="3"/>
  <c r="I946" i="3" l="1"/>
  <c r="K946" i="3"/>
  <c r="J946" i="3"/>
  <c r="H948" i="3"/>
  <c r="L948" i="3" s="1"/>
  <c r="G947" i="3"/>
  <c r="J947" i="3" s="1"/>
  <c r="K947" i="3" l="1"/>
  <c r="I947" i="3"/>
  <c r="H949" i="3"/>
  <c r="L949" i="3" s="1"/>
  <c r="G948" i="3"/>
  <c r="I948" i="3" l="1"/>
  <c r="K948" i="3"/>
  <c r="J948" i="3"/>
  <c r="G949" i="3"/>
  <c r="H950" i="3"/>
  <c r="L950" i="3" s="1"/>
  <c r="K949" i="3" l="1"/>
  <c r="I949" i="3"/>
  <c r="J949" i="3"/>
  <c r="G950" i="3"/>
  <c r="H951" i="3"/>
  <c r="L951" i="3" s="1"/>
  <c r="K950" i="3" l="1"/>
  <c r="I950" i="3"/>
  <c r="J950" i="3"/>
  <c r="H952" i="3"/>
  <c r="L952" i="3" s="1"/>
  <c r="G951" i="3"/>
  <c r="I951" i="3" l="1"/>
  <c r="K951" i="3"/>
  <c r="J951" i="3"/>
  <c r="H953" i="3"/>
  <c r="L953" i="3" s="1"/>
  <c r="G952" i="3"/>
  <c r="K952" i="3" l="1"/>
  <c r="I952" i="3"/>
  <c r="J952" i="3"/>
  <c r="G953" i="3"/>
  <c r="H954" i="3"/>
  <c r="L954" i="3" s="1"/>
  <c r="K953" i="3" l="1"/>
  <c r="I953" i="3"/>
  <c r="J953" i="3"/>
  <c r="H955" i="3"/>
  <c r="L955" i="3" s="1"/>
  <c r="G954" i="3"/>
  <c r="K954" i="3" l="1"/>
  <c r="I954" i="3"/>
  <c r="J954" i="3"/>
  <c r="H956" i="3"/>
  <c r="L956" i="3" s="1"/>
  <c r="G955" i="3"/>
  <c r="I955" i="3" l="1"/>
  <c r="K955" i="3"/>
  <c r="J955" i="3"/>
  <c r="H957" i="3"/>
  <c r="L957" i="3" s="1"/>
  <c r="G956" i="3"/>
  <c r="K956" i="3" l="1"/>
  <c r="I956" i="3"/>
  <c r="J956" i="3"/>
  <c r="G957" i="3"/>
  <c r="H958" i="3"/>
  <c r="L958" i="3" s="1"/>
  <c r="K957" i="3" l="1"/>
  <c r="I957" i="3"/>
  <c r="J957" i="3"/>
  <c r="G958" i="3"/>
  <c r="H959" i="3"/>
  <c r="L959" i="3" s="1"/>
  <c r="I958" i="3" l="1"/>
  <c r="K958" i="3"/>
  <c r="J958" i="3"/>
  <c r="H960" i="3"/>
  <c r="L960" i="3" s="1"/>
  <c r="G959" i="3"/>
  <c r="K959" i="3" l="1"/>
  <c r="I959" i="3"/>
  <c r="J959" i="3"/>
  <c r="H961" i="3"/>
  <c r="L961" i="3" s="1"/>
  <c r="G960" i="3"/>
  <c r="K960" i="3" l="1"/>
  <c r="I960" i="3"/>
  <c r="J960" i="3"/>
  <c r="G961" i="3"/>
  <c r="J961" i="3" s="1"/>
  <c r="H962" i="3"/>
  <c r="L962" i="3" s="1"/>
  <c r="K961" i="3" l="1"/>
  <c r="I961" i="3"/>
  <c r="H963" i="3"/>
  <c r="L963" i="3" s="1"/>
  <c r="G962" i="3"/>
  <c r="K962" i="3" l="1"/>
  <c r="I962" i="3"/>
  <c r="J962" i="3"/>
  <c r="H964" i="3"/>
  <c r="L964" i="3" s="1"/>
  <c r="G963" i="3"/>
  <c r="J963" i="3" s="1"/>
  <c r="K963" i="3" l="1"/>
  <c r="I963" i="3"/>
  <c r="H965" i="3"/>
  <c r="L965" i="3" s="1"/>
  <c r="G964" i="3"/>
  <c r="I964" i="3" l="1"/>
  <c r="K964" i="3"/>
  <c r="J964" i="3"/>
  <c r="G965" i="3"/>
  <c r="J965" i="3" s="1"/>
  <c r="H966" i="3"/>
  <c r="L966" i="3" s="1"/>
  <c r="K965" i="3" l="1"/>
  <c r="I965" i="3"/>
  <c r="G966" i="3"/>
  <c r="H967" i="3"/>
  <c r="L967" i="3" s="1"/>
  <c r="K966" i="3" l="1"/>
  <c r="I966" i="3"/>
  <c r="J966" i="3"/>
  <c r="H968" i="3"/>
  <c r="L968" i="3" s="1"/>
  <c r="G967" i="3"/>
  <c r="I967" i="3" l="1"/>
  <c r="K967" i="3"/>
  <c r="J967" i="3"/>
  <c r="H969" i="3"/>
  <c r="L969" i="3" s="1"/>
  <c r="G968" i="3"/>
  <c r="K968" i="3" l="1"/>
  <c r="I968" i="3"/>
  <c r="J968" i="3"/>
  <c r="G969" i="3"/>
  <c r="H970" i="3"/>
  <c r="L970" i="3" s="1"/>
  <c r="K969" i="3" l="1"/>
  <c r="I969" i="3"/>
  <c r="J969" i="3"/>
  <c r="H971" i="3"/>
  <c r="L971" i="3" s="1"/>
  <c r="G970" i="3"/>
  <c r="I970" i="3" l="1"/>
  <c r="K970" i="3"/>
  <c r="J970" i="3"/>
  <c r="H972" i="3"/>
  <c r="L972" i="3" s="1"/>
  <c r="G971" i="3"/>
  <c r="I971" i="3" l="1"/>
  <c r="K971" i="3"/>
  <c r="J971" i="3"/>
  <c r="H973" i="3"/>
  <c r="L973" i="3" s="1"/>
  <c r="G972" i="3"/>
  <c r="J972" i="3" s="1"/>
  <c r="I972" i="3" l="1"/>
  <c r="K972" i="3"/>
  <c r="G973" i="3"/>
  <c r="H974" i="3"/>
  <c r="L974" i="3" s="1"/>
  <c r="K973" i="3" l="1"/>
  <c r="I973" i="3"/>
  <c r="J973" i="3"/>
  <c r="G974" i="3"/>
  <c r="H975" i="3"/>
  <c r="L975" i="3" s="1"/>
  <c r="I974" i="3" l="1"/>
  <c r="K974" i="3"/>
  <c r="J974" i="3"/>
  <c r="H976" i="3"/>
  <c r="L976" i="3" s="1"/>
  <c r="G975" i="3"/>
  <c r="K975" i="3" l="1"/>
  <c r="I975" i="3"/>
  <c r="J975" i="3"/>
  <c r="H977" i="3"/>
  <c r="L977" i="3" s="1"/>
  <c r="G976" i="3"/>
  <c r="J976" i="3" s="1"/>
  <c r="I976" i="3" l="1"/>
  <c r="K976" i="3"/>
  <c r="G977" i="3"/>
  <c r="H978" i="3"/>
  <c r="L978" i="3" s="1"/>
  <c r="K977" i="3" l="1"/>
  <c r="I977" i="3"/>
  <c r="J977" i="3"/>
  <c r="H979" i="3"/>
  <c r="L979" i="3" s="1"/>
  <c r="G978" i="3"/>
  <c r="I978" i="3" l="1"/>
  <c r="K978" i="3"/>
  <c r="J978" i="3"/>
  <c r="H980" i="3"/>
  <c r="L980" i="3" s="1"/>
  <c r="G979" i="3"/>
  <c r="J979" i="3" s="1"/>
  <c r="K979" i="3" l="1"/>
  <c r="I979" i="3"/>
  <c r="H981" i="3"/>
  <c r="L981" i="3" s="1"/>
  <c r="G980" i="3"/>
  <c r="K980" i="3" l="1"/>
  <c r="I980" i="3"/>
  <c r="J980" i="3"/>
  <c r="G981" i="3"/>
  <c r="J981" i="3" s="1"/>
  <c r="H982" i="3"/>
  <c r="L982" i="3" s="1"/>
  <c r="K981" i="3" l="1"/>
  <c r="I981" i="3"/>
  <c r="G982" i="3"/>
  <c r="H983" i="3"/>
  <c r="L983" i="3" s="1"/>
  <c r="K982" i="3" l="1"/>
  <c r="I982" i="3"/>
  <c r="J982" i="3"/>
  <c r="H984" i="3"/>
  <c r="L984" i="3" s="1"/>
  <c r="G983" i="3"/>
  <c r="K983" i="3" l="1"/>
  <c r="I983" i="3"/>
  <c r="J983" i="3"/>
  <c r="H985" i="3"/>
  <c r="L985" i="3" s="1"/>
  <c r="G984" i="3"/>
  <c r="I984" i="3" l="1"/>
  <c r="K984" i="3"/>
  <c r="J984" i="3"/>
  <c r="G985" i="3"/>
  <c r="J985" i="3" s="1"/>
  <c r="H986" i="3"/>
  <c r="L986" i="3" s="1"/>
  <c r="K985" i="3" l="1"/>
  <c r="I985" i="3"/>
  <c r="H987" i="3"/>
  <c r="L987" i="3" s="1"/>
  <c r="G986" i="3"/>
  <c r="I986" i="3" l="1"/>
  <c r="K986" i="3"/>
  <c r="J986" i="3"/>
  <c r="H988" i="3"/>
  <c r="L988" i="3" s="1"/>
  <c r="G987" i="3"/>
  <c r="J987" i="3" s="1"/>
  <c r="K987" i="3" l="1"/>
  <c r="I987" i="3"/>
  <c r="H989" i="3"/>
  <c r="L989" i="3" s="1"/>
  <c r="G988" i="3"/>
  <c r="K988" i="3" l="1"/>
  <c r="I988" i="3"/>
  <c r="J988" i="3"/>
  <c r="G989" i="3"/>
  <c r="H990" i="3"/>
  <c r="L990" i="3" s="1"/>
  <c r="K989" i="3" l="1"/>
  <c r="I989" i="3"/>
  <c r="J989" i="3"/>
  <c r="G990" i="3"/>
  <c r="J990" i="3" s="1"/>
  <c r="H991" i="3"/>
  <c r="L991" i="3" s="1"/>
  <c r="K990" i="3" l="1"/>
  <c r="I990" i="3"/>
  <c r="H992" i="3"/>
  <c r="L992" i="3" s="1"/>
  <c r="G991" i="3"/>
  <c r="J991" i="3" s="1"/>
  <c r="K991" i="3" l="1"/>
  <c r="I991" i="3"/>
  <c r="H993" i="3"/>
  <c r="L993" i="3" s="1"/>
  <c r="G992" i="3"/>
  <c r="K992" i="3" l="1"/>
  <c r="I992" i="3"/>
  <c r="J992" i="3"/>
  <c r="G993" i="3"/>
  <c r="H994" i="3"/>
  <c r="L994" i="3" s="1"/>
  <c r="K993" i="3" l="1"/>
  <c r="I993" i="3"/>
  <c r="J993" i="3"/>
  <c r="H995" i="3"/>
  <c r="L995" i="3" s="1"/>
  <c r="G994" i="3"/>
  <c r="I994" i="3" l="1"/>
  <c r="K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G997" i="3"/>
  <c r="H998" i="3"/>
  <c r="L998" i="3" s="1"/>
  <c r="K997" i="3" l="1"/>
  <c r="I997" i="3"/>
  <c r="J997" i="3"/>
  <c r="G998" i="3"/>
  <c r="J998" i="3" s="1"/>
  <c r="H999" i="3"/>
  <c r="I998" i="3" l="1"/>
  <c r="K998" i="3"/>
  <c r="G999" i="3"/>
  <c r="L999" i="3"/>
  <c r="J999" i="3" l="1"/>
  <c r="K999" i="3"/>
  <c r="I999" i="3"/>
  <c r="P5" i="3" a="1"/>
  <c r="P5" i="3" l="1"/>
  <c r="X5" i="3"/>
  <c r="S6" i="3"/>
  <c r="AA6" i="3"/>
  <c r="V7" i="3"/>
  <c r="Q8" i="3"/>
  <c r="Y8" i="3"/>
  <c r="T9" i="3"/>
  <c r="AB9" i="3"/>
  <c r="W10" i="3"/>
  <c r="R11" i="3"/>
  <c r="Z11" i="3"/>
  <c r="U12" i="3"/>
  <c r="AE12" i="3" s="1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AE28" i="3" s="1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AE36" i="3" s="1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P45" i="3"/>
  <c r="X45" i="3"/>
  <c r="S46" i="3"/>
  <c r="AA46" i="3"/>
  <c r="V47" i="3"/>
  <c r="Q48" i="3"/>
  <c r="Y48" i="3"/>
  <c r="T49" i="3"/>
  <c r="AB49" i="3"/>
  <c r="W50" i="3"/>
  <c r="R51" i="3"/>
  <c r="Z51" i="3"/>
  <c r="U52" i="3"/>
  <c r="AE52" i="3" s="1"/>
  <c r="P53" i="3"/>
  <c r="X53" i="3"/>
  <c r="S54" i="3"/>
  <c r="AA54" i="3"/>
  <c r="V55" i="3"/>
  <c r="Q56" i="3"/>
  <c r="Y56" i="3"/>
  <c r="Q5" i="3"/>
  <c r="Y5" i="3"/>
  <c r="T6" i="3"/>
  <c r="AB6" i="3"/>
  <c r="W7" i="3"/>
  <c r="R8" i="3"/>
  <c r="Z8" i="3"/>
  <c r="U9" i="3"/>
  <c r="AE9" i="3" s="1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AE25" i="3" s="1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AE33" i="3" s="1"/>
  <c r="P34" i="3"/>
  <c r="X34" i="3"/>
  <c r="S35" i="3"/>
  <c r="AA35" i="3"/>
  <c r="V36" i="3"/>
  <c r="Q37" i="3"/>
  <c r="Y37" i="3"/>
  <c r="T38" i="3"/>
  <c r="AB38" i="3"/>
  <c r="W39" i="3"/>
  <c r="R40" i="3"/>
  <c r="Z40" i="3"/>
  <c r="U41" i="3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AE49" i="3" s="1"/>
  <c r="P50" i="3"/>
  <c r="X50" i="3"/>
  <c r="S51" i="3"/>
  <c r="AA51" i="3"/>
  <c r="V52" i="3"/>
  <c r="Q53" i="3"/>
  <c r="Y53" i="3"/>
  <c r="T54" i="3"/>
  <c r="AB54" i="3"/>
  <c r="W55" i="3"/>
  <c r="R56" i="3"/>
  <c r="Z56" i="3"/>
  <c r="R5" i="3"/>
  <c r="Z5" i="3"/>
  <c r="U6" i="3"/>
  <c r="AE6" i="3" s="1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AE46" i="3" s="1"/>
  <c r="P47" i="3"/>
  <c r="X47" i="3"/>
  <c r="S48" i="3"/>
  <c r="AA48" i="3"/>
  <c r="V49" i="3"/>
  <c r="Q50" i="3"/>
  <c r="Y50" i="3"/>
  <c r="T51" i="3"/>
  <c r="AB51" i="3"/>
  <c r="W52" i="3"/>
  <c r="R53" i="3"/>
  <c r="Z53" i="3"/>
  <c r="U54" i="3"/>
  <c r="P55" i="3"/>
  <c r="X55" i="3"/>
  <c r="S56" i="3"/>
  <c r="AA56" i="3"/>
  <c r="S5" i="3"/>
  <c r="AA5" i="3"/>
  <c r="V6" i="3"/>
  <c r="Q7" i="3"/>
  <c r="Y7" i="3"/>
  <c r="T8" i="3"/>
  <c r="AB8" i="3"/>
  <c r="W9" i="3"/>
  <c r="R10" i="3"/>
  <c r="Z10" i="3"/>
  <c r="U11" i="3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AE27" i="3" s="1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AE43" i="3" s="1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X52" i="3"/>
  <c r="S53" i="3"/>
  <c r="AA53" i="3"/>
  <c r="V54" i="3"/>
  <c r="Q55" i="3"/>
  <c r="Y55" i="3"/>
  <c r="T56" i="3"/>
  <c r="AB56" i="3"/>
  <c r="U5" i="3"/>
  <c r="P6" i="3"/>
  <c r="X6" i="3"/>
  <c r="S7" i="3"/>
  <c r="AA7" i="3"/>
  <c r="V8" i="3"/>
  <c r="Q9" i="3"/>
  <c r="Y9" i="3"/>
  <c r="T10" i="3"/>
  <c r="AB10" i="3"/>
  <c r="W11" i="3"/>
  <c r="R12" i="3"/>
  <c r="Z12" i="3"/>
  <c r="U13" i="3"/>
  <c r="P14" i="3"/>
  <c r="X14" i="3"/>
  <c r="S15" i="3"/>
  <c r="AA15" i="3"/>
  <c r="V16" i="3"/>
  <c r="Q17" i="3"/>
  <c r="Y17" i="3"/>
  <c r="T18" i="3"/>
  <c r="AB18" i="3"/>
  <c r="W19" i="3"/>
  <c r="R20" i="3"/>
  <c r="Z20" i="3"/>
  <c r="U21" i="3"/>
  <c r="AE21" i="3" s="1"/>
  <c r="P22" i="3"/>
  <c r="X22" i="3"/>
  <c r="S23" i="3"/>
  <c r="AA23" i="3"/>
  <c r="V24" i="3"/>
  <c r="Q25" i="3"/>
  <c r="Y25" i="3"/>
  <c r="T26" i="3"/>
  <c r="AB26" i="3"/>
  <c r="W27" i="3"/>
  <c r="R28" i="3"/>
  <c r="Z28" i="3"/>
  <c r="U29" i="3"/>
  <c r="AE29" i="3" s="1"/>
  <c r="P30" i="3"/>
  <c r="X30" i="3"/>
  <c r="S31" i="3"/>
  <c r="AA31" i="3"/>
  <c r="V32" i="3"/>
  <c r="Q33" i="3"/>
  <c r="Y33" i="3"/>
  <c r="T34" i="3"/>
  <c r="AB34" i="3"/>
  <c r="W35" i="3"/>
  <c r="R36" i="3"/>
  <c r="Z36" i="3"/>
  <c r="U37" i="3"/>
  <c r="V5" i="3"/>
  <c r="Q6" i="3"/>
  <c r="Y6" i="3"/>
  <c r="T7" i="3"/>
  <c r="AB7" i="3"/>
  <c r="W8" i="3"/>
  <c r="R9" i="3"/>
  <c r="Z9" i="3"/>
  <c r="U10" i="3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AE26" i="3" s="1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P35" i="3"/>
  <c r="X35" i="3"/>
  <c r="S36" i="3"/>
  <c r="AA36" i="3"/>
  <c r="V37" i="3"/>
  <c r="Q38" i="3"/>
  <c r="Y38" i="3"/>
  <c r="T39" i="3"/>
  <c r="AB39" i="3"/>
  <c r="U7" i="3"/>
  <c r="AA9" i="3"/>
  <c r="T12" i="3"/>
  <c r="Z14" i="3"/>
  <c r="S17" i="3"/>
  <c r="Y19" i="3"/>
  <c r="R22" i="3"/>
  <c r="X24" i="3"/>
  <c r="Q27" i="3"/>
  <c r="W29" i="3"/>
  <c r="P32" i="3"/>
  <c r="V34" i="3"/>
  <c r="AB36" i="3"/>
  <c r="Z38" i="3"/>
  <c r="V40" i="3"/>
  <c r="Y41" i="3"/>
  <c r="AB42" i="3"/>
  <c r="R44" i="3"/>
  <c r="U45" i="3"/>
  <c r="AE45" i="3" s="1"/>
  <c r="X46" i="3"/>
  <c r="AA47" i="3"/>
  <c r="Q49" i="3"/>
  <c r="T50" i="3"/>
  <c r="W51" i="3"/>
  <c r="Z52" i="3"/>
  <c r="P54" i="3"/>
  <c r="S55" i="3"/>
  <c r="V56" i="3"/>
  <c r="U57" i="3"/>
  <c r="AE57" i="3" s="1"/>
  <c r="P58" i="3"/>
  <c r="X58" i="3"/>
  <c r="S59" i="3"/>
  <c r="AA59" i="3"/>
  <c r="V60" i="3"/>
  <c r="Q61" i="3"/>
  <c r="Y61" i="3"/>
  <c r="W5" i="3"/>
  <c r="P8" i="3"/>
  <c r="V10" i="3"/>
  <c r="AB12" i="3"/>
  <c r="U15" i="3"/>
  <c r="AA17" i="3"/>
  <c r="T20" i="3"/>
  <c r="Z22" i="3"/>
  <c r="S25" i="3"/>
  <c r="Y27" i="3"/>
  <c r="R30" i="3"/>
  <c r="X32" i="3"/>
  <c r="Q35" i="3"/>
  <c r="W37" i="3"/>
  <c r="S39" i="3"/>
  <c r="X40" i="3"/>
  <c r="AA41" i="3"/>
  <c r="Q43" i="3"/>
  <c r="T44" i="3"/>
  <c r="W45" i="3"/>
  <c r="Z46" i="3"/>
  <c r="P48" i="3"/>
  <c r="S49" i="3"/>
  <c r="V50" i="3"/>
  <c r="Y51" i="3"/>
  <c r="AB52" i="3"/>
  <c r="R54" i="3"/>
  <c r="U55" i="3"/>
  <c r="X56" i="3"/>
  <c r="W57" i="3"/>
  <c r="R58" i="3"/>
  <c r="Z58" i="3"/>
  <c r="U59" i="3"/>
  <c r="AE59" i="3" s="1"/>
  <c r="P60" i="3"/>
  <c r="X60" i="3"/>
  <c r="S61" i="3"/>
  <c r="AA61" i="3"/>
  <c r="V62" i="3"/>
  <c r="Q63" i="3"/>
  <c r="Y63" i="3"/>
  <c r="T64" i="3"/>
  <c r="AB64" i="3"/>
  <c r="W65" i="3"/>
  <c r="R66" i="3"/>
  <c r="Z66" i="3"/>
  <c r="U67" i="3"/>
  <c r="AE67" i="3" s="1"/>
  <c r="P68" i="3"/>
  <c r="X68" i="3"/>
  <c r="S69" i="3"/>
  <c r="AA69" i="3"/>
  <c r="V70" i="3"/>
  <c r="Q71" i="3"/>
  <c r="Y71" i="3"/>
  <c r="T72" i="3"/>
  <c r="AB72" i="3"/>
  <c r="W73" i="3"/>
  <c r="R74" i="3"/>
  <c r="Z74" i="3"/>
  <c r="U75" i="3"/>
  <c r="P76" i="3"/>
  <c r="X76" i="3"/>
  <c r="S77" i="3"/>
  <c r="AA77" i="3"/>
  <c r="V78" i="3"/>
  <c r="Q79" i="3"/>
  <c r="Y79" i="3"/>
  <c r="T80" i="3"/>
  <c r="AB80" i="3"/>
  <c r="W81" i="3"/>
  <c r="R82" i="3"/>
  <c r="Z82" i="3"/>
  <c r="U83" i="3"/>
  <c r="AE83" i="3" s="1"/>
  <c r="P84" i="3"/>
  <c r="X84" i="3"/>
  <c r="S85" i="3"/>
  <c r="AA85" i="3"/>
  <c r="V86" i="3"/>
  <c r="Q87" i="3"/>
  <c r="Y87" i="3"/>
  <c r="T88" i="3"/>
  <c r="AB88" i="3"/>
  <c r="W89" i="3"/>
  <c r="R90" i="3"/>
  <c r="Z90" i="3"/>
  <c r="U91" i="3"/>
  <c r="AB5" i="3"/>
  <c r="U8" i="3"/>
  <c r="AA10" i="3"/>
  <c r="T13" i="3"/>
  <c r="Z15" i="3"/>
  <c r="S18" i="3"/>
  <c r="Y20" i="3"/>
  <c r="R23" i="3"/>
  <c r="X25" i="3"/>
  <c r="Q28" i="3"/>
  <c r="W30" i="3"/>
  <c r="P33" i="3"/>
  <c r="V35" i="3"/>
  <c r="AB37" i="3"/>
  <c r="U39" i="3"/>
  <c r="P41" i="3"/>
  <c r="S42" i="3"/>
  <c r="V43" i="3"/>
  <c r="Y44" i="3"/>
  <c r="AB45" i="3"/>
  <c r="R47" i="3"/>
  <c r="U48" i="3"/>
  <c r="X49" i="3"/>
  <c r="AA50" i="3"/>
  <c r="Q52" i="3"/>
  <c r="T53" i="3"/>
  <c r="W54" i="3"/>
  <c r="Z55" i="3"/>
  <c r="P57" i="3"/>
  <c r="X57" i="3"/>
  <c r="S58" i="3"/>
  <c r="AA58" i="3"/>
  <c r="V59" i="3"/>
  <c r="Q60" i="3"/>
  <c r="Y60" i="3"/>
  <c r="T61" i="3"/>
  <c r="AB61" i="3"/>
  <c r="W62" i="3"/>
  <c r="R63" i="3"/>
  <c r="Z63" i="3"/>
  <c r="U64" i="3"/>
  <c r="AE64" i="3" s="1"/>
  <c r="P65" i="3"/>
  <c r="X65" i="3"/>
  <c r="S66" i="3"/>
  <c r="AA66" i="3"/>
  <c r="V67" i="3"/>
  <c r="Q68" i="3"/>
  <c r="Y68" i="3"/>
  <c r="T69" i="3"/>
  <c r="AB69" i="3"/>
  <c r="W70" i="3"/>
  <c r="R71" i="3"/>
  <c r="Z71" i="3"/>
  <c r="U72" i="3"/>
  <c r="P73" i="3"/>
  <c r="X73" i="3"/>
  <c r="S74" i="3"/>
  <c r="AA74" i="3"/>
  <c r="V75" i="3"/>
  <c r="Q76" i="3"/>
  <c r="Y76" i="3"/>
  <c r="T77" i="3"/>
  <c r="AB77" i="3"/>
  <c r="W78" i="3"/>
  <c r="R79" i="3"/>
  <c r="Z79" i="3"/>
  <c r="U80" i="3"/>
  <c r="AE80" i="3" s="1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P89" i="3"/>
  <c r="X89" i="3"/>
  <c r="S90" i="3"/>
  <c r="AA90" i="3"/>
  <c r="V91" i="3"/>
  <c r="R6" i="3"/>
  <c r="X8" i="3"/>
  <c r="Q11" i="3"/>
  <c r="W13" i="3"/>
  <c r="P16" i="3"/>
  <c r="V18" i="3"/>
  <c r="AB20" i="3"/>
  <c r="U23" i="3"/>
  <c r="AE23" i="3" s="1"/>
  <c r="AA25" i="3"/>
  <c r="T28" i="3"/>
  <c r="Z30" i="3"/>
  <c r="S33" i="3"/>
  <c r="Y35" i="3"/>
  <c r="P38" i="3"/>
  <c r="Z39" i="3"/>
  <c r="Q41" i="3"/>
  <c r="T42" i="3"/>
  <c r="W43" i="3"/>
  <c r="Z44" i="3"/>
  <c r="P46" i="3"/>
  <c r="S47" i="3"/>
  <c r="V48" i="3"/>
  <c r="Y49" i="3"/>
  <c r="AB50" i="3"/>
  <c r="R52" i="3"/>
  <c r="U53" i="3"/>
  <c r="X54" i="3"/>
  <c r="AA55" i="3"/>
  <c r="Q57" i="3"/>
  <c r="Y57" i="3"/>
  <c r="T58" i="3"/>
  <c r="AB58" i="3"/>
  <c r="W59" i="3"/>
  <c r="R60" i="3"/>
  <c r="Z60" i="3"/>
  <c r="U61" i="3"/>
  <c r="AE61" i="3" s="1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AE77" i="3" s="1"/>
  <c r="P78" i="3"/>
  <c r="X78" i="3"/>
  <c r="S79" i="3"/>
  <c r="AA79" i="3"/>
  <c r="V80" i="3"/>
  <c r="Q81" i="3"/>
  <c r="Y81" i="3"/>
  <c r="T82" i="3"/>
  <c r="AB82" i="3"/>
  <c r="W83" i="3"/>
  <c r="R84" i="3"/>
  <c r="Z84" i="3"/>
  <c r="U85" i="3"/>
  <c r="P86" i="3"/>
  <c r="X86" i="3"/>
  <c r="S87" i="3"/>
  <c r="AA87" i="3"/>
  <c r="V88" i="3"/>
  <c r="Q89" i="3"/>
  <c r="Y89" i="3"/>
  <c r="T90" i="3"/>
  <c r="AB90" i="3"/>
  <c r="W91" i="3"/>
  <c r="Z6" i="3"/>
  <c r="S9" i="3"/>
  <c r="Y11" i="3"/>
  <c r="R14" i="3"/>
  <c r="X16" i="3"/>
  <c r="Q19" i="3"/>
  <c r="W21" i="3"/>
  <c r="P24" i="3"/>
  <c r="V26" i="3"/>
  <c r="AB28" i="3"/>
  <c r="U31" i="3"/>
  <c r="AE31" i="3" s="1"/>
  <c r="AA33" i="3"/>
  <c r="T36" i="3"/>
  <c r="W38" i="3"/>
  <c r="P40" i="3"/>
  <c r="S41" i="3"/>
  <c r="V42" i="3"/>
  <c r="Y43" i="3"/>
  <c r="AB44" i="3"/>
  <c r="R46" i="3"/>
  <c r="U47" i="3"/>
  <c r="X48" i="3"/>
  <c r="AA49" i="3"/>
  <c r="Q51" i="3"/>
  <c r="T52" i="3"/>
  <c r="W53" i="3"/>
  <c r="Z54" i="3"/>
  <c r="P56" i="3"/>
  <c r="S57" i="3"/>
  <c r="AA57" i="3"/>
  <c r="V58" i="3"/>
  <c r="Q59" i="3"/>
  <c r="Y59" i="3"/>
  <c r="T60" i="3"/>
  <c r="AB60" i="3"/>
  <c r="W61" i="3"/>
  <c r="R62" i="3"/>
  <c r="Z62" i="3"/>
  <c r="U63" i="3"/>
  <c r="AE63" i="3" s="1"/>
  <c r="P64" i="3"/>
  <c r="X64" i="3"/>
  <c r="S65" i="3"/>
  <c r="AA65" i="3"/>
  <c r="V66" i="3"/>
  <c r="Q67" i="3"/>
  <c r="Y67" i="3"/>
  <c r="T68" i="3"/>
  <c r="AB68" i="3"/>
  <c r="W69" i="3"/>
  <c r="R70" i="3"/>
  <c r="Z70" i="3"/>
  <c r="U71" i="3"/>
  <c r="P72" i="3"/>
  <c r="X72" i="3"/>
  <c r="S73" i="3"/>
  <c r="AA73" i="3"/>
  <c r="V74" i="3"/>
  <c r="Q75" i="3"/>
  <c r="Y75" i="3"/>
  <c r="T76" i="3"/>
  <c r="AB76" i="3"/>
  <c r="W77" i="3"/>
  <c r="R78" i="3"/>
  <c r="Z78" i="3"/>
  <c r="U79" i="3"/>
  <c r="AE79" i="3" s="1"/>
  <c r="P80" i="3"/>
  <c r="X80" i="3"/>
  <c r="S81" i="3"/>
  <c r="AA81" i="3"/>
  <c r="V82" i="3"/>
  <c r="Q83" i="3"/>
  <c r="Y83" i="3"/>
  <c r="T84" i="3"/>
  <c r="AB84" i="3"/>
  <c r="W85" i="3"/>
  <c r="R86" i="3"/>
  <c r="Z86" i="3"/>
  <c r="U87" i="3"/>
  <c r="P88" i="3"/>
  <c r="X88" i="3"/>
  <c r="S89" i="3"/>
  <c r="AA89" i="3"/>
  <c r="V90" i="3"/>
  <c r="Q91" i="3"/>
  <c r="Y91" i="3"/>
  <c r="R7" i="3"/>
  <c r="X9" i="3"/>
  <c r="Q12" i="3"/>
  <c r="W14" i="3"/>
  <c r="P17" i="3"/>
  <c r="V19" i="3"/>
  <c r="AB21" i="3"/>
  <c r="U24" i="3"/>
  <c r="AA26" i="3"/>
  <c r="T29" i="3"/>
  <c r="Z31" i="3"/>
  <c r="S34" i="3"/>
  <c r="Y36" i="3"/>
  <c r="X38" i="3"/>
  <c r="U40" i="3"/>
  <c r="X41" i="3"/>
  <c r="AA42" i="3"/>
  <c r="Q44" i="3"/>
  <c r="T45" i="3"/>
  <c r="W46" i="3"/>
  <c r="Z47" i="3"/>
  <c r="P49" i="3"/>
  <c r="S50" i="3"/>
  <c r="V51" i="3"/>
  <c r="Y52" i="3"/>
  <c r="AB53" i="3"/>
  <c r="R55" i="3"/>
  <c r="U56" i="3"/>
  <c r="AE56" i="3" s="1"/>
  <c r="T57" i="3"/>
  <c r="AB57" i="3"/>
  <c r="W58" i="3"/>
  <c r="R59" i="3"/>
  <c r="Z59" i="3"/>
  <c r="U60" i="3"/>
  <c r="AE60" i="3" s="1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AE76" i="3" s="1"/>
  <c r="P77" i="3"/>
  <c r="X77" i="3"/>
  <c r="S78" i="3"/>
  <c r="AA78" i="3"/>
  <c r="V79" i="3"/>
  <c r="Q80" i="3"/>
  <c r="Y80" i="3"/>
  <c r="T81" i="3"/>
  <c r="AB81" i="3"/>
  <c r="W82" i="3"/>
  <c r="R83" i="3"/>
  <c r="Z83" i="3"/>
  <c r="U84" i="3"/>
  <c r="P85" i="3"/>
  <c r="X85" i="3"/>
  <c r="S86" i="3"/>
  <c r="AA86" i="3"/>
  <c r="V87" i="3"/>
  <c r="Q88" i="3"/>
  <c r="Y88" i="3"/>
  <c r="T89" i="3"/>
  <c r="AB89" i="3"/>
  <c r="W90" i="3"/>
  <c r="R91" i="3"/>
  <c r="Z91" i="3"/>
  <c r="T5" i="3"/>
  <c r="R15" i="3"/>
  <c r="P25" i="3"/>
  <c r="AA34" i="3"/>
  <c r="Z41" i="3"/>
  <c r="Y46" i="3"/>
  <c r="X51" i="3"/>
  <c r="W56" i="3"/>
  <c r="T59" i="3"/>
  <c r="Z61" i="3"/>
  <c r="W63" i="3"/>
  <c r="R65" i="3"/>
  <c r="Y66" i="3"/>
  <c r="V68" i="3"/>
  <c r="Q70" i="3"/>
  <c r="X71" i="3"/>
  <c r="U73" i="3"/>
  <c r="AE73" i="3" s="1"/>
  <c r="P75" i="3"/>
  <c r="W76" i="3"/>
  <c r="T78" i="3"/>
  <c r="AB79" i="3"/>
  <c r="V81" i="3"/>
  <c r="S83" i="3"/>
  <c r="AA84" i="3"/>
  <c r="U86" i="3"/>
  <c r="AE86" i="3" s="1"/>
  <c r="R88" i="3"/>
  <c r="Z89" i="3"/>
  <c r="T91" i="3"/>
  <c r="T92" i="3"/>
  <c r="AB92" i="3"/>
  <c r="W93" i="3"/>
  <c r="R94" i="3"/>
  <c r="Z94" i="3"/>
  <c r="U95" i="3"/>
  <c r="P96" i="3"/>
  <c r="X96" i="3"/>
  <c r="S97" i="3"/>
  <c r="AA97" i="3"/>
  <c r="V98" i="3"/>
  <c r="Q99" i="3"/>
  <c r="Y99" i="3"/>
  <c r="T100" i="3"/>
  <c r="AB100" i="3"/>
  <c r="W101" i="3"/>
  <c r="R102" i="3"/>
  <c r="Z102" i="3"/>
  <c r="U103" i="3"/>
  <c r="AE103" i="3" s="1"/>
  <c r="P104" i="3"/>
  <c r="X104" i="3"/>
  <c r="S105" i="3"/>
  <c r="AA105" i="3"/>
  <c r="V106" i="3"/>
  <c r="Q107" i="3"/>
  <c r="Y107" i="3"/>
  <c r="T108" i="3"/>
  <c r="AB108" i="3"/>
  <c r="W109" i="3"/>
  <c r="R110" i="3"/>
  <c r="Z110" i="3"/>
  <c r="U111" i="3"/>
  <c r="P112" i="3"/>
  <c r="X112" i="3"/>
  <c r="S113" i="3"/>
  <c r="AA113" i="3"/>
  <c r="V114" i="3"/>
  <c r="Q115" i="3"/>
  <c r="Y115" i="3"/>
  <c r="T116" i="3"/>
  <c r="AB116" i="3"/>
  <c r="W117" i="3"/>
  <c r="R118" i="3"/>
  <c r="Z118" i="3"/>
  <c r="U119" i="3"/>
  <c r="AE119" i="3" s="1"/>
  <c r="P120" i="3"/>
  <c r="X120" i="3"/>
  <c r="S121" i="3"/>
  <c r="AA121" i="3"/>
  <c r="V122" i="3"/>
  <c r="Q123" i="3"/>
  <c r="Y123" i="3"/>
  <c r="T124" i="3"/>
  <c r="AB124" i="3"/>
  <c r="W125" i="3"/>
  <c r="R126" i="3"/>
  <c r="Z126" i="3"/>
  <c r="Z7" i="3"/>
  <c r="X17" i="3"/>
  <c r="V27" i="3"/>
  <c r="T37" i="3"/>
  <c r="P43" i="3"/>
  <c r="AB47" i="3"/>
  <c r="AA52" i="3"/>
  <c r="V57" i="3"/>
  <c r="AB59" i="3"/>
  <c r="T62" i="3"/>
  <c r="AB63" i="3"/>
  <c r="V65" i="3"/>
  <c r="S67" i="3"/>
  <c r="AA68" i="3"/>
  <c r="U70" i="3"/>
  <c r="R72" i="3"/>
  <c r="Z73" i="3"/>
  <c r="T75" i="3"/>
  <c r="Q77" i="3"/>
  <c r="Y78" i="3"/>
  <c r="S80" i="3"/>
  <c r="P82" i="3"/>
  <c r="X83" i="3"/>
  <c r="R85" i="3"/>
  <c r="AB86" i="3"/>
  <c r="W88" i="3"/>
  <c r="Q90" i="3"/>
  <c r="AA91" i="3"/>
  <c r="V92" i="3"/>
  <c r="Q93" i="3"/>
  <c r="Y93" i="3"/>
  <c r="T94" i="3"/>
  <c r="AB94" i="3"/>
  <c r="W95" i="3"/>
  <c r="R96" i="3"/>
  <c r="Z96" i="3"/>
  <c r="U97" i="3"/>
  <c r="P98" i="3"/>
  <c r="X98" i="3"/>
  <c r="S99" i="3"/>
  <c r="AA99" i="3"/>
  <c r="V100" i="3"/>
  <c r="Q101" i="3"/>
  <c r="Y101" i="3"/>
  <c r="T102" i="3"/>
  <c r="AB102" i="3"/>
  <c r="W103" i="3"/>
  <c r="R104" i="3"/>
  <c r="Z104" i="3"/>
  <c r="U105" i="3"/>
  <c r="AE105" i="3" s="1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AE121" i="3" s="1"/>
  <c r="P122" i="3"/>
  <c r="X122" i="3"/>
  <c r="S123" i="3"/>
  <c r="AA123" i="3"/>
  <c r="V124" i="3"/>
  <c r="Q125" i="3"/>
  <c r="Y125" i="3"/>
  <c r="T126" i="3"/>
  <c r="AB126" i="3"/>
  <c r="P9" i="3"/>
  <c r="AA18" i="3"/>
  <c r="Y28" i="3"/>
  <c r="R38" i="3"/>
  <c r="X43" i="3"/>
  <c r="W48" i="3"/>
  <c r="V53" i="3"/>
  <c r="Z57" i="3"/>
  <c r="S60" i="3"/>
  <c r="U62" i="3"/>
  <c r="R64" i="3"/>
  <c r="Z65" i="3"/>
  <c r="T67" i="3"/>
  <c r="Q69" i="3"/>
  <c r="Y70" i="3"/>
  <c r="S72" i="3"/>
  <c r="P74" i="3"/>
  <c r="X75" i="3"/>
  <c r="R77" i="3"/>
  <c r="AB78" i="3"/>
  <c r="W80" i="3"/>
  <c r="Q82" i="3"/>
  <c r="AA83" i="3"/>
  <c r="V85" i="3"/>
  <c r="P87" i="3"/>
  <c r="Z88" i="3"/>
  <c r="U90" i="3"/>
  <c r="AE90" i="3" s="1"/>
  <c r="AB91" i="3"/>
  <c r="W92" i="3"/>
  <c r="R93" i="3"/>
  <c r="Z93" i="3"/>
  <c r="U94" i="3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AE102" i="3" s="1"/>
  <c r="P103" i="3"/>
  <c r="X103" i="3"/>
  <c r="S104" i="3"/>
  <c r="AA104" i="3"/>
  <c r="V105" i="3"/>
  <c r="Q106" i="3"/>
  <c r="Y106" i="3"/>
  <c r="T107" i="3"/>
  <c r="AB107" i="3"/>
  <c r="W108" i="3"/>
  <c r="R109" i="3"/>
  <c r="Z109" i="3"/>
  <c r="U110" i="3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AE118" i="3" s="1"/>
  <c r="P119" i="3"/>
  <c r="X119" i="3"/>
  <c r="S120" i="3"/>
  <c r="AA120" i="3"/>
  <c r="V121" i="3"/>
  <c r="Q122" i="3"/>
  <c r="Y122" i="3"/>
  <c r="T123" i="3"/>
  <c r="AB123" i="3"/>
  <c r="W124" i="3"/>
  <c r="R125" i="3"/>
  <c r="Z125" i="3"/>
  <c r="U126" i="3"/>
  <c r="AE126" i="3" s="1"/>
  <c r="P127" i="3"/>
  <c r="S10" i="3"/>
  <c r="Q20" i="3"/>
  <c r="AB29" i="3"/>
  <c r="R39" i="3"/>
  <c r="S44" i="3"/>
  <c r="R49" i="3"/>
  <c r="Q54" i="3"/>
  <c r="Q58" i="3"/>
  <c r="W60" i="3"/>
  <c r="Y62" i="3"/>
  <c r="S64" i="3"/>
  <c r="P66" i="3"/>
  <c r="X67" i="3"/>
  <c r="R69" i="3"/>
  <c r="AB70" i="3"/>
  <c r="W72" i="3"/>
  <c r="Q74" i="3"/>
  <c r="AA75" i="3"/>
  <c r="V77" i="3"/>
  <c r="P79" i="3"/>
  <c r="Z80" i="3"/>
  <c r="U82" i="3"/>
  <c r="AB83" i="3"/>
  <c r="Y85" i="3"/>
  <c r="T87" i="3"/>
  <c r="AA88" i="3"/>
  <c r="X90" i="3"/>
  <c r="P92" i="3"/>
  <c r="X92" i="3"/>
  <c r="S93" i="3"/>
  <c r="AA93" i="3"/>
  <c r="V94" i="3"/>
  <c r="Q95" i="3"/>
  <c r="Y95" i="3"/>
  <c r="T96" i="3"/>
  <c r="AB96" i="3"/>
  <c r="W97" i="3"/>
  <c r="R98" i="3"/>
  <c r="Z98" i="3"/>
  <c r="U99" i="3"/>
  <c r="AE99" i="3" s="1"/>
  <c r="P100" i="3"/>
  <c r="X100" i="3"/>
  <c r="S101" i="3"/>
  <c r="AA101" i="3"/>
  <c r="V102" i="3"/>
  <c r="Q103" i="3"/>
  <c r="Y103" i="3"/>
  <c r="T104" i="3"/>
  <c r="AB104" i="3"/>
  <c r="W105" i="3"/>
  <c r="R106" i="3"/>
  <c r="Z106" i="3"/>
  <c r="U107" i="3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AE115" i="3" s="1"/>
  <c r="P116" i="3"/>
  <c r="X116" i="3"/>
  <c r="S117" i="3"/>
  <c r="AA117" i="3"/>
  <c r="V118" i="3"/>
  <c r="Q119" i="3"/>
  <c r="Y119" i="3"/>
  <c r="T120" i="3"/>
  <c r="AB120" i="3"/>
  <c r="W121" i="3"/>
  <c r="R122" i="3"/>
  <c r="Z122" i="3"/>
  <c r="U123" i="3"/>
  <c r="P124" i="3"/>
  <c r="X124" i="3"/>
  <c r="S125" i="3"/>
  <c r="AA125" i="3"/>
  <c r="V126" i="3"/>
  <c r="Q127" i="3"/>
  <c r="Y12" i="3"/>
  <c r="W22" i="3"/>
  <c r="U32" i="3"/>
  <c r="AE32" i="3" s="1"/>
  <c r="W40" i="3"/>
  <c r="V45" i="3"/>
  <c r="U50" i="3"/>
  <c r="T55" i="3"/>
  <c r="Y58" i="3"/>
  <c r="R61" i="3"/>
  <c r="P63" i="3"/>
  <c r="Z64" i="3"/>
  <c r="U66" i="3"/>
  <c r="AE66" i="3" s="1"/>
  <c r="AB67" i="3"/>
  <c r="Y69" i="3"/>
  <c r="T71" i="3"/>
  <c r="AA72" i="3"/>
  <c r="X74" i="3"/>
  <c r="S76" i="3"/>
  <c r="Z77" i="3"/>
  <c r="W79" i="3"/>
  <c r="R81" i="3"/>
  <c r="Y82" i="3"/>
  <c r="V84" i="3"/>
  <c r="Q86" i="3"/>
  <c r="X87" i="3"/>
  <c r="U89" i="3"/>
  <c r="AE89" i="3" s="1"/>
  <c r="P91" i="3"/>
  <c r="R92" i="3"/>
  <c r="Z92" i="3"/>
  <c r="U93" i="3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AE101" i="3" s="1"/>
  <c r="P102" i="3"/>
  <c r="X102" i="3"/>
  <c r="S103" i="3"/>
  <c r="AA103" i="3"/>
  <c r="V104" i="3"/>
  <c r="Q105" i="3"/>
  <c r="Y105" i="3"/>
  <c r="T106" i="3"/>
  <c r="AB106" i="3"/>
  <c r="W107" i="3"/>
  <c r="R108" i="3"/>
  <c r="Z108" i="3"/>
  <c r="U109" i="3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AE117" i="3" s="1"/>
  <c r="P118" i="3"/>
  <c r="X118" i="3"/>
  <c r="S119" i="3"/>
  <c r="AA119" i="3"/>
  <c r="V120" i="3"/>
  <c r="Q121" i="3"/>
  <c r="Y121" i="3"/>
  <c r="T122" i="3"/>
  <c r="AB122" i="3"/>
  <c r="W123" i="3"/>
  <c r="R124" i="3"/>
  <c r="Z124" i="3"/>
  <c r="AB13" i="3"/>
  <c r="Z23" i="3"/>
  <c r="X33" i="3"/>
  <c r="R41" i="3"/>
  <c r="Q46" i="3"/>
  <c r="P51" i="3"/>
  <c r="AB55" i="3"/>
  <c r="P59" i="3"/>
  <c r="V61" i="3"/>
  <c r="T63" i="3"/>
  <c r="AA64" i="3"/>
  <c r="X66" i="3"/>
  <c r="S68" i="3"/>
  <c r="Z69" i="3"/>
  <c r="W71" i="3"/>
  <c r="R73" i="3"/>
  <c r="Y74" i="3"/>
  <c r="V76" i="3"/>
  <c r="Q78" i="3"/>
  <c r="X79" i="3"/>
  <c r="U81" i="3"/>
  <c r="P83" i="3"/>
  <c r="W84" i="3"/>
  <c r="T86" i="3"/>
  <c r="AB87" i="3"/>
  <c r="V89" i="3"/>
  <c r="S91" i="3"/>
  <c r="S92" i="3"/>
  <c r="AA92" i="3"/>
  <c r="V93" i="3"/>
  <c r="Q94" i="3"/>
  <c r="Y94" i="3"/>
  <c r="T95" i="3"/>
  <c r="AB95" i="3"/>
  <c r="W96" i="3"/>
  <c r="R97" i="3"/>
  <c r="Z97" i="3"/>
  <c r="U98" i="3"/>
  <c r="P99" i="3"/>
  <c r="X99" i="3"/>
  <c r="S100" i="3"/>
  <c r="AA100" i="3"/>
  <c r="V101" i="3"/>
  <c r="Q102" i="3"/>
  <c r="Y102" i="3"/>
  <c r="T103" i="3"/>
  <c r="AB103" i="3"/>
  <c r="W104" i="3"/>
  <c r="R105" i="3"/>
  <c r="Z105" i="3"/>
  <c r="U106" i="3"/>
  <c r="AE106" i="3" s="1"/>
  <c r="P107" i="3"/>
  <c r="X107" i="3"/>
  <c r="S108" i="3"/>
  <c r="AA108" i="3"/>
  <c r="V109" i="3"/>
  <c r="Q110" i="3"/>
  <c r="Y110" i="3"/>
  <c r="T111" i="3"/>
  <c r="AB111" i="3"/>
  <c r="W112" i="3"/>
  <c r="R113" i="3"/>
  <c r="Z113" i="3"/>
  <c r="U114" i="3"/>
  <c r="AE114" i="3" s="1"/>
  <c r="P115" i="3"/>
  <c r="X115" i="3"/>
  <c r="S116" i="3"/>
  <c r="AA116" i="3"/>
  <c r="V117" i="3"/>
  <c r="Q118" i="3"/>
  <c r="Y118" i="3"/>
  <c r="T119" i="3"/>
  <c r="AB119" i="3"/>
  <c r="W120" i="3"/>
  <c r="R121" i="3"/>
  <c r="Z121" i="3"/>
  <c r="U122" i="3"/>
  <c r="P123" i="3"/>
  <c r="X123" i="3"/>
  <c r="S124" i="3"/>
  <c r="AA124" i="3"/>
  <c r="W6" i="3"/>
  <c r="U42" i="3"/>
  <c r="AE42" i="3" s="1"/>
  <c r="X59" i="3"/>
  <c r="P67" i="3"/>
  <c r="V73" i="3"/>
  <c r="R80" i="3"/>
  <c r="Y86" i="3"/>
  <c r="U92" i="3"/>
  <c r="AA94" i="3"/>
  <c r="T97" i="3"/>
  <c r="Z99" i="3"/>
  <c r="S102" i="3"/>
  <c r="Y104" i="3"/>
  <c r="R107" i="3"/>
  <c r="X109" i="3"/>
  <c r="Q112" i="3"/>
  <c r="W114" i="3"/>
  <c r="P117" i="3"/>
  <c r="V119" i="3"/>
  <c r="AB121" i="3"/>
  <c r="U124" i="3"/>
  <c r="P126" i="3"/>
  <c r="S127" i="3"/>
  <c r="AA127" i="3"/>
  <c r="V128" i="3"/>
  <c r="Q129" i="3"/>
  <c r="Y129" i="3"/>
  <c r="T130" i="3"/>
  <c r="AB130" i="3"/>
  <c r="W131" i="3"/>
  <c r="R132" i="3"/>
  <c r="Z132" i="3"/>
  <c r="U133" i="3"/>
  <c r="AE133" i="3" s="1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P142" i="3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P166" i="3"/>
  <c r="X166" i="3"/>
  <c r="S167" i="3"/>
  <c r="U16" i="3"/>
  <c r="AE16" i="3" s="1"/>
  <c r="T47" i="3"/>
  <c r="Q62" i="3"/>
  <c r="W68" i="3"/>
  <c r="S75" i="3"/>
  <c r="Z81" i="3"/>
  <c r="S88" i="3"/>
  <c r="P93" i="3"/>
  <c r="V95" i="3"/>
  <c r="AB97" i="3"/>
  <c r="U100" i="3"/>
  <c r="AE100" i="3" s="1"/>
  <c r="AA102" i="3"/>
  <c r="T105" i="3"/>
  <c r="Z107" i="3"/>
  <c r="S110" i="3"/>
  <c r="Y112" i="3"/>
  <c r="R115" i="3"/>
  <c r="X117" i="3"/>
  <c r="Q120" i="3"/>
  <c r="W122" i="3"/>
  <c r="P125" i="3"/>
  <c r="S126" i="3"/>
  <c r="U127" i="3"/>
  <c r="AE127" i="3" s="1"/>
  <c r="P128" i="3"/>
  <c r="X128" i="3"/>
  <c r="S129" i="3"/>
  <c r="AA129" i="3"/>
  <c r="V130" i="3"/>
  <c r="Q131" i="3"/>
  <c r="Y131" i="3"/>
  <c r="T132" i="3"/>
  <c r="AB132" i="3"/>
  <c r="W133" i="3"/>
  <c r="R134" i="3"/>
  <c r="Z134" i="3"/>
  <c r="U135" i="3"/>
  <c r="P136" i="3"/>
  <c r="X136" i="3"/>
  <c r="S137" i="3"/>
  <c r="AA137" i="3"/>
  <c r="V138" i="3"/>
  <c r="Q139" i="3"/>
  <c r="Y139" i="3"/>
  <c r="T140" i="3"/>
  <c r="AB140" i="3"/>
  <c r="W141" i="3"/>
  <c r="R142" i="3"/>
  <c r="Z142" i="3"/>
  <c r="U143" i="3"/>
  <c r="AE143" i="3" s="1"/>
  <c r="P144" i="3"/>
  <c r="X144" i="3"/>
  <c r="S145" i="3"/>
  <c r="AA145" i="3"/>
  <c r="V146" i="3"/>
  <c r="Q147" i="3"/>
  <c r="Y147" i="3"/>
  <c r="T148" i="3"/>
  <c r="AB148" i="3"/>
  <c r="W149" i="3"/>
  <c r="R150" i="3"/>
  <c r="Z150" i="3"/>
  <c r="U151" i="3"/>
  <c r="P152" i="3"/>
  <c r="X152" i="3"/>
  <c r="S153" i="3"/>
  <c r="AA153" i="3"/>
  <c r="V154" i="3"/>
  <c r="Q155" i="3"/>
  <c r="Y155" i="3"/>
  <c r="T156" i="3"/>
  <c r="AB156" i="3"/>
  <c r="W157" i="3"/>
  <c r="R158" i="3"/>
  <c r="Z158" i="3"/>
  <c r="U159" i="3"/>
  <c r="AE159" i="3" s="1"/>
  <c r="P160" i="3"/>
  <c r="X160" i="3"/>
  <c r="S161" i="3"/>
  <c r="AA161" i="3"/>
  <c r="V162" i="3"/>
  <c r="Q163" i="3"/>
  <c r="Y163" i="3"/>
  <c r="T164" i="3"/>
  <c r="AB164" i="3"/>
  <c r="W165" i="3"/>
  <c r="R166" i="3"/>
  <c r="T21" i="3"/>
  <c r="Z49" i="3"/>
  <c r="AB62" i="3"/>
  <c r="V69" i="3"/>
  <c r="AB75" i="3"/>
  <c r="X82" i="3"/>
  <c r="R89" i="3"/>
  <c r="T93" i="3"/>
  <c r="Z95" i="3"/>
  <c r="S98" i="3"/>
  <c r="Y100" i="3"/>
  <c r="R103" i="3"/>
  <c r="X105" i="3"/>
  <c r="Q108" i="3"/>
  <c r="W110" i="3"/>
  <c r="P113" i="3"/>
  <c r="V115" i="3"/>
  <c r="AB117" i="3"/>
  <c r="U120" i="3"/>
  <c r="AE120" i="3" s="1"/>
  <c r="AA122" i="3"/>
  <c r="T125" i="3"/>
  <c r="W126" i="3"/>
  <c r="V127" i="3"/>
  <c r="Q128" i="3"/>
  <c r="Y128" i="3"/>
  <c r="T129" i="3"/>
  <c r="AB129" i="3"/>
  <c r="W130" i="3"/>
  <c r="R131" i="3"/>
  <c r="Z131" i="3"/>
  <c r="U132" i="3"/>
  <c r="P133" i="3"/>
  <c r="X133" i="3"/>
  <c r="S134" i="3"/>
  <c r="AA134" i="3"/>
  <c r="V135" i="3"/>
  <c r="Q136" i="3"/>
  <c r="Y136" i="3"/>
  <c r="T137" i="3"/>
  <c r="AB137" i="3"/>
  <c r="W138" i="3"/>
  <c r="R139" i="3"/>
  <c r="Z139" i="3"/>
  <c r="U140" i="3"/>
  <c r="AE140" i="3" s="1"/>
  <c r="P141" i="3"/>
  <c r="X141" i="3"/>
  <c r="S142" i="3"/>
  <c r="AA142" i="3"/>
  <c r="V143" i="3"/>
  <c r="Q144" i="3"/>
  <c r="Y144" i="3"/>
  <c r="T145" i="3"/>
  <c r="AB145" i="3"/>
  <c r="W146" i="3"/>
  <c r="R147" i="3"/>
  <c r="Z147" i="3"/>
  <c r="U148" i="3"/>
  <c r="AE148" i="3" s="1"/>
  <c r="P149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AE164" i="3" s="1"/>
  <c r="P165" i="3"/>
  <c r="X165" i="3"/>
  <c r="S26" i="3"/>
  <c r="S52" i="3"/>
  <c r="X63" i="3"/>
  <c r="T70" i="3"/>
  <c r="AA76" i="3"/>
  <c r="T83" i="3"/>
  <c r="P90" i="3"/>
  <c r="X93" i="3"/>
  <c r="Q96" i="3"/>
  <c r="W98" i="3"/>
  <c r="P101" i="3"/>
  <c r="V103" i="3"/>
  <c r="AB105" i="3"/>
  <c r="U108" i="3"/>
  <c r="AE108" i="3" s="1"/>
  <c r="AA110" i="3"/>
  <c r="T113" i="3"/>
  <c r="Z115" i="3"/>
  <c r="S118" i="3"/>
  <c r="Y120" i="3"/>
  <c r="R123" i="3"/>
  <c r="U125" i="3"/>
  <c r="AE125" i="3" s="1"/>
  <c r="X126" i="3"/>
  <c r="W127" i="3"/>
  <c r="R128" i="3"/>
  <c r="Z128" i="3"/>
  <c r="U129" i="3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AE137" i="3" s="1"/>
  <c r="P138" i="3"/>
  <c r="X138" i="3"/>
  <c r="S139" i="3"/>
  <c r="AA139" i="3"/>
  <c r="V140" i="3"/>
  <c r="Q141" i="3"/>
  <c r="Y141" i="3"/>
  <c r="T142" i="3"/>
  <c r="AB142" i="3"/>
  <c r="W143" i="3"/>
  <c r="R144" i="3"/>
  <c r="Z144" i="3"/>
  <c r="U145" i="3"/>
  <c r="AE145" i="3" s="1"/>
  <c r="P146" i="3"/>
  <c r="X146" i="3"/>
  <c r="S147" i="3"/>
  <c r="AA147" i="3"/>
  <c r="V148" i="3"/>
  <c r="Q149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AE161" i="3" s="1"/>
  <c r="P162" i="3"/>
  <c r="X162" i="3"/>
  <c r="S163" i="3"/>
  <c r="AA163" i="3"/>
  <c r="V164" i="3"/>
  <c r="Q36" i="3"/>
  <c r="R57" i="3"/>
  <c r="U65" i="3"/>
  <c r="AE65" i="3" s="1"/>
  <c r="AB71" i="3"/>
  <c r="U78" i="3"/>
  <c r="AE78" i="3" s="1"/>
  <c r="Q85" i="3"/>
  <c r="X91" i="3"/>
  <c r="S94" i="3"/>
  <c r="Y96" i="3"/>
  <c r="R99" i="3"/>
  <c r="X101" i="3"/>
  <c r="Q104" i="3"/>
  <c r="W106" i="3"/>
  <c r="P109" i="3"/>
  <c r="V111" i="3"/>
  <c r="AB113" i="3"/>
  <c r="U116" i="3"/>
  <c r="AE116" i="3" s="1"/>
  <c r="AA118" i="3"/>
  <c r="T121" i="3"/>
  <c r="Z123" i="3"/>
  <c r="X125" i="3"/>
  <c r="AA126" i="3"/>
  <c r="Y127" i="3"/>
  <c r="T128" i="3"/>
  <c r="AB128" i="3"/>
  <c r="W129" i="3"/>
  <c r="R130" i="3"/>
  <c r="Z130" i="3"/>
  <c r="U131" i="3"/>
  <c r="AE131" i="3" s="1"/>
  <c r="P132" i="3"/>
  <c r="X132" i="3"/>
  <c r="S133" i="3"/>
  <c r="AA133" i="3"/>
  <c r="V134" i="3"/>
  <c r="Q135" i="3"/>
  <c r="Y135" i="3"/>
  <c r="T136" i="3"/>
  <c r="AB136" i="3"/>
  <c r="W137" i="3"/>
  <c r="R138" i="3"/>
  <c r="Z138" i="3"/>
  <c r="U139" i="3"/>
  <c r="P140" i="3"/>
  <c r="X140" i="3"/>
  <c r="S141" i="3"/>
  <c r="AA141" i="3"/>
  <c r="V142" i="3"/>
  <c r="Q143" i="3"/>
  <c r="Y143" i="3"/>
  <c r="T144" i="3"/>
  <c r="AB144" i="3"/>
  <c r="W145" i="3"/>
  <c r="R146" i="3"/>
  <c r="Z146" i="3"/>
  <c r="U147" i="3"/>
  <c r="P148" i="3"/>
  <c r="X148" i="3"/>
  <c r="S149" i="3"/>
  <c r="AA149" i="3"/>
  <c r="V150" i="3"/>
  <c r="Q151" i="3"/>
  <c r="Y151" i="3"/>
  <c r="T152" i="3"/>
  <c r="AB152" i="3"/>
  <c r="W153" i="3"/>
  <c r="R154" i="3"/>
  <c r="Z154" i="3"/>
  <c r="U155" i="3"/>
  <c r="AE155" i="3" s="1"/>
  <c r="P156" i="3"/>
  <c r="X156" i="3"/>
  <c r="S157" i="3"/>
  <c r="AA157" i="3"/>
  <c r="V158" i="3"/>
  <c r="Q159" i="3"/>
  <c r="Y159" i="3"/>
  <c r="T160" i="3"/>
  <c r="AA39" i="3"/>
  <c r="U58" i="3"/>
  <c r="Q66" i="3"/>
  <c r="Z72" i="3"/>
  <c r="T79" i="3"/>
  <c r="Z85" i="3"/>
  <c r="Q92" i="3"/>
  <c r="W94" i="3"/>
  <c r="P97" i="3"/>
  <c r="V99" i="3"/>
  <c r="AB101" i="3"/>
  <c r="U104" i="3"/>
  <c r="AA106" i="3"/>
  <c r="T109" i="3"/>
  <c r="Z111" i="3"/>
  <c r="S114" i="3"/>
  <c r="Y116" i="3"/>
  <c r="R119" i="3"/>
  <c r="X121" i="3"/>
  <c r="Q124" i="3"/>
  <c r="AB125" i="3"/>
  <c r="R127" i="3"/>
  <c r="Z127" i="3"/>
  <c r="U128" i="3"/>
  <c r="AE128" i="3" s="1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P145" i="3"/>
  <c r="X145" i="3"/>
  <c r="S146" i="3"/>
  <c r="AA146" i="3"/>
  <c r="V147" i="3"/>
  <c r="Q148" i="3"/>
  <c r="Y148" i="3"/>
  <c r="T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V11" i="3"/>
  <c r="U74" i="3"/>
  <c r="AE74" i="3" s="1"/>
  <c r="R95" i="3"/>
  <c r="P105" i="3"/>
  <c r="AA114" i="3"/>
  <c r="Y124" i="3"/>
  <c r="W128" i="3"/>
  <c r="P131" i="3"/>
  <c r="V133" i="3"/>
  <c r="AB135" i="3"/>
  <c r="U138" i="3"/>
  <c r="AE138" i="3" s="1"/>
  <c r="AA140" i="3"/>
  <c r="T143" i="3"/>
  <c r="Z145" i="3"/>
  <c r="S148" i="3"/>
  <c r="Y150" i="3"/>
  <c r="R153" i="3"/>
  <c r="X155" i="3"/>
  <c r="Q158" i="3"/>
  <c r="U160" i="3"/>
  <c r="AE160" i="3" s="1"/>
  <c r="X161" i="3"/>
  <c r="AA162" i="3"/>
  <c r="Q164" i="3"/>
  <c r="S165" i="3"/>
  <c r="S166" i="3"/>
  <c r="AB166" i="3"/>
  <c r="X167" i="3"/>
  <c r="S168" i="3"/>
  <c r="AA168" i="3"/>
  <c r="V169" i="3"/>
  <c r="Q170" i="3"/>
  <c r="Y170" i="3"/>
  <c r="T171" i="3"/>
  <c r="AB171" i="3"/>
  <c r="W172" i="3"/>
  <c r="R173" i="3"/>
  <c r="Z173" i="3"/>
  <c r="U174" i="3"/>
  <c r="AE174" i="3" s="1"/>
  <c r="P175" i="3"/>
  <c r="X175" i="3"/>
  <c r="S176" i="3"/>
  <c r="AA176" i="3"/>
  <c r="V177" i="3"/>
  <c r="Q178" i="3"/>
  <c r="Y178" i="3"/>
  <c r="T179" i="3"/>
  <c r="AB179" i="3"/>
  <c r="W180" i="3"/>
  <c r="R181" i="3"/>
  <c r="Z181" i="3"/>
  <c r="U182" i="3"/>
  <c r="AE182" i="3" s="1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P191" i="3"/>
  <c r="X191" i="3"/>
  <c r="S192" i="3"/>
  <c r="AA192" i="3"/>
  <c r="V193" i="3"/>
  <c r="Q194" i="3"/>
  <c r="Y194" i="3"/>
  <c r="T195" i="3"/>
  <c r="AB195" i="3"/>
  <c r="W196" i="3"/>
  <c r="R197" i="3"/>
  <c r="Z197" i="3"/>
  <c r="U198" i="3"/>
  <c r="AE198" i="3" s="1"/>
  <c r="P199" i="3"/>
  <c r="X199" i="3"/>
  <c r="S200" i="3"/>
  <c r="AA200" i="3"/>
  <c r="V201" i="3"/>
  <c r="Q202" i="3"/>
  <c r="Y202" i="3"/>
  <c r="T203" i="3"/>
  <c r="AB203" i="3"/>
  <c r="W204" i="3"/>
  <c r="R205" i="3"/>
  <c r="Z205" i="3"/>
  <c r="AA44" i="3"/>
  <c r="AA80" i="3"/>
  <c r="X97" i="3"/>
  <c r="V107" i="3"/>
  <c r="T117" i="3"/>
  <c r="Q126" i="3"/>
  <c r="R129" i="3"/>
  <c r="X131" i="3"/>
  <c r="Q134" i="3"/>
  <c r="W136" i="3"/>
  <c r="P139" i="3"/>
  <c r="V141" i="3"/>
  <c r="AB143" i="3"/>
  <c r="U146" i="3"/>
  <c r="AA148" i="3"/>
  <c r="T151" i="3"/>
  <c r="Z153" i="3"/>
  <c r="S156" i="3"/>
  <c r="Y158" i="3"/>
  <c r="AA160" i="3"/>
  <c r="Q162" i="3"/>
  <c r="T163" i="3"/>
  <c r="W164" i="3"/>
  <c r="V165" i="3"/>
  <c r="U166" i="3"/>
  <c r="AE166" i="3" s="1"/>
  <c r="Q167" i="3"/>
  <c r="Z167" i="3"/>
  <c r="U168" i="3"/>
  <c r="AE168" i="3" s="1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AE176" i="3" s="1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AE192" i="3" s="1"/>
  <c r="P193" i="3"/>
  <c r="X193" i="3"/>
  <c r="S194" i="3"/>
  <c r="AA194" i="3"/>
  <c r="V195" i="3"/>
  <c r="Q196" i="3"/>
  <c r="Y196" i="3"/>
  <c r="T197" i="3"/>
  <c r="AB197" i="3"/>
  <c r="W198" i="3"/>
  <c r="R199" i="3"/>
  <c r="Z199" i="3"/>
  <c r="U200" i="3"/>
  <c r="P201" i="3"/>
  <c r="X201" i="3"/>
  <c r="S202" i="3"/>
  <c r="AA202" i="3"/>
  <c r="V203" i="3"/>
  <c r="Q204" i="3"/>
  <c r="Y204" i="3"/>
  <c r="T205" i="3"/>
  <c r="AB205" i="3"/>
  <c r="Y54" i="3"/>
  <c r="S84" i="3"/>
  <c r="AA98" i="3"/>
  <c r="Y108" i="3"/>
  <c r="W118" i="3"/>
  <c r="Y126" i="3"/>
  <c r="V129" i="3"/>
  <c r="AB131" i="3"/>
  <c r="U134" i="3"/>
  <c r="AE134" i="3" s="1"/>
  <c r="AA136" i="3"/>
  <c r="T139" i="3"/>
  <c r="Z141" i="3"/>
  <c r="S144" i="3"/>
  <c r="Y146" i="3"/>
  <c r="R149" i="3"/>
  <c r="X151" i="3"/>
  <c r="Q154" i="3"/>
  <c r="W156" i="3"/>
  <c r="P159" i="3"/>
  <c r="AB160" i="3"/>
  <c r="R162" i="3"/>
  <c r="U163" i="3"/>
  <c r="X164" i="3"/>
  <c r="Y165" i="3"/>
  <c r="V166" i="3"/>
  <c r="R167" i="3"/>
  <c r="AA167" i="3"/>
  <c r="V168" i="3"/>
  <c r="Q169" i="3"/>
  <c r="Y169" i="3"/>
  <c r="T170" i="3"/>
  <c r="AB170" i="3"/>
  <c r="W171" i="3"/>
  <c r="R172" i="3"/>
  <c r="Z172" i="3"/>
  <c r="U173" i="3"/>
  <c r="AE173" i="3" s="1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AE181" i="3" s="1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AE197" i="3" s="1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AE205" i="3" s="1"/>
  <c r="P206" i="3"/>
  <c r="X206" i="3"/>
  <c r="AA60" i="3"/>
  <c r="W87" i="3"/>
  <c r="Q100" i="3"/>
  <c r="AB109" i="3"/>
  <c r="Z119" i="3"/>
  <c r="T127" i="3"/>
  <c r="Z129" i="3"/>
  <c r="S132" i="3"/>
  <c r="Y134" i="3"/>
  <c r="R137" i="3"/>
  <c r="X139" i="3"/>
  <c r="Q142" i="3"/>
  <c r="W144" i="3"/>
  <c r="P147" i="3"/>
  <c r="V149" i="3"/>
  <c r="AB151" i="3"/>
  <c r="U154" i="3"/>
  <c r="AE154" i="3" s="1"/>
  <c r="AA156" i="3"/>
  <c r="T159" i="3"/>
  <c r="P161" i="3"/>
  <c r="S162" i="3"/>
  <c r="V163" i="3"/>
  <c r="Y164" i="3"/>
  <c r="Z165" i="3"/>
  <c r="W166" i="3"/>
  <c r="T167" i="3"/>
  <c r="AB167" i="3"/>
  <c r="W168" i="3"/>
  <c r="R169" i="3"/>
  <c r="Z169" i="3"/>
  <c r="U170" i="3"/>
  <c r="AE170" i="3" s="1"/>
  <c r="P171" i="3"/>
  <c r="X171" i="3"/>
  <c r="S172" i="3"/>
  <c r="AA172" i="3"/>
  <c r="V173" i="3"/>
  <c r="Q174" i="3"/>
  <c r="Y174" i="3"/>
  <c r="T175" i="3"/>
  <c r="AB175" i="3"/>
  <c r="W176" i="3"/>
  <c r="R177" i="3"/>
  <c r="Z177" i="3"/>
  <c r="U178" i="3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AE186" i="3" s="1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AE194" i="3" s="1"/>
  <c r="P195" i="3"/>
  <c r="X195" i="3"/>
  <c r="S196" i="3"/>
  <c r="AA196" i="3"/>
  <c r="V197" i="3"/>
  <c r="Q198" i="3"/>
  <c r="Y198" i="3"/>
  <c r="T199" i="3"/>
  <c r="AB199" i="3"/>
  <c r="W200" i="3"/>
  <c r="R201" i="3"/>
  <c r="Z201" i="3"/>
  <c r="U202" i="3"/>
  <c r="P203" i="3"/>
  <c r="X203" i="3"/>
  <c r="AA67" i="3"/>
  <c r="Y92" i="3"/>
  <c r="W102" i="3"/>
  <c r="U112" i="3"/>
  <c r="AE112" i="3" s="1"/>
  <c r="S122" i="3"/>
  <c r="AB127" i="3"/>
  <c r="U130" i="3"/>
  <c r="AA132" i="3"/>
  <c r="T135" i="3"/>
  <c r="Z137" i="3"/>
  <c r="S140" i="3"/>
  <c r="Y142" i="3"/>
  <c r="R145" i="3"/>
  <c r="X147" i="3"/>
  <c r="Q150" i="3"/>
  <c r="W152" i="3"/>
  <c r="P155" i="3"/>
  <c r="V157" i="3"/>
  <c r="AB159" i="3"/>
  <c r="V161" i="3"/>
  <c r="Y162" i="3"/>
  <c r="AB163" i="3"/>
  <c r="Q165" i="3"/>
  <c r="AB165" i="3"/>
  <c r="Z166" i="3"/>
  <c r="V167" i="3"/>
  <c r="Q168" i="3"/>
  <c r="Y168" i="3"/>
  <c r="T169" i="3"/>
  <c r="AB169" i="3"/>
  <c r="W170" i="3"/>
  <c r="R171" i="3"/>
  <c r="Z171" i="3"/>
  <c r="U172" i="3"/>
  <c r="AE172" i="3" s="1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W194" i="3"/>
  <c r="R195" i="3"/>
  <c r="Z195" i="3"/>
  <c r="U196" i="3"/>
  <c r="AE196" i="3" s="1"/>
  <c r="P197" i="3"/>
  <c r="X197" i="3"/>
  <c r="S198" i="3"/>
  <c r="AA198" i="3"/>
  <c r="V199" i="3"/>
  <c r="Q200" i="3"/>
  <c r="P71" i="3"/>
  <c r="AB93" i="3"/>
  <c r="Z103" i="3"/>
  <c r="X113" i="3"/>
  <c r="V123" i="3"/>
  <c r="S128" i="3"/>
  <c r="Y130" i="3"/>
  <c r="R133" i="3"/>
  <c r="X135" i="3"/>
  <c r="Q138" i="3"/>
  <c r="W140" i="3"/>
  <c r="P143" i="3"/>
  <c r="V145" i="3"/>
  <c r="AB147" i="3"/>
  <c r="U150" i="3"/>
  <c r="AA152" i="3"/>
  <c r="T155" i="3"/>
  <c r="Z157" i="3"/>
  <c r="S160" i="3"/>
  <c r="W161" i="3"/>
  <c r="Z162" i="3"/>
  <c r="P164" i="3"/>
  <c r="R165" i="3"/>
  <c r="Q166" i="3"/>
  <c r="AA166" i="3"/>
  <c r="W167" i="3"/>
  <c r="R168" i="3"/>
  <c r="Z168" i="3"/>
  <c r="U169" i="3"/>
  <c r="AE169" i="3" s="1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AE177" i="3" s="1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94" i="3"/>
  <c r="S195" i="3"/>
  <c r="AA195" i="3"/>
  <c r="V196" i="3"/>
  <c r="Q197" i="3"/>
  <c r="Y197" i="3"/>
  <c r="T198" i="3"/>
  <c r="AB198" i="3"/>
  <c r="W199" i="3"/>
  <c r="R200" i="3"/>
  <c r="R31" i="3"/>
  <c r="Q116" i="3"/>
  <c r="Z133" i="3"/>
  <c r="X143" i="3"/>
  <c r="V153" i="3"/>
  <c r="Z161" i="3"/>
  <c r="T166" i="3"/>
  <c r="AB168" i="3"/>
  <c r="U171" i="3"/>
  <c r="AA173" i="3"/>
  <c r="T176" i="3"/>
  <c r="Z178" i="3"/>
  <c r="S181" i="3"/>
  <c r="Y183" i="3"/>
  <c r="R186" i="3"/>
  <c r="X188" i="3"/>
  <c r="Q191" i="3"/>
  <c r="W193" i="3"/>
  <c r="P196" i="3"/>
  <c r="V198" i="3"/>
  <c r="Y200" i="3"/>
  <c r="AB201" i="3"/>
  <c r="R203" i="3"/>
  <c r="T204" i="3"/>
  <c r="S205" i="3"/>
  <c r="S206" i="3"/>
  <c r="AB206" i="3"/>
  <c r="W207" i="3"/>
  <c r="R208" i="3"/>
  <c r="Z208" i="3"/>
  <c r="U209" i="3"/>
  <c r="AE209" i="3" s="1"/>
  <c r="P210" i="3"/>
  <c r="X210" i="3"/>
  <c r="S211" i="3"/>
  <c r="AA211" i="3"/>
  <c r="V212" i="3"/>
  <c r="Q213" i="3"/>
  <c r="Y213" i="3"/>
  <c r="T214" i="3"/>
  <c r="AB214" i="3"/>
  <c r="W215" i="3"/>
  <c r="R216" i="3"/>
  <c r="Z216" i="3"/>
  <c r="U217" i="3"/>
  <c r="AE217" i="3" s="1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Y77" i="3"/>
  <c r="V125" i="3"/>
  <c r="S136" i="3"/>
  <c r="Q146" i="3"/>
  <c r="AB155" i="3"/>
  <c r="P163" i="3"/>
  <c r="P167" i="3"/>
  <c r="W169" i="3"/>
  <c r="P172" i="3"/>
  <c r="V174" i="3"/>
  <c r="AB176" i="3"/>
  <c r="U179" i="3"/>
  <c r="AE179" i="3" s="1"/>
  <c r="AA181" i="3"/>
  <c r="T184" i="3"/>
  <c r="Z186" i="3"/>
  <c r="S189" i="3"/>
  <c r="Y191" i="3"/>
  <c r="R194" i="3"/>
  <c r="X196" i="3"/>
  <c r="Q199" i="3"/>
  <c r="AB200" i="3"/>
  <c r="R202" i="3"/>
  <c r="U203" i="3"/>
  <c r="V204" i="3"/>
  <c r="W205" i="3"/>
  <c r="U206" i="3"/>
  <c r="AE206" i="3" s="1"/>
  <c r="Q207" i="3"/>
  <c r="Y207" i="3"/>
  <c r="T208" i="3"/>
  <c r="AB208" i="3"/>
  <c r="W209" i="3"/>
  <c r="R210" i="3"/>
  <c r="Z210" i="3"/>
  <c r="U211" i="3"/>
  <c r="AE211" i="3" s="1"/>
  <c r="P212" i="3"/>
  <c r="X212" i="3"/>
  <c r="S213" i="3"/>
  <c r="AA213" i="3"/>
  <c r="V214" i="3"/>
  <c r="Q215" i="3"/>
  <c r="Y215" i="3"/>
  <c r="T216" i="3"/>
  <c r="AB216" i="3"/>
  <c r="W217" i="3"/>
  <c r="R218" i="3"/>
  <c r="Z218" i="3"/>
  <c r="U219" i="3"/>
  <c r="P220" i="3"/>
  <c r="X220" i="3"/>
  <c r="S221" i="3"/>
  <c r="AA221" i="3"/>
  <c r="V222" i="3"/>
  <c r="Q223" i="3"/>
  <c r="Y223" i="3"/>
  <c r="T224" i="3"/>
  <c r="AB224" i="3"/>
  <c r="W225" i="3"/>
  <c r="R226" i="3"/>
  <c r="Z226" i="3"/>
  <c r="U227" i="3"/>
  <c r="AE227" i="3" s="1"/>
  <c r="P228" i="3"/>
  <c r="X228" i="3"/>
  <c r="S229" i="3"/>
  <c r="AA229" i="3"/>
  <c r="V230" i="3"/>
  <c r="Q231" i="3"/>
  <c r="Y231" i="3"/>
  <c r="T232" i="3"/>
  <c r="AB232" i="3"/>
  <c r="W233" i="3"/>
  <c r="R234" i="3"/>
  <c r="Z234" i="3"/>
  <c r="U235" i="3"/>
  <c r="P236" i="3"/>
  <c r="X236" i="3"/>
  <c r="S237" i="3"/>
  <c r="AA237" i="3"/>
  <c r="V238" i="3"/>
  <c r="Q239" i="3"/>
  <c r="Y239" i="3"/>
  <c r="T240" i="3"/>
  <c r="AB240" i="3"/>
  <c r="W241" i="3"/>
  <c r="R242" i="3"/>
  <c r="Z242" i="3"/>
  <c r="U243" i="3"/>
  <c r="AE243" i="3" s="1"/>
  <c r="P244" i="3"/>
  <c r="X244" i="3"/>
  <c r="S245" i="3"/>
  <c r="AA245" i="3"/>
  <c r="V246" i="3"/>
  <c r="Q247" i="3"/>
  <c r="Y247" i="3"/>
  <c r="T248" i="3"/>
  <c r="AB248" i="3"/>
  <c r="W249" i="3"/>
  <c r="R250" i="3"/>
  <c r="Z250" i="3"/>
  <c r="U251" i="3"/>
  <c r="AE251" i="3" s="1"/>
  <c r="Y90" i="3"/>
  <c r="X127" i="3"/>
  <c r="V137" i="3"/>
  <c r="T147" i="3"/>
  <c r="R157" i="3"/>
  <c r="X163" i="3"/>
  <c r="U167" i="3"/>
  <c r="AE167" i="3" s="1"/>
  <c r="AA169" i="3"/>
  <c r="T172" i="3"/>
  <c r="Z174" i="3"/>
  <c r="S177" i="3"/>
  <c r="Y179" i="3"/>
  <c r="R182" i="3"/>
  <c r="X184" i="3"/>
  <c r="Q187" i="3"/>
  <c r="W189" i="3"/>
  <c r="P192" i="3"/>
  <c r="V194" i="3"/>
  <c r="AB196" i="3"/>
  <c r="U199" i="3"/>
  <c r="S201" i="3"/>
  <c r="V202" i="3"/>
  <c r="Y203" i="3"/>
  <c r="X204" i="3"/>
  <c r="X205" i="3"/>
  <c r="V206" i="3"/>
  <c r="R207" i="3"/>
  <c r="Z207" i="3"/>
  <c r="U208" i="3"/>
  <c r="P209" i="3"/>
  <c r="X209" i="3"/>
  <c r="S210" i="3"/>
  <c r="AA210" i="3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P249" i="3"/>
  <c r="X249" i="3"/>
  <c r="S250" i="3"/>
  <c r="AA250" i="3"/>
  <c r="U96" i="3"/>
  <c r="AE96" i="3" s="1"/>
  <c r="AA128" i="3"/>
  <c r="Y138" i="3"/>
  <c r="W148" i="3"/>
  <c r="U158" i="3"/>
  <c r="AE158" i="3" s="1"/>
  <c r="S164" i="3"/>
  <c r="Y167" i="3"/>
  <c r="R170" i="3"/>
  <c r="X172" i="3"/>
  <c r="Q175" i="3"/>
  <c r="W177" i="3"/>
  <c r="P180" i="3"/>
  <c r="V182" i="3"/>
  <c r="AB184" i="3"/>
  <c r="U187" i="3"/>
  <c r="AE187" i="3" s="1"/>
  <c r="AA189" i="3"/>
  <c r="T192" i="3"/>
  <c r="Z194" i="3"/>
  <c r="S197" i="3"/>
  <c r="Y199" i="3"/>
  <c r="T201" i="3"/>
  <c r="W202" i="3"/>
  <c r="Z203" i="3"/>
  <c r="AA204" i="3"/>
  <c r="Y205" i="3"/>
  <c r="W206" i="3"/>
  <c r="S207" i="3"/>
  <c r="AA207" i="3"/>
  <c r="V208" i="3"/>
  <c r="Q209" i="3"/>
  <c r="Y209" i="3"/>
  <c r="T210" i="3"/>
  <c r="AB210" i="3"/>
  <c r="W211" i="3"/>
  <c r="R212" i="3"/>
  <c r="Z212" i="3"/>
  <c r="U213" i="3"/>
  <c r="AE213" i="3" s="1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S106" i="3"/>
  <c r="T131" i="3"/>
  <c r="R141" i="3"/>
  <c r="P151" i="3"/>
  <c r="W160" i="3"/>
  <c r="T165" i="3"/>
  <c r="T168" i="3"/>
  <c r="Z170" i="3"/>
  <c r="S173" i="3"/>
  <c r="Y175" i="3"/>
  <c r="R178" i="3"/>
  <c r="X180" i="3"/>
  <c r="Q183" i="3"/>
  <c r="W185" i="3"/>
  <c r="P188" i="3"/>
  <c r="V190" i="3"/>
  <c r="AB192" i="3"/>
  <c r="U195" i="3"/>
  <c r="AA197" i="3"/>
  <c r="T200" i="3"/>
  <c r="W201" i="3"/>
  <c r="Z202" i="3"/>
  <c r="P204" i="3"/>
  <c r="P205" i="3"/>
  <c r="Q206" i="3"/>
  <c r="Z206" i="3"/>
  <c r="U207" i="3"/>
  <c r="AE207" i="3" s="1"/>
  <c r="P208" i="3"/>
  <c r="X208" i="3"/>
  <c r="S209" i="3"/>
  <c r="AA209" i="3"/>
  <c r="V210" i="3"/>
  <c r="Q211" i="3"/>
  <c r="Y211" i="3"/>
  <c r="T212" i="3"/>
  <c r="AB212" i="3"/>
  <c r="W213" i="3"/>
  <c r="R214" i="3"/>
  <c r="Z214" i="3"/>
  <c r="U215" i="3"/>
  <c r="P216" i="3"/>
  <c r="X216" i="3"/>
  <c r="S217" i="3"/>
  <c r="AA217" i="3"/>
  <c r="V218" i="3"/>
  <c r="Q219" i="3"/>
  <c r="Y219" i="3"/>
  <c r="T220" i="3"/>
  <c r="AB220" i="3"/>
  <c r="W221" i="3"/>
  <c r="R222" i="3"/>
  <c r="Z222" i="3"/>
  <c r="U223" i="3"/>
  <c r="AE223" i="3" s="1"/>
  <c r="P224" i="3"/>
  <c r="X224" i="3"/>
  <c r="S225" i="3"/>
  <c r="AA225" i="3"/>
  <c r="V226" i="3"/>
  <c r="Q227" i="3"/>
  <c r="Y227" i="3"/>
  <c r="T228" i="3"/>
  <c r="AB228" i="3"/>
  <c r="W229" i="3"/>
  <c r="R230" i="3"/>
  <c r="Z230" i="3"/>
  <c r="U231" i="3"/>
  <c r="P232" i="3"/>
  <c r="X232" i="3"/>
  <c r="S233" i="3"/>
  <c r="AA233" i="3"/>
  <c r="V234" i="3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R111" i="3"/>
  <c r="W132" i="3"/>
  <c r="U142" i="3"/>
  <c r="S152" i="3"/>
  <c r="R161" i="3"/>
  <c r="AA165" i="3"/>
  <c r="X168" i="3"/>
  <c r="Q171" i="3"/>
  <c r="W173" i="3"/>
  <c r="P176" i="3"/>
  <c r="V178" i="3"/>
  <c r="AB180" i="3"/>
  <c r="U183" i="3"/>
  <c r="AA185" i="3"/>
  <c r="T188" i="3"/>
  <c r="Z190" i="3"/>
  <c r="S193" i="3"/>
  <c r="Y195" i="3"/>
  <c r="R198" i="3"/>
  <c r="X200" i="3"/>
  <c r="AA201" i="3"/>
  <c r="Q203" i="3"/>
  <c r="S204" i="3"/>
  <c r="Q205" i="3"/>
  <c r="R206" i="3"/>
  <c r="AA206" i="3"/>
  <c r="V207" i="3"/>
  <c r="Q208" i="3"/>
  <c r="Y208" i="3"/>
  <c r="T209" i="3"/>
  <c r="AB209" i="3"/>
  <c r="W210" i="3"/>
  <c r="R211" i="3"/>
  <c r="Z211" i="3"/>
  <c r="U212" i="3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W64" i="3"/>
  <c r="Y154" i="3"/>
  <c r="Y171" i="3"/>
  <c r="W181" i="3"/>
  <c r="U191" i="3"/>
  <c r="Z200" i="3"/>
  <c r="V205" i="3"/>
  <c r="S208" i="3"/>
  <c r="Y210" i="3"/>
  <c r="R213" i="3"/>
  <c r="X215" i="3"/>
  <c r="Q218" i="3"/>
  <c r="W220" i="3"/>
  <c r="P223" i="3"/>
  <c r="V225" i="3"/>
  <c r="AB227" i="3"/>
  <c r="U230" i="3"/>
  <c r="AE230" i="3" s="1"/>
  <c r="AA232" i="3"/>
  <c r="T235" i="3"/>
  <c r="Z237" i="3"/>
  <c r="S240" i="3"/>
  <c r="Y242" i="3"/>
  <c r="U244" i="3"/>
  <c r="X245" i="3"/>
  <c r="Z246" i="3"/>
  <c r="AA247" i="3"/>
  <c r="Y248" i="3"/>
  <c r="Z249" i="3"/>
  <c r="X250" i="3"/>
  <c r="V251" i="3"/>
  <c r="Q252" i="3"/>
  <c r="Y252" i="3"/>
  <c r="T253" i="3"/>
  <c r="AB253" i="3"/>
  <c r="W254" i="3"/>
  <c r="R255" i="3"/>
  <c r="Z255" i="3"/>
  <c r="U256" i="3"/>
  <c r="P257" i="3"/>
  <c r="X257" i="3"/>
  <c r="S258" i="3"/>
  <c r="AA258" i="3"/>
  <c r="V259" i="3"/>
  <c r="Q260" i="3"/>
  <c r="Y260" i="3"/>
  <c r="T261" i="3"/>
  <c r="AB261" i="3"/>
  <c r="W262" i="3"/>
  <c r="R263" i="3"/>
  <c r="Z263" i="3"/>
  <c r="U264" i="3"/>
  <c r="AE264" i="3" s="1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AE272" i="3" s="1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AE288" i="3" s="1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AE304" i="3" s="1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P121" i="3"/>
  <c r="U162" i="3"/>
  <c r="AE162" i="3" s="1"/>
  <c r="R174" i="3"/>
  <c r="P184" i="3"/>
  <c r="AA193" i="3"/>
  <c r="P202" i="3"/>
  <c r="T206" i="3"/>
  <c r="AA208" i="3"/>
  <c r="T211" i="3"/>
  <c r="Z213" i="3"/>
  <c r="S216" i="3"/>
  <c r="Y218" i="3"/>
  <c r="R221" i="3"/>
  <c r="X223" i="3"/>
  <c r="Q226" i="3"/>
  <c r="W228" i="3"/>
  <c r="P231" i="3"/>
  <c r="V233" i="3"/>
  <c r="AB235" i="3"/>
  <c r="U238" i="3"/>
  <c r="AA240" i="3"/>
  <c r="T243" i="3"/>
  <c r="AA244" i="3"/>
  <c r="Q246" i="3"/>
  <c r="P247" i="3"/>
  <c r="P248" i="3"/>
  <c r="Q249" i="3"/>
  <c r="AB249" i="3"/>
  <c r="AB250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AE258" i="3" s="1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P275" i="3"/>
  <c r="X275" i="3"/>
  <c r="S276" i="3"/>
  <c r="AA276" i="3"/>
  <c r="V277" i="3"/>
  <c r="Q278" i="3"/>
  <c r="Y278" i="3"/>
  <c r="T279" i="3"/>
  <c r="AB279" i="3"/>
  <c r="W280" i="3"/>
  <c r="R281" i="3"/>
  <c r="Z281" i="3"/>
  <c r="U282" i="3"/>
  <c r="AE282" i="3" s="1"/>
  <c r="P283" i="3"/>
  <c r="X283" i="3"/>
  <c r="S284" i="3"/>
  <c r="AA284" i="3"/>
  <c r="V285" i="3"/>
  <c r="Q286" i="3"/>
  <c r="Y286" i="3"/>
  <c r="T287" i="3"/>
  <c r="AB287" i="3"/>
  <c r="W288" i="3"/>
  <c r="R289" i="3"/>
  <c r="Z289" i="3"/>
  <c r="U290" i="3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AE298" i="3" s="1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P315" i="3"/>
  <c r="X315" i="3"/>
  <c r="S316" i="3"/>
  <c r="AA316" i="3"/>
  <c r="V317" i="3"/>
  <c r="Q318" i="3"/>
  <c r="Y318" i="3"/>
  <c r="T319" i="3"/>
  <c r="AB319" i="3"/>
  <c r="W320" i="3"/>
  <c r="R321" i="3"/>
  <c r="Z321" i="3"/>
  <c r="U322" i="3"/>
  <c r="AE322" i="3" s="1"/>
  <c r="P323" i="3"/>
  <c r="X323" i="3"/>
  <c r="S324" i="3"/>
  <c r="AA324" i="3"/>
  <c r="V325" i="3"/>
  <c r="Q326" i="3"/>
  <c r="Y326" i="3"/>
  <c r="T327" i="3"/>
  <c r="AB327" i="3"/>
  <c r="W328" i="3"/>
  <c r="R329" i="3"/>
  <c r="Z329" i="3"/>
  <c r="U330" i="3"/>
  <c r="AE330" i="3" s="1"/>
  <c r="P331" i="3"/>
  <c r="X331" i="3"/>
  <c r="S332" i="3"/>
  <c r="AA332" i="3"/>
  <c r="V333" i="3"/>
  <c r="Q334" i="3"/>
  <c r="Y334" i="3"/>
  <c r="T335" i="3"/>
  <c r="AB335" i="3"/>
  <c r="W336" i="3"/>
  <c r="R337" i="3"/>
  <c r="Z337" i="3"/>
  <c r="Q130" i="3"/>
  <c r="AA164" i="3"/>
  <c r="U175" i="3"/>
  <c r="S185" i="3"/>
  <c r="Q195" i="3"/>
  <c r="X202" i="3"/>
  <c r="Y206" i="3"/>
  <c r="R209" i="3"/>
  <c r="X211" i="3"/>
  <c r="Q214" i="3"/>
  <c r="W216" i="3"/>
  <c r="P219" i="3"/>
  <c r="V221" i="3"/>
  <c r="AB223" i="3"/>
  <c r="U226" i="3"/>
  <c r="AE226" i="3" s="1"/>
  <c r="AA228" i="3"/>
  <c r="T231" i="3"/>
  <c r="Z233" i="3"/>
  <c r="S236" i="3"/>
  <c r="Y238" i="3"/>
  <c r="R241" i="3"/>
  <c r="X243" i="3"/>
  <c r="AB244" i="3"/>
  <c r="R246" i="3"/>
  <c r="S247" i="3"/>
  <c r="Q248" i="3"/>
  <c r="R249" i="3"/>
  <c r="Q250" i="3"/>
  <c r="P251" i="3"/>
  <c r="Y251" i="3"/>
  <c r="T252" i="3"/>
  <c r="AB252" i="3"/>
  <c r="W253" i="3"/>
  <c r="R254" i="3"/>
  <c r="Z254" i="3"/>
  <c r="U255" i="3"/>
  <c r="AE255" i="3" s="1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P264" i="3"/>
  <c r="X264" i="3"/>
  <c r="S265" i="3"/>
  <c r="AA265" i="3"/>
  <c r="V266" i="3"/>
  <c r="Q267" i="3"/>
  <c r="Y267" i="3"/>
  <c r="T268" i="3"/>
  <c r="AB268" i="3"/>
  <c r="W269" i="3"/>
  <c r="R270" i="3"/>
  <c r="Z270" i="3"/>
  <c r="U271" i="3"/>
  <c r="AE271" i="3" s="1"/>
  <c r="P272" i="3"/>
  <c r="X272" i="3"/>
  <c r="S273" i="3"/>
  <c r="AA273" i="3"/>
  <c r="V274" i="3"/>
  <c r="Q275" i="3"/>
  <c r="Y275" i="3"/>
  <c r="T276" i="3"/>
  <c r="AB276" i="3"/>
  <c r="W277" i="3"/>
  <c r="R278" i="3"/>
  <c r="Z278" i="3"/>
  <c r="U279" i="3"/>
  <c r="P280" i="3"/>
  <c r="X280" i="3"/>
  <c r="S281" i="3"/>
  <c r="AA281" i="3"/>
  <c r="V282" i="3"/>
  <c r="Q283" i="3"/>
  <c r="Y283" i="3"/>
  <c r="T284" i="3"/>
  <c r="AB284" i="3"/>
  <c r="W285" i="3"/>
  <c r="R286" i="3"/>
  <c r="Z286" i="3"/>
  <c r="U287" i="3"/>
  <c r="AE287" i="3" s="1"/>
  <c r="P288" i="3"/>
  <c r="X288" i="3"/>
  <c r="S289" i="3"/>
  <c r="AA289" i="3"/>
  <c r="V290" i="3"/>
  <c r="Q291" i="3"/>
  <c r="Y291" i="3"/>
  <c r="T292" i="3"/>
  <c r="AB292" i="3"/>
  <c r="W293" i="3"/>
  <c r="R294" i="3"/>
  <c r="Z294" i="3"/>
  <c r="U295" i="3"/>
  <c r="AE295" i="3" s="1"/>
  <c r="P296" i="3"/>
  <c r="X296" i="3"/>
  <c r="S297" i="3"/>
  <c r="AA297" i="3"/>
  <c r="V298" i="3"/>
  <c r="Q299" i="3"/>
  <c r="Y299" i="3"/>
  <c r="T300" i="3"/>
  <c r="AB300" i="3"/>
  <c r="W301" i="3"/>
  <c r="R302" i="3"/>
  <c r="Z302" i="3"/>
  <c r="U303" i="3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AE311" i="3" s="1"/>
  <c r="P312" i="3"/>
  <c r="X312" i="3"/>
  <c r="S313" i="3"/>
  <c r="AA313" i="3"/>
  <c r="V314" i="3"/>
  <c r="Q315" i="3"/>
  <c r="Y315" i="3"/>
  <c r="T316" i="3"/>
  <c r="AB316" i="3"/>
  <c r="W317" i="3"/>
  <c r="R318" i="3"/>
  <c r="Z318" i="3"/>
  <c r="U319" i="3"/>
  <c r="AE319" i="3" s="1"/>
  <c r="P320" i="3"/>
  <c r="X320" i="3"/>
  <c r="S321" i="3"/>
  <c r="AA321" i="3"/>
  <c r="V322" i="3"/>
  <c r="Q323" i="3"/>
  <c r="Y323" i="3"/>
  <c r="T324" i="3"/>
  <c r="AB324" i="3"/>
  <c r="W325" i="3"/>
  <c r="R326" i="3"/>
  <c r="Z326" i="3"/>
  <c r="U327" i="3"/>
  <c r="P328" i="3"/>
  <c r="X328" i="3"/>
  <c r="S329" i="3"/>
  <c r="AA329" i="3"/>
  <c r="V330" i="3"/>
  <c r="Q331" i="3"/>
  <c r="Y331" i="3"/>
  <c r="T332" i="3"/>
  <c r="AB332" i="3"/>
  <c r="W333" i="3"/>
  <c r="R334" i="3"/>
  <c r="Z334" i="3"/>
  <c r="U335" i="3"/>
  <c r="AE335" i="3" s="1"/>
  <c r="P336" i="3"/>
  <c r="X336" i="3"/>
  <c r="S337" i="3"/>
  <c r="AA337" i="3"/>
  <c r="P135" i="3"/>
  <c r="Y166" i="3"/>
  <c r="X176" i="3"/>
  <c r="V186" i="3"/>
  <c r="T196" i="3"/>
  <c r="S203" i="3"/>
  <c r="P207" i="3"/>
  <c r="V209" i="3"/>
  <c r="AB211" i="3"/>
  <c r="U214" i="3"/>
  <c r="AA216" i="3"/>
  <c r="T219" i="3"/>
  <c r="Z221" i="3"/>
  <c r="S224" i="3"/>
  <c r="Y226" i="3"/>
  <c r="R229" i="3"/>
  <c r="X231" i="3"/>
  <c r="Q234" i="3"/>
  <c r="W236" i="3"/>
  <c r="P239" i="3"/>
  <c r="V241" i="3"/>
  <c r="Z243" i="3"/>
  <c r="P245" i="3"/>
  <c r="S246" i="3"/>
  <c r="T247" i="3"/>
  <c r="S248" i="3"/>
  <c r="S249" i="3"/>
  <c r="T250" i="3"/>
  <c r="Q251" i="3"/>
  <c r="Z251" i="3"/>
  <c r="U252" i="3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261" i="3"/>
  <c r="X261" i="3"/>
  <c r="S262" i="3"/>
  <c r="AA262" i="3"/>
  <c r="V263" i="3"/>
  <c r="Q264" i="3"/>
  <c r="Y264" i="3"/>
  <c r="T265" i="3"/>
  <c r="AB265" i="3"/>
  <c r="W266" i="3"/>
  <c r="R267" i="3"/>
  <c r="Z267" i="3"/>
  <c r="U268" i="3"/>
  <c r="AE268" i="3" s="1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AE276" i="3" s="1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AE284" i="3" s="1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AE292" i="3" s="1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P333" i="3"/>
  <c r="X333" i="3"/>
  <c r="AA144" i="3"/>
  <c r="S169" i="3"/>
  <c r="Q179" i="3"/>
  <c r="AB188" i="3"/>
  <c r="Z198" i="3"/>
  <c r="U204" i="3"/>
  <c r="AE204" i="3" s="1"/>
  <c r="X207" i="3"/>
  <c r="Q210" i="3"/>
  <c r="W212" i="3"/>
  <c r="P215" i="3"/>
  <c r="V217" i="3"/>
  <c r="AB219" i="3"/>
  <c r="U222" i="3"/>
  <c r="AE222" i="3" s="1"/>
  <c r="AA224" i="3"/>
  <c r="T227" i="3"/>
  <c r="Z229" i="3"/>
  <c r="S232" i="3"/>
  <c r="Y234" i="3"/>
  <c r="R237" i="3"/>
  <c r="X239" i="3"/>
  <c r="Q242" i="3"/>
  <c r="S244" i="3"/>
  <c r="V245" i="3"/>
  <c r="X246" i="3"/>
  <c r="V247" i="3"/>
  <c r="W248" i="3"/>
  <c r="V249" i="3"/>
  <c r="V250" i="3"/>
  <c r="S251" i="3"/>
  <c r="AB251" i="3"/>
  <c r="W252" i="3"/>
  <c r="R253" i="3"/>
  <c r="Z253" i="3"/>
  <c r="U254" i="3"/>
  <c r="AE254" i="3" s="1"/>
  <c r="P255" i="3"/>
  <c r="X255" i="3"/>
  <c r="S256" i="3"/>
  <c r="AA256" i="3"/>
  <c r="V257" i="3"/>
  <c r="Q258" i="3"/>
  <c r="Y258" i="3"/>
  <c r="T259" i="3"/>
  <c r="AB259" i="3"/>
  <c r="W260" i="3"/>
  <c r="R261" i="3"/>
  <c r="Z261" i="3"/>
  <c r="U262" i="3"/>
  <c r="AE262" i="3" s="1"/>
  <c r="P263" i="3"/>
  <c r="X263" i="3"/>
  <c r="S264" i="3"/>
  <c r="AA264" i="3"/>
  <c r="V265" i="3"/>
  <c r="Q266" i="3"/>
  <c r="Y266" i="3"/>
  <c r="T267" i="3"/>
  <c r="AB267" i="3"/>
  <c r="W268" i="3"/>
  <c r="R269" i="3"/>
  <c r="Z269" i="3"/>
  <c r="U270" i="3"/>
  <c r="P271" i="3"/>
  <c r="X271" i="3"/>
  <c r="S272" i="3"/>
  <c r="AA272" i="3"/>
  <c r="V273" i="3"/>
  <c r="Q274" i="3"/>
  <c r="Y274" i="3"/>
  <c r="T275" i="3"/>
  <c r="AB275" i="3"/>
  <c r="W276" i="3"/>
  <c r="R277" i="3"/>
  <c r="Z277" i="3"/>
  <c r="U278" i="3"/>
  <c r="AE278" i="3" s="1"/>
  <c r="P279" i="3"/>
  <c r="X279" i="3"/>
  <c r="S280" i="3"/>
  <c r="AA280" i="3"/>
  <c r="V281" i="3"/>
  <c r="Q282" i="3"/>
  <c r="Y282" i="3"/>
  <c r="T283" i="3"/>
  <c r="AB283" i="3"/>
  <c r="W284" i="3"/>
  <c r="R285" i="3"/>
  <c r="Z285" i="3"/>
  <c r="U286" i="3"/>
  <c r="AE286" i="3" s="1"/>
  <c r="P287" i="3"/>
  <c r="X287" i="3"/>
  <c r="S288" i="3"/>
  <c r="AA288" i="3"/>
  <c r="V289" i="3"/>
  <c r="Q290" i="3"/>
  <c r="Y290" i="3"/>
  <c r="T291" i="3"/>
  <c r="AB291" i="3"/>
  <c r="W292" i="3"/>
  <c r="R293" i="3"/>
  <c r="Z293" i="3"/>
  <c r="U294" i="3"/>
  <c r="AE294" i="3" s="1"/>
  <c r="P295" i="3"/>
  <c r="X295" i="3"/>
  <c r="S296" i="3"/>
  <c r="AA296" i="3"/>
  <c r="V297" i="3"/>
  <c r="Q298" i="3"/>
  <c r="Y298" i="3"/>
  <c r="T299" i="3"/>
  <c r="AB299" i="3"/>
  <c r="W300" i="3"/>
  <c r="R301" i="3"/>
  <c r="Z301" i="3"/>
  <c r="U302" i="3"/>
  <c r="AE302" i="3" s="1"/>
  <c r="P303" i="3"/>
  <c r="X303" i="3"/>
  <c r="S304" i="3"/>
  <c r="AA304" i="3"/>
  <c r="V305" i="3"/>
  <c r="Q306" i="3"/>
  <c r="Y306" i="3"/>
  <c r="T307" i="3"/>
  <c r="AB307" i="3"/>
  <c r="W308" i="3"/>
  <c r="R309" i="3"/>
  <c r="Z309" i="3"/>
  <c r="U310" i="3"/>
  <c r="AE310" i="3" s="1"/>
  <c r="P311" i="3"/>
  <c r="X311" i="3"/>
  <c r="S312" i="3"/>
  <c r="AA312" i="3"/>
  <c r="V313" i="3"/>
  <c r="Q314" i="3"/>
  <c r="Y314" i="3"/>
  <c r="T315" i="3"/>
  <c r="AB315" i="3"/>
  <c r="W316" i="3"/>
  <c r="R317" i="3"/>
  <c r="Z317" i="3"/>
  <c r="U318" i="3"/>
  <c r="AE318" i="3" s="1"/>
  <c r="P319" i="3"/>
  <c r="X319" i="3"/>
  <c r="S320" i="3"/>
  <c r="AA320" i="3"/>
  <c r="V321" i="3"/>
  <c r="Q322" i="3"/>
  <c r="Y322" i="3"/>
  <c r="T323" i="3"/>
  <c r="AB323" i="3"/>
  <c r="W324" i="3"/>
  <c r="R325" i="3"/>
  <c r="Z325" i="3"/>
  <c r="U326" i="3"/>
  <c r="P327" i="3"/>
  <c r="X327" i="3"/>
  <c r="S328" i="3"/>
  <c r="AA328" i="3"/>
  <c r="V329" i="3"/>
  <c r="Q330" i="3"/>
  <c r="Z149" i="3"/>
  <c r="V170" i="3"/>
  <c r="T180" i="3"/>
  <c r="R190" i="3"/>
  <c r="P200" i="3"/>
  <c r="AB204" i="3"/>
  <c r="AB207" i="3"/>
  <c r="U210" i="3"/>
  <c r="AE210" i="3" s="1"/>
  <c r="AA212" i="3"/>
  <c r="T215" i="3"/>
  <c r="Z217" i="3"/>
  <c r="S220" i="3"/>
  <c r="Y222" i="3"/>
  <c r="R225" i="3"/>
  <c r="X227" i="3"/>
  <c r="Q230" i="3"/>
  <c r="W232" i="3"/>
  <c r="P235" i="3"/>
  <c r="V237" i="3"/>
  <c r="AB239" i="3"/>
  <c r="U242" i="3"/>
  <c r="AE242" i="3" s="1"/>
  <c r="T244" i="3"/>
  <c r="W245" i="3"/>
  <c r="Y246" i="3"/>
  <c r="X247" i="3"/>
  <c r="X248" i="3"/>
  <c r="Y249" i="3"/>
  <c r="W250" i="3"/>
  <c r="T251" i="3"/>
  <c r="P252" i="3"/>
  <c r="X252" i="3"/>
  <c r="S253" i="3"/>
  <c r="AA253" i="3"/>
  <c r="V254" i="3"/>
  <c r="Q255" i="3"/>
  <c r="Y255" i="3"/>
  <c r="T256" i="3"/>
  <c r="AB256" i="3"/>
  <c r="W257" i="3"/>
  <c r="R258" i="3"/>
  <c r="Z258" i="3"/>
  <c r="U259" i="3"/>
  <c r="AE259" i="3" s="1"/>
  <c r="P260" i="3"/>
  <c r="X260" i="3"/>
  <c r="S261" i="3"/>
  <c r="AA261" i="3"/>
  <c r="V262" i="3"/>
  <c r="Q263" i="3"/>
  <c r="Y263" i="3"/>
  <c r="T264" i="3"/>
  <c r="AB264" i="3"/>
  <c r="W265" i="3"/>
  <c r="R266" i="3"/>
  <c r="Z266" i="3"/>
  <c r="U267" i="3"/>
  <c r="P268" i="3"/>
  <c r="X268" i="3"/>
  <c r="S269" i="3"/>
  <c r="AA269" i="3"/>
  <c r="V270" i="3"/>
  <c r="Q271" i="3"/>
  <c r="Y271" i="3"/>
  <c r="T272" i="3"/>
  <c r="AB272" i="3"/>
  <c r="W273" i="3"/>
  <c r="R274" i="3"/>
  <c r="Z274" i="3"/>
  <c r="U275" i="3"/>
  <c r="AE275" i="3" s="1"/>
  <c r="P276" i="3"/>
  <c r="X276" i="3"/>
  <c r="S277" i="3"/>
  <c r="AA277" i="3"/>
  <c r="V278" i="3"/>
  <c r="Q279" i="3"/>
  <c r="Y279" i="3"/>
  <c r="T280" i="3"/>
  <c r="AB280" i="3"/>
  <c r="W281" i="3"/>
  <c r="R282" i="3"/>
  <c r="Z282" i="3"/>
  <c r="U283" i="3"/>
  <c r="P284" i="3"/>
  <c r="X284" i="3"/>
  <c r="S285" i="3"/>
  <c r="AA285" i="3"/>
  <c r="V286" i="3"/>
  <c r="Q287" i="3"/>
  <c r="Y287" i="3"/>
  <c r="T288" i="3"/>
  <c r="AB288" i="3"/>
  <c r="W289" i="3"/>
  <c r="R290" i="3"/>
  <c r="Z290" i="3"/>
  <c r="U291" i="3"/>
  <c r="AE291" i="3" s="1"/>
  <c r="P292" i="3"/>
  <c r="X292" i="3"/>
  <c r="S293" i="3"/>
  <c r="AA293" i="3"/>
  <c r="V294" i="3"/>
  <c r="Q295" i="3"/>
  <c r="Y295" i="3"/>
  <c r="T296" i="3"/>
  <c r="AB296" i="3"/>
  <c r="W297" i="3"/>
  <c r="R298" i="3"/>
  <c r="Z298" i="3"/>
  <c r="U299" i="3"/>
  <c r="P300" i="3"/>
  <c r="X300" i="3"/>
  <c r="S301" i="3"/>
  <c r="AA301" i="3"/>
  <c r="V302" i="3"/>
  <c r="Q303" i="3"/>
  <c r="Y303" i="3"/>
  <c r="T304" i="3"/>
  <c r="AB304" i="3"/>
  <c r="W305" i="3"/>
  <c r="R306" i="3"/>
  <c r="Z306" i="3"/>
  <c r="U307" i="3"/>
  <c r="P308" i="3"/>
  <c r="X308" i="3"/>
  <c r="S309" i="3"/>
  <c r="AA309" i="3"/>
  <c r="V310" i="3"/>
  <c r="Q311" i="3"/>
  <c r="Y311" i="3"/>
  <c r="T312" i="3"/>
  <c r="AB312" i="3"/>
  <c r="W313" i="3"/>
  <c r="R314" i="3"/>
  <c r="Z314" i="3"/>
  <c r="U315" i="3"/>
  <c r="AE315" i="3" s="1"/>
  <c r="P316" i="3"/>
  <c r="X316" i="3"/>
  <c r="S317" i="3"/>
  <c r="AA317" i="3"/>
  <c r="V318" i="3"/>
  <c r="Q319" i="3"/>
  <c r="Y319" i="3"/>
  <c r="T320" i="3"/>
  <c r="AB320" i="3"/>
  <c r="W321" i="3"/>
  <c r="R322" i="3"/>
  <c r="Z322" i="3"/>
  <c r="U323" i="3"/>
  <c r="AE323" i="3" s="1"/>
  <c r="P324" i="3"/>
  <c r="X324" i="3"/>
  <c r="S325" i="3"/>
  <c r="AA325" i="3"/>
  <c r="V326" i="3"/>
  <c r="Q327" i="3"/>
  <c r="Y327" i="3"/>
  <c r="T328" i="3"/>
  <c r="AB328" i="3"/>
  <c r="W329" i="3"/>
  <c r="R330" i="3"/>
  <c r="Z330" i="3"/>
  <c r="U331" i="3"/>
  <c r="P332" i="3"/>
  <c r="T101" i="3"/>
  <c r="X192" i="3"/>
  <c r="P211" i="3"/>
  <c r="AA220" i="3"/>
  <c r="Y230" i="3"/>
  <c r="W240" i="3"/>
  <c r="AA246" i="3"/>
  <c r="Y250" i="3"/>
  <c r="U253" i="3"/>
  <c r="AE253" i="3" s="1"/>
  <c r="AA255" i="3"/>
  <c r="T258" i="3"/>
  <c r="Z260" i="3"/>
  <c r="S263" i="3"/>
  <c r="Y265" i="3"/>
  <c r="R268" i="3"/>
  <c r="X270" i="3"/>
  <c r="Q273" i="3"/>
  <c r="W275" i="3"/>
  <c r="P278" i="3"/>
  <c r="V280" i="3"/>
  <c r="AB282" i="3"/>
  <c r="U285" i="3"/>
  <c r="AE285" i="3" s="1"/>
  <c r="AA287" i="3"/>
  <c r="T290" i="3"/>
  <c r="Z292" i="3"/>
  <c r="S295" i="3"/>
  <c r="Y297" i="3"/>
  <c r="R300" i="3"/>
  <c r="X302" i="3"/>
  <c r="Q305" i="3"/>
  <c r="W307" i="3"/>
  <c r="P310" i="3"/>
  <c r="V312" i="3"/>
  <c r="AB314" i="3"/>
  <c r="U317" i="3"/>
  <c r="AE317" i="3" s="1"/>
  <c r="AA319" i="3"/>
  <c r="T322" i="3"/>
  <c r="Z324" i="3"/>
  <c r="S327" i="3"/>
  <c r="Y329" i="3"/>
  <c r="W331" i="3"/>
  <c r="Q333" i="3"/>
  <c r="S334" i="3"/>
  <c r="Q335" i="3"/>
  <c r="R336" i="3"/>
  <c r="Q337" i="3"/>
  <c r="Q338" i="3"/>
  <c r="Y338" i="3"/>
  <c r="T339" i="3"/>
  <c r="AB339" i="3"/>
  <c r="W340" i="3"/>
  <c r="R341" i="3"/>
  <c r="Z341" i="3"/>
  <c r="U342" i="3"/>
  <c r="AE342" i="3" s="1"/>
  <c r="P343" i="3"/>
  <c r="X343" i="3"/>
  <c r="S344" i="3"/>
  <c r="AA344" i="3"/>
  <c r="V345" i="3"/>
  <c r="Q346" i="3"/>
  <c r="Y346" i="3"/>
  <c r="T347" i="3"/>
  <c r="AB347" i="3"/>
  <c r="W348" i="3"/>
  <c r="R349" i="3"/>
  <c r="Z349" i="3"/>
  <c r="U350" i="3"/>
  <c r="AE350" i="3" s="1"/>
  <c r="P351" i="3"/>
  <c r="X351" i="3"/>
  <c r="S352" i="3"/>
  <c r="AA352" i="3"/>
  <c r="V353" i="3"/>
  <c r="Q354" i="3"/>
  <c r="Y354" i="3"/>
  <c r="T355" i="3"/>
  <c r="AB355" i="3"/>
  <c r="W356" i="3"/>
  <c r="R357" i="3"/>
  <c r="Z357" i="3"/>
  <c r="U358" i="3"/>
  <c r="P359" i="3"/>
  <c r="X359" i="3"/>
  <c r="S360" i="3"/>
  <c r="AA360" i="3"/>
  <c r="V361" i="3"/>
  <c r="Q362" i="3"/>
  <c r="Y362" i="3"/>
  <c r="T363" i="3"/>
  <c r="AB363" i="3"/>
  <c r="W364" i="3"/>
  <c r="R365" i="3"/>
  <c r="Z365" i="3"/>
  <c r="U366" i="3"/>
  <c r="AE366" i="3" s="1"/>
  <c r="P367" i="3"/>
  <c r="X367" i="3"/>
  <c r="S368" i="3"/>
  <c r="AA368" i="3"/>
  <c r="V369" i="3"/>
  <c r="Q370" i="3"/>
  <c r="Y370" i="3"/>
  <c r="T371" i="3"/>
  <c r="AB371" i="3"/>
  <c r="W372" i="3"/>
  <c r="R373" i="3"/>
  <c r="Z373" i="3"/>
  <c r="U374" i="3"/>
  <c r="AE374" i="3" s="1"/>
  <c r="P375" i="3"/>
  <c r="X375" i="3"/>
  <c r="S376" i="3"/>
  <c r="AA376" i="3"/>
  <c r="V377" i="3"/>
  <c r="Q378" i="3"/>
  <c r="Y378" i="3"/>
  <c r="T379" i="3"/>
  <c r="AB379" i="3"/>
  <c r="W380" i="3"/>
  <c r="R381" i="3"/>
  <c r="Z381" i="3"/>
  <c r="U382" i="3"/>
  <c r="P383" i="3"/>
  <c r="X383" i="3"/>
  <c r="S384" i="3"/>
  <c r="AA384" i="3"/>
  <c r="V385" i="3"/>
  <c r="Q386" i="3"/>
  <c r="Y386" i="3"/>
  <c r="T387" i="3"/>
  <c r="AB387" i="3"/>
  <c r="W388" i="3"/>
  <c r="R389" i="3"/>
  <c r="Z389" i="3"/>
  <c r="U390" i="3"/>
  <c r="AE390" i="3" s="1"/>
  <c r="P391" i="3"/>
  <c r="X391" i="3"/>
  <c r="S392" i="3"/>
  <c r="AA392" i="3"/>
  <c r="V393" i="3"/>
  <c r="Q394" i="3"/>
  <c r="Y394" i="3"/>
  <c r="T395" i="3"/>
  <c r="AB395" i="3"/>
  <c r="W396" i="3"/>
  <c r="R397" i="3"/>
  <c r="Z397" i="3"/>
  <c r="U398" i="3"/>
  <c r="P399" i="3"/>
  <c r="X399" i="3"/>
  <c r="S400" i="3"/>
  <c r="AA400" i="3"/>
  <c r="V401" i="3"/>
  <c r="Q402" i="3"/>
  <c r="Y402" i="3"/>
  <c r="T403" i="3"/>
  <c r="AB403" i="3"/>
  <c r="W404" i="3"/>
  <c r="R405" i="3"/>
  <c r="Z405" i="3"/>
  <c r="U406" i="3"/>
  <c r="AE406" i="3" s="1"/>
  <c r="P407" i="3"/>
  <c r="X407" i="3"/>
  <c r="S408" i="3"/>
  <c r="AA408" i="3"/>
  <c r="V409" i="3"/>
  <c r="Q410" i="3"/>
  <c r="Y410" i="3"/>
  <c r="T411" i="3"/>
  <c r="AB411" i="3"/>
  <c r="W412" i="3"/>
  <c r="R413" i="3"/>
  <c r="Z413" i="3"/>
  <c r="X159" i="3"/>
  <c r="U201" i="3"/>
  <c r="AE201" i="3" s="1"/>
  <c r="V213" i="3"/>
  <c r="T223" i="3"/>
  <c r="R233" i="3"/>
  <c r="P243" i="3"/>
  <c r="AB247" i="3"/>
  <c r="W251" i="3"/>
  <c r="P254" i="3"/>
  <c r="V256" i="3"/>
  <c r="AB258" i="3"/>
  <c r="U261" i="3"/>
  <c r="AE261" i="3" s="1"/>
  <c r="AA263" i="3"/>
  <c r="T266" i="3"/>
  <c r="Z268" i="3"/>
  <c r="S271" i="3"/>
  <c r="Y273" i="3"/>
  <c r="R276" i="3"/>
  <c r="X278" i="3"/>
  <c r="Q281" i="3"/>
  <c r="W283" i="3"/>
  <c r="P286" i="3"/>
  <c r="V288" i="3"/>
  <c r="AB290" i="3"/>
  <c r="U293" i="3"/>
  <c r="AE293" i="3" s="1"/>
  <c r="AA295" i="3"/>
  <c r="T298" i="3"/>
  <c r="Z300" i="3"/>
  <c r="S303" i="3"/>
  <c r="Y305" i="3"/>
  <c r="R308" i="3"/>
  <c r="X310" i="3"/>
  <c r="Q313" i="3"/>
  <c r="W315" i="3"/>
  <c r="P318" i="3"/>
  <c r="V320" i="3"/>
  <c r="AB322" i="3"/>
  <c r="U325" i="3"/>
  <c r="AE325" i="3" s="1"/>
  <c r="AA327" i="3"/>
  <c r="T330" i="3"/>
  <c r="AB331" i="3"/>
  <c r="S333" i="3"/>
  <c r="U334" i="3"/>
  <c r="AE334" i="3" s="1"/>
  <c r="V335" i="3"/>
  <c r="T336" i="3"/>
  <c r="U337" i="3"/>
  <c r="S338" i="3"/>
  <c r="AA338" i="3"/>
  <c r="V339" i="3"/>
  <c r="Q340" i="3"/>
  <c r="Y340" i="3"/>
  <c r="T341" i="3"/>
  <c r="AB341" i="3"/>
  <c r="W342" i="3"/>
  <c r="R343" i="3"/>
  <c r="Z343" i="3"/>
  <c r="U344" i="3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P353" i="3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AB365" i="3"/>
  <c r="W366" i="3"/>
  <c r="R367" i="3"/>
  <c r="Z367" i="3"/>
  <c r="U368" i="3"/>
  <c r="AE368" i="3" s="1"/>
  <c r="P369" i="3"/>
  <c r="X369" i="3"/>
  <c r="S370" i="3"/>
  <c r="AA370" i="3"/>
  <c r="V371" i="3"/>
  <c r="Q372" i="3"/>
  <c r="Y372" i="3"/>
  <c r="T373" i="3"/>
  <c r="AB373" i="3"/>
  <c r="W374" i="3"/>
  <c r="R375" i="3"/>
  <c r="Z375" i="3"/>
  <c r="U376" i="3"/>
  <c r="P377" i="3"/>
  <c r="X377" i="3"/>
  <c r="S378" i="3"/>
  <c r="AA378" i="3"/>
  <c r="V379" i="3"/>
  <c r="Q380" i="3"/>
  <c r="Y380" i="3"/>
  <c r="T381" i="3"/>
  <c r="AB381" i="3"/>
  <c r="W382" i="3"/>
  <c r="R383" i="3"/>
  <c r="Z383" i="3"/>
  <c r="U384" i="3"/>
  <c r="AE384" i="3" s="1"/>
  <c r="P385" i="3"/>
  <c r="X385" i="3"/>
  <c r="S386" i="3"/>
  <c r="AA386" i="3"/>
  <c r="V387" i="3"/>
  <c r="Q388" i="3"/>
  <c r="Y388" i="3"/>
  <c r="T389" i="3"/>
  <c r="AB389" i="3"/>
  <c r="W390" i="3"/>
  <c r="R391" i="3"/>
  <c r="Z391" i="3"/>
  <c r="U392" i="3"/>
  <c r="AE392" i="3" s="1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AE400" i="3" s="1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AE408" i="3" s="1"/>
  <c r="P409" i="3"/>
  <c r="X409" i="3"/>
  <c r="S410" i="3"/>
  <c r="AA410" i="3"/>
  <c r="V411" i="3"/>
  <c r="Q412" i="3"/>
  <c r="Y412" i="3"/>
  <c r="T413" i="3"/>
  <c r="AB413" i="3"/>
  <c r="W414" i="3"/>
  <c r="P168" i="3"/>
  <c r="AA203" i="3"/>
  <c r="Y214" i="3"/>
  <c r="W224" i="3"/>
  <c r="U234" i="3"/>
  <c r="AE234" i="3" s="1"/>
  <c r="AB243" i="3"/>
  <c r="V248" i="3"/>
  <c r="AA251" i="3"/>
  <c r="T254" i="3"/>
  <c r="Z256" i="3"/>
  <c r="S259" i="3"/>
  <c r="Y261" i="3"/>
  <c r="R264" i="3"/>
  <c r="X266" i="3"/>
  <c r="Q269" i="3"/>
  <c r="W271" i="3"/>
  <c r="P274" i="3"/>
  <c r="V276" i="3"/>
  <c r="AB278" i="3"/>
  <c r="U281" i="3"/>
  <c r="AA283" i="3"/>
  <c r="T286" i="3"/>
  <c r="Z288" i="3"/>
  <c r="S291" i="3"/>
  <c r="Y293" i="3"/>
  <c r="R296" i="3"/>
  <c r="X298" i="3"/>
  <c r="Q301" i="3"/>
  <c r="W303" i="3"/>
  <c r="P306" i="3"/>
  <c r="V308" i="3"/>
  <c r="AB310" i="3"/>
  <c r="U313" i="3"/>
  <c r="AE313" i="3" s="1"/>
  <c r="AA315" i="3"/>
  <c r="T318" i="3"/>
  <c r="Z320" i="3"/>
  <c r="S323" i="3"/>
  <c r="Y325" i="3"/>
  <c r="R328" i="3"/>
  <c r="X330" i="3"/>
  <c r="R332" i="3"/>
  <c r="U333" i="3"/>
  <c r="V334" i="3"/>
  <c r="W335" i="3"/>
  <c r="V336" i="3"/>
  <c r="V337" i="3"/>
  <c r="T338" i="3"/>
  <c r="AB338" i="3"/>
  <c r="W339" i="3"/>
  <c r="R340" i="3"/>
  <c r="Z340" i="3"/>
  <c r="U341" i="3"/>
  <c r="AE341" i="3" s="1"/>
  <c r="P342" i="3"/>
  <c r="X342" i="3"/>
  <c r="S343" i="3"/>
  <c r="AA343" i="3"/>
  <c r="V344" i="3"/>
  <c r="Q345" i="3"/>
  <c r="Y345" i="3"/>
  <c r="T346" i="3"/>
  <c r="AB346" i="3"/>
  <c r="W347" i="3"/>
  <c r="R348" i="3"/>
  <c r="Z348" i="3"/>
  <c r="U349" i="3"/>
  <c r="AE349" i="3" s="1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AE357" i="3" s="1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P366" i="3"/>
  <c r="X366" i="3"/>
  <c r="S367" i="3"/>
  <c r="AA367" i="3"/>
  <c r="V368" i="3"/>
  <c r="Q369" i="3"/>
  <c r="Y369" i="3"/>
  <c r="T370" i="3"/>
  <c r="AB370" i="3"/>
  <c r="W371" i="3"/>
  <c r="R372" i="3"/>
  <c r="Z372" i="3"/>
  <c r="U373" i="3"/>
  <c r="AE373" i="3" s="1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AE381" i="3" s="1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AE413" i="3" s="1"/>
  <c r="P414" i="3"/>
  <c r="AB172" i="3"/>
  <c r="AA205" i="3"/>
  <c r="AB215" i="3"/>
  <c r="Z225" i="3"/>
  <c r="X235" i="3"/>
  <c r="W244" i="3"/>
  <c r="AA248" i="3"/>
  <c r="R252" i="3"/>
  <c r="X254" i="3"/>
  <c r="Q257" i="3"/>
  <c r="W259" i="3"/>
  <c r="P262" i="3"/>
  <c r="V264" i="3"/>
  <c r="AB266" i="3"/>
  <c r="U269" i="3"/>
  <c r="AE269" i="3" s="1"/>
  <c r="AA271" i="3"/>
  <c r="T274" i="3"/>
  <c r="Z276" i="3"/>
  <c r="S279" i="3"/>
  <c r="Y281" i="3"/>
  <c r="R284" i="3"/>
  <c r="X286" i="3"/>
  <c r="Q289" i="3"/>
  <c r="W291" i="3"/>
  <c r="P294" i="3"/>
  <c r="V296" i="3"/>
  <c r="AB298" i="3"/>
  <c r="U301" i="3"/>
  <c r="AE301" i="3" s="1"/>
  <c r="AA303" i="3"/>
  <c r="T306" i="3"/>
  <c r="Z308" i="3"/>
  <c r="S311" i="3"/>
  <c r="Y313" i="3"/>
  <c r="R316" i="3"/>
  <c r="X318" i="3"/>
  <c r="Q321" i="3"/>
  <c r="W323" i="3"/>
  <c r="P326" i="3"/>
  <c r="V328" i="3"/>
  <c r="Y330" i="3"/>
  <c r="V332" i="3"/>
  <c r="Y333" i="3"/>
  <c r="X334" i="3"/>
  <c r="X335" i="3"/>
  <c r="Y336" i="3"/>
  <c r="W337" i="3"/>
  <c r="U338" i="3"/>
  <c r="AE338" i="3" s="1"/>
  <c r="P339" i="3"/>
  <c r="X339" i="3"/>
  <c r="S340" i="3"/>
  <c r="AA340" i="3"/>
  <c r="V341" i="3"/>
  <c r="Q342" i="3"/>
  <c r="Y342" i="3"/>
  <c r="T343" i="3"/>
  <c r="AB343" i="3"/>
  <c r="W344" i="3"/>
  <c r="R345" i="3"/>
  <c r="Z345" i="3"/>
  <c r="U346" i="3"/>
  <c r="AE346" i="3" s="1"/>
  <c r="P347" i="3"/>
  <c r="X347" i="3"/>
  <c r="S348" i="3"/>
  <c r="AA348" i="3"/>
  <c r="V349" i="3"/>
  <c r="Q350" i="3"/>
  <c r="Y350" i="3"/>
  <c r="T351" i="3"/>
  <c r="AB351" i="3"/>
  <c r="W352" i="3"/>
  <c r="R353" i="3"/>
  <c r="Z353" i="3"/>
  <c r="U354" i="3"/>
  <c r="AE354" i="3" s="1"/>
  <c r="P355" i="3"/>
  <c r="X355" i="3"/>
  <c r="S356" i="3"/>
  <c r="AA356" i="3"/>
  <c r="V357" i="3"/>
  <c r="Q358" i="3"/>
  <c r="Y358" i="3"/>
  <c r="T359" i="3"/>
  <c r="AB359" i="3"/>
  <c r="W360" i="3"/>
  <c r="R361" i="3"/>
  <c r="Z361" i="3"/>
  <c r="U362" i="3"/>
  <c r="AE362" i="3" s="1"/>
  <c r="P363" i="3"/>
  <c r="X363" i="3"/>
  <c r="S364" i="3"/>
  <c r="AA364" i="3"/>
  <c r="V365" i="3"/>
  <c r="Q366" i="3"/>
  <c r="Y366" i="3"/>
  <c r="T367" i="3"/>
  <c r="AB367" i="3"/>
  <c r="W368" i="3"/>
  <c r="R369" i="3"/>
  <c r="Z369" i="3"/>
  <c r="U370" i="3"/>
  <c r="AE370" i="3" s="1"/>
  <c r="P371" i="3"/>
  <c r="X371" i="3"/>
  <c r="S372" i="3"/>
  <c r="AA372" i="3"/>
  <c r="V373" i="3"/>
  <c r="Q374" i="3"/>
  <c r="Y374" i="3"/>
  <c r="T375" i="3"/>
  <c r="AB375" i="3"/>
  <c r="W376" i="3"/>
  <c r="R377" i="3"/>
  <c r="Z377" i="3"/>
  <c r="U378" i="3"/>
  <c r="P379" i="3"/>
  <c r="X379" i="3"/>
  <c r="S380" i="3"/>
  <c r="AA380" i="3"/>
  <c r="V381" i="3"/>
  <c r="Q382" i="3"/>
  <c r="Y382" i="3"/>
  <c r="T383" i="3"/>
  <c r="AB383" i="3"/>
  <c r="W384" i="3"/>
  <c r="R385" i="3"/>
  <c r="Z385" i="3"/>
  <c r="U386" i="3"/>
  <c r="AE386" i="3" s="1"/>
  <c r="P387" i="3"/>
  <c r="X387" i="3"/>
  <c r="S388" i="3"/>
  <c r="AA388" i="3"/>
  <c r="V389" i="3"/>
  <c r="Q390" i="3"/>
  <c r="Y390" i="3"/>
  <c r="T391" i="3"/>
  <c r="AB391" i="3"/>
  <c r="W392" i="3"/>
  <c r="R393" i="3"/>
  <c r="Z393" i="3"/>
  <c r="U394" i="3"/>
  <c r="AE394" i="3" s="1"/>
  <c r="P395" i="3"/>
  <c r="X395" i="3"/>
  <c r="S396" i="3"/>
  <c r="AA396" i="3"/>
  <c r="V397" i="3"/>
  <c r="Q398" i="3"/>
  <c r="Y398" i="3"/>
  <c r="T399" i="3"/>
  <c r="AB399" i="3"/>
  <c r="W400" i="3"/>
  <c r="R401" i="3"/>
  <c r="Z401" i="3"/>
  <c r="U402" i="3"/>
  <c r="AE402" i="3" s="1"/>
  <c r="P403" i="3"/>
  <c r="X403" i="3"/>
  <c r="S404" i="3"/>
  <c r="AA404" i="3"/>
  <c r="V405" i="3"/>
  <c r="Q406" i="3"/>
  <c r="Y406" i="3"/>
  <c r="T407" i="3"/>
  <c r="AB407" i="3"/>
  <c r="W408" i="3"/>
  <c r="R409" i="3"/>
  <c r="Z409" i="3"/>
  <c r="U410" i="3"/>
  <c r="AE410" i="3" s="1"/>
  <c r="P411" i="3"/>
  <c r="X411" i="3"/>
  <c r="S412" i="3"/>
  <c r="AA412" i="3"/>
  <c r="V413" i="3"/>
  <c r="Q414" i="3"/>
  <c r="Z182" i="3"/>
  <c r="W208" i="3"/>
  <c r="U218" i="3"/>
  <c r="AE218" i="3" s="1"/>
  <c r="S228" i="3"/>
  <c r="Q238" i="3"/>
  <c r="Z245" i="3"/>
  <c r="AA249" i="3"/>
  <c r="Z252" i="3"/>
  <c r="S255" i="3"/>
  <c r="Y257" i="3"/>
  <c r="R260" i="3"/>
  <c r="X262" i="3"/>
  <c r="Q265" i="3"/>
  <c r="W267" i="3"/>
  <c r="P270" i="3"/>
  <c r="V272" i="3"/>
  <c r="AB274" i="3"/>
  <c r="U277" i="3"/>
  <c r="AE277" i="3" s="1"/>
  <c r="AA279" i="3"/>
  <c r="T282" i="3"/>
  <c r="Z284" i="3"/>
  <c r="S287" i="3"/>
  <c r="Y289" i="3"/>
  <c r="R292" i="3"/>
  <c r="X294" i="3"/>
  <c r="Q297" i="3"/>
  <c r="W299" i="3"/>
  <c r="P302" i="3"/>
  <c r="V304" i="3"/>
  <c r="AB306" i="3"/>
  <c r="U309" i="3"/>
  <c r="AE309" i="3" s="1"/>
  <c r="AA311" i="3"/>
  <c r="T314" i="3"/>
  <c r="Z316" i="3"/>
  <c r="S319" i="3"/>
  <c r="Y321" i="3"/>
  <c r="R324" i="3"/>
  <c r="X326" i="3"/>
  <c r="Q329" i="3"/>
  <c r="S331" i="3"/>
  <c r="X332" i="3"/>
  <c r="AA333" i="3"/>
  <c r="AB334" i="3"/>
  <c r="AA335" i="3"/>
  <c r="AA336" i="3"/>
  <c r="AB337" i="3"/>
  <c r="W338" i="3"/>
  <c r="R339" i="3"/>
  <c r="Z339" i="3"/>
  <c r="U340" i="3"/>
  <c r="AE340" i="3" s="1"/>
  <c r="P341" i="3"/>
  <c r="X341" i="3"/>
  <c r="S342" i="3"/>
  <c r="AA342" i="3"/>
  <c r="V343" i="3"/>
  <c r="Q344" i="3"/>
  <c r="Y344" i="3"/>
  <c r="T345" i="3"/>
  <c r="AB345" i="3"/>
  <c r="W346" i="3"/>
  <c r="R347" i="3"/>
  <c r="Z347" i="3"/>
  <c r="U348" i="3"/>
  <c r="AE348" i="3" s="1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AE356" i="3" s="1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AE364" i="3" s="1"/>
  <c r="P365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AE396" i="3" s="1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X413" i="3"/>
  <c r="S414" i="3"/>
  <c r="Y187" i="3"/>
  <c r="Z209" i="3"/>
  <c r="X219" i="3"/>
  <c r="V229" i="3"/>
  <c r="T239" i="3"/>
  <c r="U246" i="3"/>
  <c r="AE246" i="3" s="1"/>
  <c r="U250" i="3"/>
  <c r="AE250" i="3" s="1"/>
  <c r="Q253" i="3"/>
  <c r="W255" i="3"/>
  <c r="P258" i="3"/>
  <c r="V260" i="3"/>
  <c r="AB262" i="3"/>
  <c r="U265" i="3"/>
  <c r="AA267" i="3"/>
  <c r="T270" i="3"/>
  <c r="Z272" i="3"/>
  <c r="S275" i="3"/>
  <c r="Y277" i="3"/>
  <c r="R280" i="3"/>
  <c r="X282" i="3"/>
  <c r="Q285" i="3"/>
  <c r="W287" i="3"/>
  <c r="P290" i="3"/>
  <c r="V292" i="3"/>
  <c r="AB294" i="3"/>
  <c r="U297" i="3"/>
  <c r="AE297" i="3" s="1"/>
  <c r="AA299" i="3"/>
  <c r="T302" i="3"/>
  <c r="Z304" i="3"/>
  <c r="S307" i="3"/>
  <c r="Y309" i="3"/>
  <c r="R312" i="3"/>
  <c r="X314" i="3"/>
  <c r="Q317" i="3"/>
  <c r="W319" i="3"/>
  <c r="P322" i="3"/>
  <c r="V324" i="3"/>
  <c r="AB326" i="3"/>
  <c r="U329" i="3"/>
  <c r="AE329" i="3" s="1"/>
  <c r="T331" i="3"/>
  <c r="Z332" i="3"/>
  <c r="P334" i="3"/>
  <c r="P335" i="3"/>
  <c r="Q336" i="3"/>
  <c r="AB336" i="3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AE345" i="3" s="1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AE353" i="3" s="1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S411" i="3"/>
  <c r="AA411" i="3"/>
  <c r="V412" i="3"/>
  <c r="Q413" i="3"/>
  <c r="Y413" i="3"/>
  <c r="T414" i="3"/>
  <c r="AB139" i="3"/>
  <c r="AB231" i="3"/>
  <c r="Y253" i="3"/>
  <c r="W263" i="3"/>
  <c r="U273" i="3"/>
  <c r="AE273" i="3" s="1"/>
  <c r="S283" i="3"/>
  <c r="Q293" i="3"/>
  <c r="AB302" i="3"/>
  <c r="Z312" i="3"/>
  <c r="X322" i="3"/>
  <c r="AA331" i="3"/>
  <c r="S336" i="3"/>
  <c r="U339" i="3"/>
  <c r="AA341" i="3"/>
  <c r="T344" i="3"/>
  <c r="Z346" i="3"/>
  <c r="S349" i="3"/>
  <c r="Y351" i="3"/>
  <c r="R354" i="3"/>
  <c r="X356" i="3"/>
  <c r="Q359" i="3"/>
  <c r="W361" i="3"/>
  <c r="P364" i="3"/>
  <c r="V366" i="3"/>
  <c r="AB368" i="3"/>
  <c r="U371" i="3"/>
  <c r="AA373" i="3"/>
  <c r="T376" i="3"/>
  <c r="Z378" i="3"/>
  <c r="S381" i="3"/>
  <c r="Y383" i="3"/>
  <c r="R386" i="3"/>
  <c r="X388" i="3"/>
  <c r="Q391" i="3"/>
  <c r="W393" i="3"/>
  <c r="P396" i="3"/>
  <c r="V398" i="3"/>
  <c r="AB400" i="3"/>
  <c r="U403" i="3"/>
  <c r="AE403" i="3" s="1"/>
  <c r="AA405" i="3"/>
  <c r="T408" i="3"/>
  <c r="Z410" i="3"/>
  <c r="S413" i="3"/>
  <c r="Z414" i="3"/>
  <c r="U415" i="3"/>
  <c r="P416" i="3"/>
  <c r="X416" i="3"/>
  <c r="S417" i="3"/>
  <c r="AA417" i="3"/>
  <c r="V418" i="3"/>
  <c r="Q419" i="3"/>
  <c r="Y419" i="3"/>
  <c r="T420" i="3"/>
  <c r="AB420" i="3"/>
  <c r="W421" i="3"/>
  <c r="R422" i="3"/>
  <c r="Z422" i="3"/>
  <c r="U423" i="3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AE431" i="3" s="1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AE447" i="3" s="1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AE455" i="3" s="1"/>
  <c r="P456" i="3"/>
  <c r="X456" i="3"/>
  <c r="S457" i="3"/>
  <c r="AA457" i="3"/>
  <c r="V458" i="3"/>
  <c r="Q459" i="3"/>
  <c r="Y459" i="3"/>
  <c r="T460" i="3"/>
  <c r="AB460" i="3"/>
  <c r="W461" i="3"/>
  <c r="R462" i="3"/>
  <c r="Z462" i="3"/>
  <c r="U463" i="3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AE471" i="3" s="1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AE479" i="3" s="1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P488" i="3"/>
  <c r="X488" i="3"/>
  <c r="S489" i="3"/>
  <c r="AA489" i="3"/>
  <c r="V490" i="3"/>
  <c r="Q491" i="3"/>
  <c r="Y491" i="3"/>
  <c r="T492" i="3"/>
  <c r="AB492" i="3"/>
  <c r="W197" i="3"/>
  <c r="Z241" i="3"/>
  <c r="R256" i="3"/>
  <c r="P266" i="3"/>
  <c r="AA275" i="3"/>
  <c r="Y285" i="3"/>
  <c r="W295" i="3"/>
  <c r="U305" i="3"/>
  <c r="AE305" i="3" s="1"/>
  <c r="S315" i="3"/>
  <c r="Q325" i="3"/>
  <c r="R333" i="3"/>
  <c r="T337" i="3"/>
  <c r="P340" i="3"/>
  <c r="V342" i="3"/>
  <c r="AB344" i="3"/>
  <c r="U347" i="3"/>
  <c r="AA349" i="3"/>
  <c r="T352" i="3"/>
  <c r="Z354" i="3"/>
  <c r="S357" i="3"/>
  <c r="Y359" i="3"/>
  <c r="R362" i="3"/>
  <c r="X364" i="3"/>
  <c r="Q367" i="3"/>
  <c r="W369" i="3"/>
  <c r="P372" i="3"/>
  <c r="V374" i="3"/>
  <c r="AB376" i="3"/>
  <c r="U379" i="3"/>
  <c r="AE379" i="3" s="1"/>
  <c r="AA381" i="3"/>
  <c r="T384" i="3"/>
  <c r="Z386" i="3"/>
  <c r="S389" i="3"/>
  <c r="Y391" i="3"/>
  <c r="R394" i="3"/>
  <c r="X396" i="3"/>
  <c r="Q399" i="3"/>
  <c r="W401" i="3"/>
  <c r="P404" i="3"/>
  <c r="V406" i="3"/>
  <c r="AB408" i="3"/>
  <c r="U411" i="3"/>
  <c r="AA413" i="3"/>
  <c r="AB414" i="3"/>
  <c r="W415" i="3"/>
  <c r="R416" i="3"/>
  <c r="Z416" i="3"/>
  <c r="U417" i="3"/>
  <c r="AE417" i="3" s="1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AE465" i="3" s="1"/>
  <c r="P466" i="3"/>
  <c r="X466" i="3"/>
  <c r="S467" i="3"/>
  <c r="AA467" i="3"/>
  <c r="V468" i="3"/>
  <c r="Q469" i="3"/>
  <c r="Y469" i="3"/>
  <c r="T470" i="3"/>
  <c r="AB470" i="3"/>
  <c r="W471" i="3"/>
  <c r="R472" i="3"/>
  <c r="Z472" i="3"/>
  <c r="U473" i="3"/>
  <c r="AE473" i="3" s="1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AE481" i="3" s="1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AE489" i="3" s="1"/>
  <c r="P490" i="3"/>
  <c r="X490" i="3"/>
  <c r="S491" i="3"/>
  <c r="AA491" i="3"/>
  <c r="V492" i="3"/>
  <c r="Q493" i="3"/>
  <c r="T207" i="3"/>
  <c r="R245" i="3"/>
  <c r="U257" i="3"/>
  <c r="AE257" i="3" s="1"/>
  <c r="S267" i="3"/>
  <c r="Q277" i="3"/>
  <c r="AB286" i="3"/>
  <c r="Z296" i="3"/>
  <c r="X306" i="3"/>
  <c r="V316" i="3"/>
  <c r="T326" i="3"/>
  <c r="Z333" i="3"/>
  <c r="Y337" i="3"/>
  <c r="T340" i="3"/>
  <c r="Z342" i="3"/>
  <c r="S345" i="3"/>
  <c r="Y347" i="3"/>
  <c r="R350" i="3"/>
  <c r="X352" i="3"/>
  <c r="Q355" i="3"/>
  <c r="W357" i="3"/>
  <c r="P360" i="3"/>
  <c r="V362" i="3"/>
  <c r="AB364" i="3"/>
  <c r="U367" i="3"/>
  <c r="AE367" i="3" s="1"/>
  <c r="AA369" i="3"/>
  <c r="T372" i="3"/>
  <c r="Z374" i="3"/>
  <c r="S377" i="3"/>
  <c r="Y379" i="3"/>
  <c r="R382" i="3"/>
  <c r="X384" i="3"/>
  <c r="Q387" i="3"/>
  <c r="W389" i="3"/>
  <c r="P392" i="3"/>
  <c r="V394" i="3"/>
  <c r="AB396" i="3"/>
  <c r="U399" i="3"/>
  <c r="AA401" i="3"/>
  <c r="T404" i="3"/>
  <c r="Z406" i="3"/>
  <c r="S409" i="3"/>
  <c r="Y411" i="3"/>
  <c r="R414" i="3"/>
  <c r="P415" i="3"/>
  <c r="X415" i="3"/>
  <c r="S416" i="3"/>
  <c r="AA416" i="3"/>
  <c r="V417" i="3"/>
  <c r="Q418" i="3"/>
  <c r="Y418" i="3"/>
  <c r="T419" i="3"/>
  <c r="AB419" i="3"/>
  <c r="W420" i="3"/>
  <c r="R421" i="3"/>
  <c r="Z421" i="3"/>
  <c r="U422" i="3"/>
  <c r="AE422" i="3" s="1"/>
  <c r="P423" i="3"/>
  <c r="X423" i="3"/>
  <c r="S424" i="3"/>
  <c r="AA424" i="3"/>
  <c r="V425" i="3"/>
  <c r="Q426" i="3"/>
  <c r="Y426" i="3"/>
  <c r="T427" i="3"/>
  <c r="AB427" i="3"/>
  <c r="W428" i="3"/>
  <c r="R429" i="3"/>
  <c r="Z429" i="3"/>
  <c r="U430" i="3"/>
  <c r="P431" i="3"/>
  <c r="X431" i="3"/>
  <c r="S432" i="3"/>
  <c r="AA432" i="3"/>
  <c r="V433" i="3"/>
  <c r="Q434" i="3"/>
  <c r="Y434" i="3"/>
  <c r="T435" i="3"/>
  <c r="AB435" i="3"/>
  <c r="W436" i="3"/>
  <c r="R437" i="3"/>
  <c r="Z437" i="3"/>
  <c r="U438" i="3"/>
  <c r="AE438" i="3" s="1"/>
  <c r="P439" i="3"/>
  <c r="X439" i="3"/>
  <c r="S440" i="3"/>
  <c r="AA440" i="3"/>
  <c r="V441" i="3"/>
  <c r="Q442" i="3"/>
  <c r="Y442" i="3"/>
  <c r="T443" i="3"/>
  <c r="AB443" i="3"/>
  <c r="W444" i="3"/>
  <c r="R445" i="3"/>
  <c r="Z445" i="3"/>
  <c r="U446" i="3"/>
  <c r="AE446" i="3" s="1"/>
  <c r="P447" i="3"/>
  <c r="X447" i="3"/>
  <c r="S448" i="3"/>
  <c r="AA448" i="3"/>
  <c r="V449" i="3"/>
  <c r="Q450" i="3"/>
  <c r="Y450" i="3"/>
  <c r="T451" i="3"/>
  <c r="AB451" i="3"/>
  <c r="W452" i="3"/>
  <c r="R453" i="3"/>
  <c r="Z453" i="3"/>
  <c r="U454" i="3"/>
  <c r="P455" i="3"/>
  <c r="X455" i="3"/>
  <c r="S456" i="3"/>
  <c r="AA456" i="3"/>
  <c r="V457" i="3"/>
  <c r="Q458" i="3"/>
  <c r="Y458" i="3"/>
  <c r="T459" i="3"/>
  <c r="AB459" i="3"/>
  <c r="W460" i="3"/>
  <c r="R461" i="3"/>
  <c r="Z461" i="3"/>
  <c r="U462" i="3"/>
  <c r="AE462" i="3" s="1"/>
  <c r="P463" i="3"/>
  <c r="X463" i="3"/>
  <c r="S464" i="3"/>
  <c r="AA464" i="3"/>
  <c r="V465" i="3"/>
  <c r="Q466" i="3"/>
  <c r="Y466" i="3"/>
  <c r="T467" i="3"/>
  <c r="AB467" i="3"/>
  <c r="W468" i="3"/>
  <c r="R469" i="3"/>
  <c r="Z469" i="3"/>
  <c r="U470" i="3"/>
  <c r="AE470" i="3" s="1"/>
  <c r="P471" i="3"/>
  <c r="X471" i="3"/>
  <c r="S472" i="3"/>
  <c r="AA472" i="3"/>
  <c r="V473" i="3"/>
  <c r="Q474" i="3"/>
  <c r="Y474" i="3"/>
  <c r="T475" i="3"/>
  <c r="AB475" i="3"/>
  <c r="W476" i="3"/>
  <c r="R477" i="3"/>
  <c r="Z477" i="3"/>
  <c r="U478" i="3"/>
  <c r="AE478" i="3" s="1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AE486" i="3" s="1"/>
  <c r="P487" i="3"/>
  <c r="X487" i="3"/>
  <c r="S488" i="3"/>
  <c r="AA488" i="3"/>
  <c r="V489" i="3"/>
  <c r="Q490" i="3"/>
  <c r="Y490" i="3"/>
  <c r="T491" i="3"/>
  <c r="AB491" i="3"/>
  <c r="W492" i="3"/>
  <c r="S212" i="3"/>
  <c r="U247" i="3"/>
  <c r="AE247" i="3" s="1"/>
  <c r="X258" i="3"/>
  <c r="V268" i="3"/>
  <c r="T278" i="3"/>
  <c r="R288" i="3"/>
  <c r="P298" i="3"/>
  <c r="AA307" i="3"/>
  <c r="Y317" i="3"/>
  <c r="W327" i="3"/>
  <c r="T334" i="3"/>
  <c r="R338" i="3"/>
  <c r="X340" i="3"/>
  <c r="Q343" i="3"/>
  <c r="W345" i="3"/>
  <c r="P348" i="3"/>
  <c r="V350" i="3"/>
  <c r="AB352" i="3"/>
  <c r="U355" i="3"/>
  <c r="AA357" i="3"/>
  <c r="T360" i="3"/>
  <c r="Z362" i="3"/>
  <c r="S365" i="3"/>
  <c r="Y367" i="3"/>
  <c r="R370" i="3"/>
  <c r="X372" i="3"/>
  <c r="Q375" i="3"/>
  <c r="W377" i="3"/>
  <c r="P380" i="3"/>
  <c r="V382" i="3"/>
  <c r="AB384" i="3"/>
  <c r="U387" i="3"/>
  <c r="AE387" i="3" s="1"/>
  <c r="AA389" i="3"/>
  <c r="T392" i="3"/>
  <c r="Z394" i="3"/>
  <c r="S397" i="3"/>
  <c r="Y399" i="3"/>
  <c r="R402" i="3"/>
  <c r="X404" i="3"/>
  <c r="Q407" i="3"/>
  <c r="W409" i="3"/>
  <c r="P412" i="3"/>
  <c r="U414" i="3"/>
  <c r="Q415" i="3"/>
  <c r="Y415" i="3"/>
  <c r="T416" i="3"/>
  <c r="AB416" i="3"/>
  <c r="W417" i="3"/>
  <c r="R418" i="3"/>
  <c r="Z418" i="3"/>
  <c r="U419" i="3"/>
  <c r="P420" i="3"/>
  <c r="X420" i="3"/>
  <c r="S421" i="3"/>
  <c r="AA421" i="3"/>
  <c r="V422" i="3"/>
  <c r="Q423" i="3"/>
  <c r="Y423" i="3"/>
  <c r="T424" i="3"/>
  <c r="AB424" i="3"/>
  <c r="W425" i="3"/>
  <c r="R426" i="3"/>
  <c r="Z426" i="3"/>
  <c r="U427" i="3"/>
  <c r="AE427" i="3" s="1"/>
  <c r="P428" i="3"/>
  <c r="X428" i="3"/>
  <c r="S429" i="3"/>
  <c r="AA429" i="3"/>
  <c r="V430" i="3"/>
  <c r="Q431" i="3"/>
  <c r="Y431" i="3"/>
  <c r="T432" i="3"/>
  <c r="AB432" i="3"/>
  <c r="W433" i="3"/>
  <c r="R434" i="3"/>
  <c r="Z434" i="3"/>
  <c r="U435" i="3"/>
  <c r="AE435" i="3" s="1"/>
  <c r="P436" i="3"/>
  <c r="X436" i="3"/>
  <c r="S437" i="3"/>
  <c r="AA437" i="3"/>
  <c r="V438" i="3"/>
  <c r="Q439" i="3"/>
  <c r="Y439" i="3"/>
  <c r="T440" i="3"/>
  <c r="AB440" i="3"/>
  <c r="W441" i="3"/>
  <c r="R442" i="3"/>
  <c r="Z442" i="3"/>
  <c r="U443" i="3"/>
  <c r="P444" i="3"/>
  <c r="X444" i="3"/>
  <c r="S445" i="3"/>
  <c r="AA445" i="3"/>
  <c r="V446" i="3"/>
  <c r="Q447" i="3"/>
  <c r="Y447" i="3"/>
  <c r="T448" i="3"/>
  <c r="AB448" i="3"/>
  <c r="W449" i="3"/>
  <c r="R450" i="3"/>
  <c r="Z450" i="3"/>
  <c r="U451" i="3"/>
  <c r="AE451" i="3" s="1"/>
  <c r="P452" i="3"/>
  <c r="X452" i="3"/>
  <c r="S453" i="3"/>
  <c r="AA453" i="3"/>
  <c r="V454" i="3"/>
  <c r="Q455" i="3"/>
  <c r="Y455" i="3"/>
  <c r="T456" i="3"/>
  <c r="AB456" i="3"/>
  <c r="W457" i="3"/>
  <c r="R458" i="3"/>
  <c r="Z458" i="3"/>
  <c r="U459" i="3"/>
  <c r="AE459" i="3" s="1"/>
  <c r="P460" i="3"/>
  <c r="X460" i="3"/>
  <c r="S461" i="3"/>
  <c r="AA461" i="3"/>
  <c r="V462" i="3"/>
  <c r="Q463" i="3"/>
  <c r="Y463" i="3"/>
  <c r="T464" i="3"/>
  <c r="AB464" i="3"/>
  <c r="W465" i="3"/>
  <c r="R466" i="3"/>
  <c r="Z466" i="3"/>
  <c r="U467" i="3"/>
  <c r="AE467" i="3" s="1"/>
  <c r="P468" i="3"/>
  <c r="X468" i="3"/>
  <c r="S469" i="3"/>
  <c r="AA469" i="3"/>
  <c r="V470" i="3"/>
  <c r="Q471" i="3"/>
  <c r="Y471" i="3"/>
  <c r="T472" i="3"/>
  <c r="AB472" i="3"/>
  <c r="W473" i="3"/>
  <c r="R474" i="3"/>
  <c r="Z474" i="3"/>
  <c r="U475" i="3"/>
  <c r="AE475" i="3" s="1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AE483" i="3" s="1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AE491" i="3" s="1"/>
  <c r="P492" i="3"/>
  <c r="X492" i="3"/>
  <c r="S493" i="3"/>
  <c r="Q222" i="3"/>
  <c r="R251" i="3"/>
  <c r="Q261" i="3"/>
  <c r="AB270" i="3"/>
  <c r="Z280" i="3"/>
  <c r="X290" i="3"/>
  <c r="V300" i="3"/>
  <c r="T310" i="3"/>
  <c r="R320" i="3"/>
  <c r="P330" i="3"/>
  <c r="S335" i="3"/>
  <c r="Z338" i="3"/>
  <c r="S341" i="3"/>
  <c r="Y343" i="3"/>
  <c r="R346" i="3"/>
  <c r="X348" i="3"/>
  <c r="Q351" i="3"/>
  <c r="W353" i="3"/>
  <c r="P356" i="3"/>
  <c r="V358" i="3"/>
  <c r="AB360" i="3"/>
  <c r="U363" i="3"/>
  <c r="AE363" i="3" s="1"/>
  <c r="AA365" i="3"/>
  <c r="T368" i="3"/>
  <c r="Z370" i="3"/>
  <c r="S373" i="3"/>
  <c r="Y375" i="3"/>
  <c r="R378" i="3"/>
  <c r="X380" i="3"/>
  <c r="Q383" i="3"/>
  <c r="W385" i="3"/>
  <c r="P388" i="3"/>
  <c r="V390" i="3"/>
  <c r="AB392" i="3"/>
  <c r="U395" i="3"/>
  <c r="AE395" i="3" s="1"/>
  <c r="AA397" i="3"/>
  <c r="T400" i="3"/>
  <c r="Z402" i="3"/>
  <c r="S405" i="3"/>
  <c r="Y407" i="3"/>
  <c r="R410" i="3"/>
  <c r="X412" i="3"/>
  <c r="X414" i="3"/>
  <c r="S415" i="3"/>
  <c r="AA415" i="3"/>
  <c r="V416" i="3"/>
  <c r="Q417" i="3"/>
  <c r="Y417" i="3"/>
  <c r="T418" i="3"/>
  <c r="AB418" i="3"/>
  <c r="W419" i="3"/>
  <c r="R420" i="3"/>
  <c r="Z420" i="3"/>
  <c r="U421" i="3"/>
  <c r="AE421" i="3" s="1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AE429" i="3" s="1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AE437" i="3" s="1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AE445" i="3" s="1"/>
  <c r="P446" i="3"/>
  <c r="X446" i="3"/>
  <c r="S447" i="3"/>
  <c r="AA447" i="3"/>
  <c r="V448" i="3"/>
  <c r="Q449" i="3"/>
  <c r="Y449" i="3"/>
  <c r="T450" i="3"/>
  <c r="AB450" i="3"/>
  <c r="W451" i="3"/>
  <c r="R452" i="3"/>
  <c r="Z452" i="3"/>
  <c r="U453" i="3"/>
  <c r="P454" i="3"/>
  <c r="X454" i="3"/>
  <c r="S455" i="3"/>
  <c r="AA455" i="3"/>
  <c r="V456" i="3"/>
  <c r="Q457" i="3"/>
  <c r="Y457" i="3"/>
  <c r="T458" i="3"/>
  <c r="AB458" i="3"/>
  <c r="W459" i="3"/>
  <c r="R460" i="3"/>
  <c r="Z460" i="3"/>
  <c r="U461" i="3"/>
  <c r="P462" i="3"/>
  <c r="X462" i="3"/>
  <c r="S463" i="3"/>
  <c r="AA463" i="3"/>
  <c r="V464" i="3"/>
  <c r="Q465" i="3"/>
  <c r="Y465" i="3"/>
  <c r="T466" i="3"/>
  <c r="AB466" i="3"/>
  <c r="W467" i="3"/>
  <c r="R468" i="3"/>
  <c r="Z468" i="3"/>
  <c r="U469" i="3"/>
  <c r="AE469" i="3" s="1"/>
  <c r="P470" i="3"/>
  <c r="X470" i="3"/>
  <c r="S471" i="3"/>
  <c r="AA471" i="3"/>
  <c r="V472" i="3"/>
  <c r="Q473" i="3"/>
  <c r="Y473" i="3"/>
  <c r="T474" i="3"/>
  <c r="AB474" i="3"/>
  <c r="W475" i="3"/>
  <c r="R476" i="3"/>
  <c r="Z476" i="3"/>
  <c r="U477" i="3"/>
  <c r="AE477" i="3" s="1"/>
  <c r="P478" i="3"/>
  <c r="X478" i="3"/>
  <c r="S479" i="3"/>
  <c r="AA479" i="3"/>
  <c r="V480" i="3"/>
  <c r="Q481" i="3"/>
  <c r="Y481" i="3"/>
  <c r="T482" i="3"/>
  <c r="AB482" i="3"/>
  <c r="W483" i="3"/>
  <c r="R484" i="3"/>
  <c r="Z484" i="3"/>
  <c r="U485" i="3"/>
  <c r="AE485" i="3" s="1"/>
  <c r="P486" i="3"/>
  <c r="X486" i="3"/>
  <c r="S487" i="3"/>
  <c r="AA487" i="3"/>
  <c r="V488" i="3"/>
  <c r="Q489" i="3"/>
  <c r="Y489" i="3"/>
  <c r="T490" i="3"/>
  <c r="AB490" i="3"/>
  <c r="W491" i="3"/>
  <c r="R492" i="3"/>
  <c r="Z492" i="3"/>
  <c r="P227" i="3"/>
  <c r="V252" i="3"/>
  <c r="T262" i="3"/>
  <c r="R272" i="3"/>
  <c r="P282" i="3"/>
  <c r="AA291" i="3"/>
  <c r="Y301" i="3"/>
  <c r="W311" i="3"/>
  <c r="U321" i="3"/>
  <c r="AE321" i="3" s="1"/>
  <c r="AB330" i="3"/>
  <c r="Y335" i="3"/>
  <c r="Q339" i="3"/>
  <c r="W341" i="3"/>
  <c r="P344" i="3"/>
  <c r="V346" i="3"/>
  <c r="AB348" i="3"/>
  <c r="U351" i="3"/>
  <c r="AE351" i="3" s="1"/>
  <c r="AA353" i="3"/>
  <c r="T356" i="3"/>
  <c r="Z358" i="3"/>
  <c r="S361" i="3"/>
  <c r="Y363" i="3"/>
  <c r="R366" i="3"/>
  <c r="X368" i="3"/>
  <c r="Q371" i="3"/>
  <c r="W373" i="3"/>
  <c r="P376" i="3"/>
  <c r="V378" i="3"/>
  <c r="AB380" i="3"/>
  <c r="U383" i="3"/>
  <c r="AE383" i="3" s="1"/>
  <c r="AA385" i="3"/>
  <c r="T388" i="3"/>
  <c r="Z390" i="3"/>
  <c r="S393" i="3"/>
  <c r="Y395" i="3"/>
  <c r="R398" i="3"/>
  <c r="X400" i="3"/>
  <c r="Q403" i="3"/>
  <c r="W405" i="3"/>
  <c r="P408" i="3"/>
  <c r="V410" i="3"/>
  <c r="AB412" i="3"/>
  <c r="Y414" i="3"/>
  <c r="T415" i="3"/>
  <c r="AB415" i="3"/>
  <c r="W416" i="3"/>
  <c r="R417" i="3"/>
  <c r="Z417" i="3"/>
  <c r="U418" i="3"/>
  <c r="AE418" i="3" s="1"/>
  <c r="P419" i="3"/>
  <c r="X419" i="3"/>
  <c r="S420" i="3"/>
  <c r="AA420" i="3"/>
  <c r="V421" i="3"/>
  <c r="Q422" i="3"/>
  <c r="Y422" i="3"/>
  <c r="T423" i="3"/>
  <c r="AB423" i="3"/>
  <c r="W424" i="3"/>
  <c r="R425" i="3"/>
  <c r="Z425" i="3"/>
  <c r="U426" i="3"/>
  <c r="P427" i="3"/>
  <c r="X427" i="3"/>
  <c r="S428" i="3"/>
  <c r="AA428" i="3"/>
  <c r="V429" i="3"/>
  <c r="Q430" i="3"/>
  <c r="Y430" i="3"/>
  <c r="T431" i="3"/>
  <c r="AB431" i="3"/>
  <c r="W432" i="3"/>
  <c r="R433" i="3"/>
  <c r="Z433" i="3"/>
  <c r="U434" i="3"/>
  <c r="AE434" i="3" s="1"/>
  <c r="P435" i="3"/>
  <c r="X435" i="3"/>
  <c r="S436" i="3"/>
  <c r="AA436" i="3"/>
  <c r="V437" i="3"/>
  <c r="Q438" i="3"/>
  <c r="Y438" i="3"/>
  <c r="T439" i="3"/>
  <c r="AB439" i="3"/>
  <c r="W440" i="3"/>
  <c r="R441" i="3"/>
  <c r="Z441" i="3"/>
  <c r="U442" i="3"/>
  <c r="AE442" i="3" s="1"/>
  <c r="P443" i="3"/>
  <c r="X443" i="3"/>
  <c r="S444" i="3"/>
  <c r="AA444" i="3"/>
  <c r="V445" i="3"/>
  <c r="Q446" i="3"/>
  <c r="Y446" i="3"/>
  <c r="T447" i="3"/>
  <c r="AB447" i="3"/>
  <c r="W448" i="3"/>
  <c r="R449" i="3"/>
  <c r="Z449" i="3"/>
  <c r="U450" i="3"/>
  <c r="P451" i="3"/>
  <c r="X451" i="3"/>
  <c r="S452" i="3"/>
  <c r="AA452" i="3"/>
  <c r="V453" i="3"/>
  <c r="Q454" i="3"/>
  <c r="Y454" i="3"/>
  <c r="T455" i="3"/>
  <c r="AB455" i="3"/>
  <c r="W456" i="3"/>
  <c r="R457" i="3"/>
  <c r="Z457" i="3"/>
  <c r="U458" i="3"/>
  <c r="AE458" i="3" s="1"/>
  <c r="P459" i="3"/>
  <c r="X459" i="3"/>
  <c r="S460" i="3"/>
  <c r="AA460" i="3"/>
  <c r="V461" i="3"/>
  <c r="Q462" i="3"/>
  <c r="Y462" i="3"/>
  <c r="T463" i="3"/>
  <c r="AB463" i="3"/>
  <c r="W464" i="3"/>
  <c r="R465" i="3"/>
  <c r="Z465" i="3"/>
  <c r="U466" i="3"/>
  <c r="AE466" i="3" s="1"/>
  <c r="P467" i="3"/>
  <c r="X467" i="3"/>
  <c r="S468" i="3"/>
  <c r="AA468" i="3"/>
  <c r="V469" i="3"/>
  <c r="Q470" i="3"/>
  <c r="Y470" i="3"/>
  <c r="T471" i="3"/>
  <c r="AB471" i="3"/>
  <c r="W472" i="3"/>
  <c r="R473" i="3"/>
  <c r="Z473" i="3"/>
  <c r="U474" i="3"/>
  <c r="AE474" i="3" s="1"/>
  <c r="P475" i="3"/>
  <c r="X475" i="3"/>
  <c r="S476" i="3"/>
  <c r="AA476" i="3"/>
  <c r="V477" i="3"/>
  <c r="Q478" i="3"/>
  <c r="Y478" i="3"/>
  <c r="T479" i="3"/>
  <c r="AB479" i="3"/>
  <c r="W480" i="3"/>
  <c r="R481" i="3"/>
  <c r="Z481" i="3"/>
  <c r="U482" i="3"/>
  <c r="AE482" i="3" s="1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P491" i="3"/>
  <c r="X491" i="3"/>
  <c r="S492" i="3"/>
  <c r="AA492" i="3"/>
  <c r="AA177" i="3"/>
  <c r="X274" i="3"/>
  <c r="P314" i="3"/>
  <c r="Y339" i="3"/>
  <c r="W349" i="3"/>
  <c r="U359" i="3"/>
  <c r="AE359" i="3" s="1"/>
  <c r="S369" i="3"/>
  <c r="Q379" i="3"/>
  <c r="AB388" i="3"/>
  <c r="Z398" i="3"/>
  <c r="X408" i="3"/>
  <c r="V415" i="3"/>
  <c r="AB417" i="3"/>
  <c r="U420" i="3"/>
  <c r="AE420" i="3" s="1"/>
  <c r="AA422" i="3"/>
  <c r="T425" i="3"/>
  <c r="Z427" i="3"/>
  <c r="S430" i="3"/>
  <c r="Y432" i="3"/>
  <c r="R435" i="3"/>
  <c r="X437" i="3"/>
  <c r="Q440" i="3"/>
  <c r="W442" i="3"/>
  <c r="P445" i="3"/>
  <c r="V447" i="3"/>
  <c r="AB449" i="3"/>
  <c r="U452" i="3"/>
  <c r="AA454" i="3"/>
  <c r="T457" i="3"/>
  <c r="Z459" i="3"/>
  <c r="S462" i="3"/>
  <c r="Y464" i="3"/>
  <c r="R467" i="3"/>
  <c r="X469" i="3"/>
  <c r="Q472" i="3"/>
  <c r="W474" i="3"/>
  <c r="P477" i="3"/>
  <c r="V479" i="3"/>
  <c r="AB481" i="3"/>
  <c r="U484" i="3"/>
  <c r="AE484" i="3" s="1"/>
  <c r="AA486" i="3"/>
  <c r="T489" i="3"/>
  <c r="Z491" i="3"/>
  <c r="V493" i="3"/>
  <c r="Q494" i="3"/>
  <c r="Y494" i="3"/>
  <c r="T495" i="3"/>
  <c r="AB495" i="3"/>
  <c r="W496" i="3"/>
  <c r="R497" i="3"/>
  <c r="Z497" i="3"/>
  <c r="U498" i="3"/>
  <c r="AE498" i="3" s="1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AE514" i="3" s="1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AE530" i="3" s="1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AE538" i="3" s="1"/>
  <c r="P539" i="3"/>
  <c r="X539" i="3"/>
  <c r="S540" i="3"/>
  <c r="AA540" i="3"/>
  <c r="V541" i="3"/>
  <c r="Q542" i="3"/>
  <c r="Y542" i="3"/>
  <c r="T543" i="3"/>
  <c r="AB543" i="3"/>
  <c r="W544" i="3"/>
  <c r="R545" i="3"/>
  <c r="Z545" i="3"/>
  <c r="U546" i="3"/>
  <c r="AE546" i="3" s="1"/>
  <c r="P547" i="3"/>
  <c r="X547" i="3"/>
  <c r="S548" i="3"/>
  <c r="AA548" i="3"/>
  <c r="V549" i="3"/>
  <c r="Q550" i="3"/>
  <c r="Y550" i="3"/>
  <c r="T551" i="3"/>
  <c r="AB551" i="3"/>
  <c r="W552" i="3"/>
  <c r="R553" i="3"/>
  <c r="Z553" i="3"/>
  <c r="U554" i="3"/>
  <c r="AE554" i="3" s="1"/>
  <c r="P555" i="3"/>
  <c r="X555" i="3"/>
  <c r="S556" i="3"/>
  <c r="AA556" i="3"/>
  <c r="V557" i="3"/>
  <c r="Q558" i="3"/>
  <c r="Y558" i="3"/>
  <c r="T559" i="3"/>
  <c r="AB559" i="3"/>
  <c r="W560" i="3"/>
  <c r="R561" i="3"/>
  <c r="Z561" i="3"/>
  <c r="U562" i="3"/>
  <c r="AE562" i="3" s="1"/>
  <c r="P563" i="3"/>
  <c r="X563" i="3"/>
  <c r="S564" i="3"/>
  <c r="AA564" i="3"/>
  <c r="V565" i="3"/>
  <c r="Q566" i="3"/>
  <c r="Y566" i="3"/>
  <c r="T567" i="3"/>
  <c r="AB567" i="3"/>
  <c r="W568" i="3"/>
  <c r="R569" i="3"/>
  <c r="Z569" i="3"/>
  <c r="U570" i="3"/>
  <c r="AE570" i="3" s="1"/>
  <c r="P571" i="3"/>
  <c r="X571" i="3"/>
  <c r="S572" i="3"/>
  <c r="AA572" i="3"/>
  <c r="V573" i="3"/>
  <c r="AA236" i="3"/>
  <c r="V284" i="3"/>
  <c r="AA323" i="3"/>
  <c r="R342" i="3"/>
  <c r="P352" i="3"/>
  <c r="AA361" i="3"/>
  <c r="Y371" i="3"/>
  <c r="W381" i="3"/>
  <c r="U391" i="3"/>
  <c r="AE391" i="3" s="1"/>
  <c r="S401" i="3"/>
  <c r="Q411" i="3"/>
  <c r="Q416" i="3"/>
  <c r="W418" i="3"/>
  <c r="P421" i="3"/>
  <c r="V423" i="3"/>
  <c r="AB425" i="3"/>
  <c r="U428" i="3"/>
  <c r="AE428" i="3" s="1"/>
  <c r="AA430" i="3"/>
  <c r="T433" i="3"/>
  <c r="Z435" i="3"/>
  <c r="S438" i="3"/>
  <c r="Y440" i="3"/>
  <c r="R443" i="3"/>
  <c r="X445" i="3"/>
  <c r="Q448" i="3"/>
  <c r="W450" i="3"/>
  <c r="P453" i="3"/>
  <c r="V455" i="3"/>
  <c r="AB457" i="3"/>
  <c r="U460" i="3"/>
  <c r="AE460" i="3" s="1"/>
  <c r="AA462" i="3"/>
  <c r="T465" i="3"/>
  <c r="Z467" i="3"/>
  <c r="S470" i="3"/>
  <c r="Y472" i="3"/>
  <c r="R475" i="3"/>
  <c r="X477" i="3"/>
  <c r="Q480" i="3"/>
  <c r="W482" i="3"/>
  <c r="P485" i="3"/>
  <c r="V487" i="3"/>
  <c r="AB489" i="3"/>
  <c r="U492" i="3"/>
  <c r="AE492" i="3" s="1"/>
  <c r="X493" i="3"/>
  <c r="S494" i="3"/>
  <c r="AA494" i="3"/>
  <c r="V495" i="3"/>
  <c r="Q496" i="3"/>
  <c r="Y496" i="3"/>
  <c r="T497" i="3"/>
  <c r="AB497" i="3"/>
  <c r="W498" i="3"/>
  <c r="R499" i="3"/>
  <c r="Z499" i="3"/>
  <c r="U500" i="3"/>
  <c r="P501" i="3"/>
  <c r="X501" i="3"/>
  <c r="S502" i="3"/>
  <c r="AA502" i="3"/>
  <c r="V503" i="3"/>
  <c r="Q504" i="3"/>
  <c r="Y504" i="3"/>
  <c r="T505" i="3"/>
  <c r="AB505" i="3"/>
  <c r="W506" i="3"/>
  <c r="R507" i="3"/>
  <c r="Z507" i="3"/>
  <c r="U508" i="3"/>
  <c r="AE508" i="3" s="1"/>
  <c r="P509" i="3"/>
  <c r="X509" i="3"/>
  <c r="S510" i="3"/>
  <c r="AA510" i="3"/>
  <c r="V511" i="3"/>
  <c r="Q512" i="3"/>
  <c r="Y512" i="3"/>
  <c r="T513" i="3"/>
  <c r="AB513" i="3"/>
  <c r="W514" i="3"/>
  <c r="R515" i="3"/>
  <c r="Z515" i="3"/>
  <c r="U516" i="3"/>
  <c r="AE516" i="3" s="1"/>
  <c r="P517" i="3"/>
  <c r="X517" i="3"/>
  <c r="S518" i="3"/>
  <c r="AA518" i="3"/>
  <c r="V519" i="3"/>
  <c r="Q520" i="3"/>
  <c r="Y520" i="3"/>
  <c r="T521" i="3"/>
  <c r="AB521" i="3"/>
  <c r="W522" i="3"/>
  <c r="R523" i="3"/>
  <c r="Z523" i="3"/>
  <c r="U524" i="3"/>
  <c r="P525" i="3"/>
  <c r="X525" i="3"/>
  <c r="S526" i="3"/>
  <c r="AA526" i="3"/>
  <c r="V527" i="3"/>
  <c r="Q528" i="3"/>
  <c r="Y528" i="3"/>
  <c r="T529" i="3"/>
  <c r="AB529" i="3"/>
  <c r="W530" i="3"/>
  <c r="R531" i="3"/>
  <c r="Z531" i="3"/>
  <c r="U532" i="3"/>
  <c r="AE532" i="3" s="1"/>
  <c r="P533" i="3"/>
  <c r="X533" i="3"/>
  <c r="S534" i="3"/>
  <c r="AA534" i="3"/>
  <c r="V535" i="3"/>
  <c r="Q536" i="3"/>
  <c r="Y536" i="3"/>
  <c r="T537" i="3"/>
  <c r="AB537" i="3"/>
  <c r="W538" i="3"/>
  <c r="R539" i="3"/>
  <c r="Z539" i="3"/>
  <c r="U540" i="3"/>
  <c r="AE540" i="3" s="1"/>
  <c r="P541" i="3"/>
  <c r="X541" i="3"/>
  <c r="S542" i="3"/>
  <c r="AA542" i="3"/>
  <c r="V543" i="3"/>
  <c r="Q544" i="3"/>
  <c r="Y544" i="3"/>
  <c r="T545" i="3"/>
  <c r="AB545" i="3"/>
  <c r="W546" i="3"/>
  <c r="R547" i="3"/>
  <c r="Z547" i="3"/>
  <c r="U548" i="3"/>
  <c r="P549" i="3"/>
  <c r="X549" i="3"/>
  <c r="S550" i="3"/>
  <c r="AA550" i="3"/>
  <c r="V551" i="3"/>
  <c r="Q552" i="3"/>
  <c r="Y552" i="3"/>
  <c r="T553" i="3"/>
  <c r="AB553" i="3"/>
  <c r="W554" i="3"/>
  <c r="R555" i="3"/>
  <c r="Z555" i="3"/>
  <c r="U556" i="3"/>
  <c r="AE556" i="3" s="1"/>
  <c r="P557" i="3"/>
  <c r="X557" i="3"/>
  <c r="S558" i="3"/>
  <c r="AA558" i="3"/>
  <c r="V559" i="3"/>
  <c r="Q560" i="3"/>
  <c r="Y560" i="3"/>
  <c r="T561" i="3"/>
  <c r="AB561" i="3"/>
  <c r="W562" i="3"/>
  <c r="R563" i="3"/>
  <c r="Z563" i="3"/>
  <c r="U564" i="3"/>
  <c r="P565" i="3"/>
  <c r="X565" i="3"/>
  <c r="S566" i="3"/>
  <c r="AA566" i="3"/>
  <c r="V567" i="3"/>
  <c r="Q568" i="3"/>
  <c r="Y568" i="3"/>
  <c r="T569" i="3"/>
  <c r="AB569" i="3"/>
  <c r="W570" i="3"/>
  <c r="R571" i="3"/>
  <c r="Z571" i="3"/>
  <c r="T249" i="3"/>
  <c r="U289" i="3"/>
  <c r="Z328" i="3"/>
  <c r="U343" i="3"/>
  <c r="AE343" i="3" s="1"/>
  <c r="S353" i="3"/>
  <c r="Q363" i="3"/>
  <c r="AB372" i="3"/>
  <c r="Z382" i="3"/>
  <c r="X392" i="3"/>
  <c r="V402" i="3"/>
  <c r="T412" i="3"/>
  <c r="U416" i="3"/>
  <c r="AE416" i="3" s="1"/>
  <c r="AA418" i="3"/>
  <c r="T421" i="3"/>
  <c r="Z423" i="3"/>
  <c r="S426" i="3"/>
  <c r="Y428" i="3"/>
  <c r="R431" i="3"/>
  <c r="X433" i="3"/>
  <c r="Q436" i="3"/>
  <c r="W438" i="3"/>
  <c r="P441" i="3"/>
  <c r="V443" i="3"/>
  <c r="AB445" i="3"/>
  <c r="U448" i="3"/>
  <c r="AE448" i="3" s="1"/>
  <c r="AA450" i="3"/>
  <c r="T453" i="3"/>
  <c r="Z455" i="3"/>
  <c r="S458" i="3"/>
  <c r="Y460" i="3"/>
  <c r="R463" i="3"/>
  <c r="X465" i="3"/>
  <c r="Q468" i="3"/>
  <c r="W470" i="3"/>
  <c r="P473" i="3"/>
  <c r="V475" i="3"/>
  <c r="AB477" i="3"/>
  <c r="U480" i="3"/>
  <c r="AE480" i="3" s="1"/>
  <c r="AA482" i="3"/>
  <c r="T485" i="3"/>
  <c r="Z487" i="3"/>
  <c r="S490" i="3"/>
  <c r="Y492" i="3"/>
  <c r="Y493" i="3"/>
  <c r="T494" i="3"/>
  <c r="AB494" i="3"/>
  <c r="W495" i="3"/>
  <c r="R496" i="3"/>
  <c r="Z496" i="3"/>
  <c r="U497" i="3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AE505" i="3" s="1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AE521" i="3" s="1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AE529" i="3" s="1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AE545" i="3" s="1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AE569" i="3" s="1"/>
  <c r="P570" i="3"/>
  <c r="X570" i="3"/>
  <c r="S571" i="3"/>
  <c r="AA571" i="3"/>
  <c r="V572" i="3"/>
  <c r="Q573" i="3"/>
  <c r="AB254" i="3"/>
  <c r="T294" i="3"/>
  <c r="W332" i="3"/>
  <c r="X344" i="3"/>
  <c r="V354" i="3"/>
  <c r="T364" i="3"/>
  <c r="R374" i="3"/>
  <c r="P384" i="3"/>
  <c r="AA393" i="3"/>
  <c r="Y403" i="3"/>
  <c r="W413" i="3"/>
  <c r="Y416" i="3"/>
  <c r="R419" i="3"/>
  <c r="X421" i="3"/>
  <c r="Q424" i="3"/>
  <c r="W426" i="3"/>
  <c r="P429" i="3"/>
  <c r="V431" i="3"/>
  <c r="AB433" i="3"/>
  <c r="U436" i="3"/>
  <c r="AE436" i="3" s="1"/>
  <c r="AA438" i="3"/>
  <c r="T441" i="3"/>
  <c r="Z443" i="3"/>
  <c r="S446" i="3"/>
  <c r="Y448" i="3"/>
  <c r="R451" i="3"/>
  <c r="X453" i="3"/>
  <c r="Q456" i="3"/>
  <c r="W458" i="3"/>
  <c r="P461" i="3"/>
  <c r="V463" i="3"/>
  <c r="AB465" i="3"/>
  <c r="U468" i="3"/>
  <c r="AE468" i="3" s="1"/>
  <c r="AA470" i="3"/>
  <c r="T473" i="3"/>
  <c r="Z475" i="3"/>
  <c r="S478" i="3"/>
  <c r="Y480" i="3"/>
  <c r="R483" i="3"/>
  <c r="X485" i="3"/>
  <c r="Q488" i="3"/>
  <c r="W490" i="3"/>
  <c r="P493" i="3"/>
  <c r="Z493" i="3"/>
  <c r="U494" i="3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AE502" i="3" s="1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AE510" i="3" s="1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AE518" i="3" s="1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AE542" i="3" s="1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AE550" i="3" s="1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AE566" i="3" s="1"/>
  <c r="P567" i="3"/>
  <c r="X567" i="3"/>
  <c r="S568" i="3"/>
  <c r="AA568" i="3"/>
  <c r="V569" i="3"/>
  <c r="Q570" i="3"/>
  <c r="Y570" i="3"/>
  <c r="T571" i="3"/>
  <c r="AB571" i="3"/>
  <c r="W572" i="3"/>
  <c r="R573" i="3"/>
  <c r="Z573" i="3"/>
  <c r="Z264" i="3"/>
  <c r="R304" i="3"/>
  <c r="Z336" i="3"/>
  <c r="Q347" i="3"/>
  <c r="AB356" i="3"/>
  <c r="Z366" i="3"/>
  <c r="X376" i="3"/>
  <c r="V386" i="3"/>
  <c r="T396" i="3"/>
  <c r="R406" i="3"/>
  <c r="AA414" i="3"/>
  <c r="T417" i="3"/>
  <c r="Z419" i="3"/>
  <c r="S422" i="3"/>
  <c r="Y424" i="3"/>
  <c r="R427" i="3"/>
  <c r="X429" i="3"/>
  <c r="Q432" i="3"/>
  <c r="W434" i="3"/>
  <c r="P437" i="3"/>
  <c r="V439" i="3"/>
  <c r="AB441" i="3"/>
  <c r="U444" i="3"/>
  <c r="AA446" i="3"/>
  <c r="T449" i="3"/>
  <c r="Z451" i="3"/>
  <c r="S454" i="3"/>
  <c r="Y456" i="3"/>
  <c r="R459" i="3"/>
  <c r="X461" i="3"/>
  <c r="Q464" i="3"/>
  <c r="W466" i="3"/>
  <c r="P469" i="3"/>
  <c r="V471" i="3"/>
  <c r="AB473" i="3"/>
  <c r="U476" i="3"/>
  <c r="AE476" i="3" s="1"/>
  <c r="AA478" i="3"/>
  <c r="T481" i="3"/>
  <c r="Z483" i="3"/>
  <c r="S486" i="3"/>
  <c r="Y488" i="3"/>
  <c r="R491" i="3"/>
  <c r="T493" i="3"/>
  <c r="AB493" i="3"/>
  <c r="W494" i="3"/>
  <c r="R495" i="3"/>
  <c r="Z495" i="3"/>
  <c r="U496" i="3"/>
  <c r="AE496" i="3" s="1"/>
  <c r="P497" i="3"/>
  <c r="X497" i="3"/>
  <c r="S498" i="3"/>
  <c r="AA498" i="3"/>
  <c r="V499" i="3"/>
  <c r="Q500" i="3"/>
  <c r="Y500" i="3"/>
  <c r="T501" i="3"/>
  <c r="AB501" i="3"/>
  <c r="W502" i="3"/>
  <c r="R503" i="3"/>
  <c r="Z503" i="3"/>
  <c r="U504" i="3"/>
  <c r="AE504" i="3" s="1"/>
  <c r="P505" i="3"/>
  <c r="X505" i="3"/>
  <c r="S506" i="3"/>
  <c r="AA506" i="3"/>
  <c r="V507" i="3"/>
  <c r="Q508" i="3"/>
  <c r="Y508" i="3"/>
  <c r="T509" i="3"/>
  <c r="AB509" i="3"/>
  <c r="W510" i="3"/>
  <c r="R511" i="3"/>
  <c r="Z511" i="3"/>
  <c r="U512" i="3"/>
  <c r="AE512" i="3" s="1"/>
  <c r="P513" i="3"/>
  <c r="X513" i="3"/>
  <c r="S514" i="3"/>
  <c r="AA514" i="3"/>
  <c r="V515" i="3"/>
  <c r="Q516" i="3"/>
  <c r="Y516" i="3"/>
  <c r="T517" i="3"/>
  <c r="AB517" i="3"/>
  <c r="W518" i="3"/>
  <c r="R519" i="3"/>
  <c r="Z519" i="3"/>
  <c r="U520" i="3"/>
  <c r="P521" i="3"/>
  <c r="X521" i="3"/>
  <c r="S522" i="3"/>
  <c r="AA522" i="3"/>
  <c r="V523" i="3"/>
  <c r="Q524" i="3"/>
  <c r="Y524" i="3"/>
  <c r="T525" i="3"/>
  <c r="AB525" i="3"/>
  <c r="W526" i="3"/>
  <c r="R527" i="3"/>
  <c r="Z527" i="3"/>
  <c r="U528" i="3"/>
  <c r="AE528" i="3" s="1"/>
  <c r="P529" i="3"/>
  <c r="X529" i="3"/>
  <c r="S530" i="3"/>
  <c r="AA530" i="3"/>
  <c r="V531" i="3"/>
  <c r="Q532" i="3"/>
  <c r="Y532" i="3"/>
  <c r="T533" i="3"/>
  <c r="AB533" i="3"/>
  <c r="W534" i="3"/>
  <c r="R535" i="3"/>
  <c r="Z535" i="3"/>
  <c r="U536" i="3"/>
  <c r="P537" i="3"/>
  <c r="X537" i="3"/>
  <c r="S538" i="3"/>
  <c r="AA538" i="3"/>
  <c r="V539" i="3"/>
  <c r="Q540" i="3"/>
  <c r="Y540" i="3"/>
  <c r="T541" i="3"/>
  <c r="AB541" i="3"/>
  <c r="W542" i="3"/>
  <c r="R543" i="3"/>
  <c r="Z543" i="3"/>
  <c r="U544" i="3"/>
  <c r="AE544" i="3" s="1"/>
  <c r="P545" i="3"/>
  <c r="X545" i="3"/>
  <c r="S546" i="3"/>
  <c r="AA546" i="3"/>
  <c r="V547" i="3"/>
  <c r="Q548" i="3"/>
  <c r="Y548" i="3"/>
  <c r="T549" i="3"/>
  <c r="AB549" i="3"/>
  <c r="W550" i="3"/>
  <c r="R551" i="3"/>
  <c r="Z551" i="3"/>
  <c r="U552" i="3"/>
  <c r="AE552" i="3" s="1"/>
  <c r="P553" i="3"/>
  <c r="X553" i="3"/>
  <c r="S554" i="3"/>
  <c r="AA554" i="3"/>
  <c r="V555" i="3"/>
  <c r="Q556" i="3"/>
  <c r="Y556" i="3"/>
  <c r="T557" i="3"/>
  <c r="AB557" i="3"/>
  <c r="W558" i="3"/>
  <c r="R559" i="3"/>
  <c r="Z559" i="3"/>
  <c r="U560" i="3"/>
  <c r="AE560" i="3" s="1"/>
  <c r="P561" i="3"/>
  <c r="X561" i="3"/>
  <c r="S562" i="3"/>
  <c r="AA562" i="3"/>
  <c r="V563" i="3"/>
  <c r="Q564" i="3"/>
  <c r="Y564" i="3"/>
  <c r="T565" i="3"/>
  <c r="AB565" i="3"/>
  <c r="W566" i="3"/>
  <c r="R567" i="3"/>
  <c r="Z567" i="3"/>
  <c r="U568" i="3"/>
  <c r="AE568" i="3" s="1"/>
  <c r="P569" i="3"/>
  <c r="X569" i="3"/>
  <c r="S570" i="3"/>
  <c r="AA570" i="3"/>
  <c r="V571" i="3"/>
  <c r="Y269" i="3"/>
  <c r="Q309" i="3"/>
  <c r="V338" i="3"/>
  <c r="T348" i="3"/>
  <c r="R358" i="3"/>
  <c r="P368" i="3"/>
  <c r="AA377" i="3"/>
  <c r="Y387" i="3"/>
  <c r="W397" i="3"/>
  <c r="U407" i="3"/>
  <c r="AE407" i="3" s="1"/>
  <c r="R415" i="3"/>
  <c r="X417" i="3"/>
  <c r="Q420" i="3"/>
  <c r="W422" i="3"/>
  <c r="P425" i="3"/>
  <c r="V427" i="3"/>
  <c r="AB429" i="3"/>
  <c r="U432" i="3"/>
  <c r="AE432" i="3" s="1"/>
  <c r="AA434" i="3"/>
  <c r="T437" i="3"/>
  <c r="Z439" i="3"/>
  <c r="S442" i="3"/>
  <c r="Y444" i="3"/>
  <c r="R447" i="3"/>
  <c r="X449" i="3"/>
  <c r="Q452" i="3"/>
  <c r="W454" i="3"/>
  <c r="P457" i="3"/>
  <c r="V459" i="3"/>
  <c r="AB461" i="3"/>
  <c r="U464" i="3"/>
  <c r="AE464" i="3" s="1"/>
  <c r="AA466" i="3"/>
  <c r="T469" i="3"/>
  <c r="Z471" i="3"/>
  <c r="S474" i="3"/>
  <c r="Y476" i="3"/>
  <c r="R479" i="3"/>
  <c r="X481" i="3"/>
  <c r="Q484" i="3"/>
  <c r="W486" i="3"/>
  <c r="P489" i="3"/>
  <c r="V491" i="3"/>
  <c r="U493" i="3"/>
  <c r="AE493" i="3" s="1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AE501" i="3" s="1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AE517" i="3" s="1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AE525" i="3" s="1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AE541" i="3" s="1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P550" i="3"/>
  <c r="X550" i="3"/>
  <c r="S551" i="3"/>
  <c r="AA551" i="3"/>
  <c r="V552" i="3"/>
  <c r="Q553" i="3"/>
  <c r="Y553" i="3"/>
  <c r="T554" i="3"/>
  <c r="AB554" i="3"/>
  <c r="W555" i="3"/>
  <c r="R556" i="3"/>
  <c r="Z556" i="3"/>
  <c r="U557" i="3"/>
  <c r="AE557" i="3" s="1"/>
  <c r="P558" i="3"/>
  <c r="X558" i="3"/>
  <c r="S559" i="3"/>
  <c r="AA559" i="3"/>
  <c r="V560" i="3"/>
  <c r="Q561" i="3"/>
  <c r="Y561" i="3"/>
  <c r="T562" i="3"/>
  <c r="AB562" i="3"/>
  <c r="W563" i="3"/>
  <c r="R564" i="3"/>
  <c r="Z564" i="3"/>
  <c r="U565" i="3"/>
  <c r="AE565" i="3" s="1"/>
  <c r="P566" i="3"/>
  <c r="X566" i="3"/>
  <c r="S567" i="3"/>
  <c r="AA567" i="3"/>
  <c r="V568" i="3"/>
  <c r="Q569" i="3"/>
  <c r="Y569" i="3"/>
  <c r="T570" i="3"/>
  <c r="AB570" i="3"/>
  <c r="W571" i="3"/>
  <c r="R217" i="3"/>
  <c r="Z350" i="3"/>
  <c r="R390" i="3"/>
  <c r="S418" i="3"/>
  <c r="Q428" i="3"/>
  <c r="AB437" i="3"/>
  <c r="Z447" i="3"/>
  <c r="X457" i="3"/>
  <c r="V467" i="3"/>
  <c r="T477" i="3"/>
  <c r="R487" i="3"/>
  <c r="R494" i="3"/>
  <c r="X496" i="3"/>
  <c r="Q499" i="3"/>
  <c r="W501" i="3"/>
  <c r="P504" i="3"/>
  <c r="V506" i="3"/>
  <c r="AB508" i="3"/>
  <c r="U511" i="3"/>
  <c r="AA513" i="3"/>
  <c r="T516" i="3"/>
  <c r="Z518" i="3"/>
  <c r="S521" i="3"/>
  <c r="Y523" i="3"/>
  <c r="R526" i="3"/>
  <c r="X528" i="3"/>
  <c r="Q531" i="3"/>
  <c r="W533" i="3"/>
  <c r="P536" i="3"/>
  <c r="V538" i="3"/>
  <c r="AB540" i="3"/>
  <c r="U543" i="3"/>
  <c r="AE543" i="3" s="1"/>
  <c r="AA545" i="3"/>
  <c r="T548" i="3"/>
  <c r="Z550" i="3"/>
  <c r="S553" i="3"/>
  <c r="Y555" i="3"/>
  <c r="R558" i="3"/>
  <c r="X560" i="3"/>
  <c r="Q563" i="3"/>
  <c r="W565" i="3"/>
  <c r="P568" i="3"/>
  <c r="V570" i="3"/>
  <c r="T572" i="3"/>
  <c r="T573" i="3"/>
  <c r="Q574" i="3"/>
  <c r="Y574" i="3"/>
  <c r="T575" i="3"/>
  <c r="AB575" i="3"/>
  <c r="W576" i="3"/>
  <c r="R577" i="3"/>
  <c r="Z577" i="3"/>
  <c r="U578" i="3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AE586" i="3" s="1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AE594" i="3" s="1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AE602" i="3" s="1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AE634" i="3" s="1"/>
  <c r="P635" i="3"/>
  <c r="X635" i="3"/>
  <c r="S636" i="3"/>
  <c r="AA636" i="3"/>
  <c r="V637" i="3"/>
  <c r="Q638" i="3"/>
  <c r="Y638" i="3"/>
  <c r="T639" i="3"/>
  <c r="AB639" i="3"/>
  <c r="W640" i="3"/>
  <c r="R641" i="3"/>
  <c r="Z641" i="3"/>
  <c r="U642" i="3"/>
  <c r="AE642" i="3" s="1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AE650" i="3" s="1"/>
  <c r="P651" i="3"/>
  <c r="X651" i="3"/>
  <c r="W279" i="3"/>
  <c r="X360" i="3"/>
  <c r="P400" i="3"/>
  <c r="Y420" i="3"/>
  <c r="W430" i="3"/>
  <c r="U440" i="3"/>
  <c r="AE440" i="3" s="1"/>
  <c r="S450" i="3"/>
  <c r="Q460" i="3"/>
  <c r="AB469" i="3"/>
  <c r="Z479" i="3"/>
  <c r="X489" i="3"/>
  <c r="Z494" i="3"/>
  <c r="S497" i="3"/>
  <c r="Y499" i="3"/>
  <c r="R502" i="3"/>
  <c r="X504" i="3"/>
  <c r="Q507" i="3"/>
  <c r="W509" i="3"/>
  <c r="P512" i="3"/>
  <c r="V514" i="3"/>
  <c r="AB516" i="3"/>
  <c r="U519" i="3"/>
  <c r="AE519" i="3" s="1"/>
  <c r="AA521" i="3"/>
  <c r="T524" i="3"/>
  <c r="Z526" i="3"/>
  <c r="S529" i="3"/>
  <c r="Y531" i="3"/>
  <c r="R534" i="3"/>
  <c r="X536" i="3"/>
  <c r="Q539" i="3"/>
  <c r="W541" i="3"/>
  <c r="P544" i="3"/>
  <c r="V546" i="3"/>
  <c r="AB548" i="3"/>
  <c r="U551" i="3"/>
  <c r="AE551" i="3" s="1"/>
  <c r="AA553" i="3"/>
  <c r="T556" i="3"/>
  <c r="Z558" i="3"/>
  <c r="S561" i="3"/>
  <c r="Y563" i="3"/>
  <c r="R566" i="3"/>
  <c r="X568" i="3"/>
  <c r="Q571" i="3"/>
  <c r="X572" i="3"/>
  <c r="W573" i="3"/>
  <c r="S574" i="3"/>
  <c r="AA574" i="3"/>
  <c r="V575" i="3"/>
  <c r="Q576" i="3"/>
  <c r="Y576" i="3"/>
  <c r="T577" i="3"/>
  <c r="AB577" i="3"/>
  <c r="W578" i="3"/>
  <c r="R579" i="3"/>
  <c r="Z579" i="3"/>
  <c r="U580" i="3"/>
  <c r="AE580" i="3" s="1"/>
  <c r="P581" i="3"/>
  <c r="X581" i="3"/>
  <c r="S582" i="3"/>
  <c r="AA582" i="3"/>
  <c r="V583" i="3"/>
  <c r="Q584" i="3"/>
  <c r="Y584" i="3"/>
  <c r="T585" i="3"/>
  <c r="AB585" i="3"/>
  <c r="W586" i="3"/>
  <c r="R587" i="3"/>
  <c r="Z587" i="3"/>
  <c r="U588" i="3"/>
  <c r="AE588" i="3" s="1"/>
  <c r="P589" i="3"/>
  <c r="X589" i="3"/>
  <c r="S590" i="3"/>
  <c r="AA590" i="3"/>
  <c r="V591" i="3"/>
  <c r="Q592" i="3"/>
  <c r="Y592" i="3"/>
  <c r="T593" i="3"/>
  <c r="AB593" i="3"/>
  <c r="W594" i="3"/>
  <c r="R595" i="3"/>
  <c r="Z595" i="3"/>
  <c r="U596" i="3"/>
  <c r="AE596" i="3" s="1"/>
  <c r="P597" i="3"/>
  <c r="X597" i="3"/>
  <c r="S598" i="3"/>
  <c r="AA598" i="3"/>
  <c r="V599" i="3"/>
  <c r="Q600" i="3"/>
  <c r="Y600" i="3"/>
  <c r="T601" i="3"/>
  <c r="AB601" i="3"/>
  <c r="W602" i="3"/>
  <c r="R603" i="3"/>
  <c r="Z603" i="3"/>
  <c r="U604" i="3"/>
  <c r="P605" i="3"/>
  <c r="X605" i="3"/>
  <c r="S606" i="3"/>
  <c r="AA606" i="3"/>
  <c r="V607" i="3"/>
  <c r="Q608" i="3"/>
  <c r="Y608" i="3"/>
  <c r="T609" i="3"/>
  <c r="AB609" i="3"/>
  <c r="W610" i="3"/>
  <c r="R611" i="3"/>
  <c r="Z611" i="3"/>
  <c r="U612" i="3"/>
  <c r="AE612" i="3" s="1"/>
  <c r="P613" i="3"/>
  <c r="X613" i="3"/>
  <c r="S614" i="3"/>
  <c r="AA614" i="3"/>
  <c r="V615" i="3"/>
  <c r="Q616" i="3"/>
  <c r="Y616" i="3"/>
  <c r="T617" i="3"/>
  <c r="AB617" i="3"/>
  <c r="W618" i="3"/>
  <c r="R619" i="3"/>
  <c r="Z619" i="3"/>
  <c r="U620" i="3"/>
  <c r="P621" i="3"/>
  <c r="X621" i="3"/>
  <c r="S622" i="3"/>
  <c r="AA622" i="3"/>
  <c r="V623" i="3"/>
  <c r="Q624" i="3"/>
  <c r="Y624" i="3"/>
  <c r="T625" i="3"/>
  <c r="AB625" i="3"/>
  <c r="W626" i="3"/>
  <c r="R627" i="3"/>
  <c r="Z627" i="3"/>
  <c r="U628" i="3"/>
  <c r="AE628" i="3" s="1"/>
  <c r="P629" i="3"/>
  <c r="X629" i="3"/>
  <c r="S630" i="3"/>
  <c r="AA630" i="3"/>
  <c r="V631" i="3"/>
  <c r="Q632" i="3"/>
  <c r="Y632" i="3"/>
  <c r="T633" i="3"/>
  <c r="AB633" i="3"/>
  <c r="W634" i="3"/>
  <c r="R635" i="3"/>
  <c r="Z635" i="3"/>
  <c r="U636" i="3"/>
  <c r="AE636" i="3" s="1"/>
  <c r="P637" i="3"/>
  <c r="X637" i="3"/>
  <c r="S638" i="3"/>
  <c r="AA638" i="3"/>
  <c r="V639" i="3"/>
  <c r="Q640" i="3"/>
  <c r="Y640" i="3"/>
  <c r="T641" i="3"/>
  <c r="AB641" i="3"/>
  <c r="W642" i="3"/>
  <c r="R643" i="3"/>
  <c r="Z643" i="3"/>
  <c r="U644" i="3"/>
  <c r="AE644" i="3" s="1"/>
  <c r="P645" i="3"/>
  <c r="X645" i="3"/>
  <c r="S646" i="3"/>
  <c r="AA646" i="3"/>
  <c r="V647" i="3"/>
  <c r="Q648" i="3"/>
  <c r="Y648" i="3"/>
  <c r="T649" i="3"/>
  <c r="AB649" i="3"/>
  <c r="W650" i="3"/>
  <c r="S299" i="3"/>
  <c r="W365" i="3"/>
  <c r="AB404" i="3"/>
  <c r="AB421" i="3"/>
  <c r="Z431" i="3"/>
  <c r="X441" i="3"/>
  <c r="V451" i="3"/>
  <c r="T461" i="3"/>
  <c r="R471" i="3"/>
  <c r="P481" i="3"/>
  <c r="AA490" i="3"/>
  <c r="Q495" i="3"/>
  <c r="W497" i="3"/>
  <c r="P500" i="3"/>
  <c r="V502" i="3"/>
  <c r="AB504" i="3"/>
  <c r="U507" i="3"/>
  <c r="AE507" i="3" s="1"/>
  <c r="AA509" i="3"/>
  <c r="T512" i="3"/>
  <c r="Z514" i="3"/>
  <c r="S517" i="3"/>
  <c r="Y519" i="3"/>
  <c r="R522" i="3"/>
  <c r="X524" i="3"/>
  <c r="Q527" i="3"/>
  <c r="W529" i="3"/>
  <c r="P532" i="3"/>
  <c r="V534" i="3"/>
  <c r="AB536" i="3"/>
  <c r="U539" i="3"/>
  <c r="AE539" i="3" s="1"/>
  <c r="AA541" i="3"/>
  <c r="T544" i="3"/>
  <c r="Z546" i="3"/>
  <c r="S549" i="3"/>
  <c r="Y551" i="3"/>
  <c r="R554" i="3"/>
  <c r="X556" i="3"/>
  <c r="Q559" i="3"/>
  <c r="W561" i="3"/>
  <c r="P564" i="3"/>
  <c r="V566" i="3"/>
  <c r="AB568" i="3"/>
  <c r="U571" i="3"/>
  <c r="AE571" i="3" s="1"/>
  <c r="Y572" i="3"/>
  <c r="X573" i="3"/>
  <c r="T574" i="3"/>
  <c r="AB574" i="3"/>
  <c r="W575" i="3"/>
  <c r="R576" i="3"/>
  <c r="Z576" i="3"/>
  <c r="U577" i="3"/>
  <c r="AE577" i="3" s="1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AE585" i="3" s="1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AE593" i="3" s="1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AE601" i="3" s="1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AE609" i="3" s="1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AE617" i="3" s="1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AE625" i="3" s="1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AE633" i="3" s="1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AE641" i="3" s="1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AB318" i="3"/>
  <c r="V370" i="3"/>
  <c r="AA409" i="3"/>
  <c r="R423" i="3"/>
  <c r="P433" i="3"/>
  <c r="AA442" i="3"/>
  <c r="Y452" i="3"/>
  <c r="W462" i="3"/>
  <c r="U472" i="3"/>
  <c r="AE472" i="3" s="1"/>
  <c r="S482" i="3"/>
  <c r="Q492" i="3"/>
  <c r="U495" i="3"/>
  <c r="AE495" i="3" s="1"/>
  <c r="AA497" i="3"/>
  <c r="T500" i="3"/>
  <c r="Z502" i="3"/>
  <c r="S505" i="3"/>
  <c r="Y507" i="3"/>
  <c r="R510" i="3"/>
  <c r="X512" i="3"/>
  <c r="Q515" i="3"/>
  <c r="W517" i="3"/>
  <c r="P520" i="3"/>
  <c r="V522" i="3"/>
  <c r="AB524" i="3"/>
  <c r="U527" i="3"/>
  <c r="AE527" i="3" s="1"/>
  <c r="AA529" i="3"/>
  <c r="T532" i="3"/>
  <c r="Z534" i="3"/>
  <c r="S537" i="3"/>
  <c r="Y539" i="3"/>
  <c r="R542" i="3"/>
  <c r="X544" i="3"/>
  <c r="Q547" i="3"/>
  <c r="W549" i="3"/>
  <c r="P552" i="3"/>
  <c r="V554" i="3"/>
  <c r="AB556" i="3"/>
  <c r="U559" i="3"/>
  <c r="AE559" i="3" s="1"/>
  <c r="AA561" i="3"/>
  <c r="T564" i="3"/>
  <c r="Z566" i="3"/>
  <c r="S569" i="3"/>
  <c r="Y571" i="3"/>
  <c r="Z572" i="3"/>
  <c r="Y573" i="3"/>
  <c r="U574" i="3"/>
  <c r="AE574" i="3" s="1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AE582" i="3" s="1"/>
  <c r="P583" i="3"/>
  <c r="X583" i="3"/>
  <c r="S584" i="3"/>
  <c r="AA584" i="3"/>
  <c r="V585" i="3"/>
  <c r="Q586" i="3"/>
  <c r="Y586" i="3"/>
  <c r="T587" i="3"/>
  <c r="AB587" i="3"/>
  <c r="W588" i="3"/>
  <c r="R589" i="3"/>
  <c r="Z589" i="3"/>
  <c r="U590" i="3"/>
  <c r="AE590" i="3" s="1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AE598" i="3" s="1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AE606" i="3" s="1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AE614" i="3" s="1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AE622" i="3" s="1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AE630" i="3" s="1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AE638" i="3" s="1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P647" i="3"/>
  <c r="X647" i="3"/>
  <c r="S648" i="3"/>
  <c r="AA648" i="3"/>
  <c r="V649" i="3"/>
  <c r="Q650" i="3"/>
  <c r="Y650" i="3"/>
  <c r="T651" i="3"/>
  <c r="AB651" i="3"/>
  <c r="AB340" i="3"/>
  <c r="T380" i="3"/>
  <c r="Z415" i="3"/>
  <c r="X425" i="3"/>
  <c r="V435" i="3"/>
  <c r="T445" i="3"/>
  <c r="R455" i="3"/>
  <c r="P465" i="3"/>
  <c r="AA474" i="3"/>
  <c r="Y484" i="3"/>
  <c r="W493" i="3"/>
  <c r="P496" i="3"/>
  <c r="V498" i="3"/>
  <c r="AB500" i="3"/>
  <c r="U503" i="3"/>
  <c r="AE503" i="3" s="1"/>
  <c r="AA505" i="3"/>
  <c r="T508" i="3"/>
  <c r="Z510" i="3"/>
  <c r="S513" i="3"/>
  <c r="Y515" i="3"/>
  <c r="R518" i="3"/>
  <c r="X520" i="3"/>
  <c r="Q523" i="3"/>
  <c r="W525" i="3"/>
  <c r="P528" i="3"/>
  <c r="V530" i="3"/>
  <c r="AB532" i="3"/>
  <c r="U535" i="3"/>
  <c r="AE535" i="3" s="1"/>
  <c r="AA537" i="3"/>
  <c r="T540" i="3"/>
  <c r="Z542" i="3"/>
  <c r="S545" i="3"/>
  <c r="Y547" i="3"/>
  <c r="R550" i="3"/>
  <c r="X552" i="3"/>
  <c r="Q555" i="3"/>
  <c r="W557" i="3"/>
  <c r="P560" i="3"/>
  <c r="V562" i="3"/>
  <c r="AB564" i="3"/>
  <c r="U567" i="3"/>
  <c r="AE567" i="3" s="1"/>
  <c r="AA569" i="3"/>
  <c r="Q572" i="3"/>
  <c r="P573" i="3"/>
  <c r="AB573" i="3"/>
  <c r="W574" i="3"/>
  <c r="R575" i="3"/>
  <c r="Z575" i="3"/>
  <c r="U576" i="3"/>
  <c r="AE576" i="3" s="1"/>
  <c r="P577" i="3"/>
  <c r="X577" i="3"/>
  <c r="S578" i="3"/>
  <c r="AA578" i="3"/>
  <c r="V579" i="3"/>
  <c r="Q580" i="3"/>
  <c r="Y580" i="3"/>
  <c r="T581" i="3"/>
  <c r="AB581" i="3"/>
  <c r="W582" i="3"/>
  <c r="R583" i="3"/>
  <c r="Z583" i="3"/>
  <c r="U584" i="3"/>
  <c r="AE584" i="3" s="1"/>
  <c r="P585" i="3"/>
  <c r="X585" i="3"/>
  <c r="S586" i="3"/>
  <c r="AA586" i="3"/>
  <c r="V587" i="3"/>
  <c r="Q588" i="3"/>
  <c r="Y588" i="3"/>
  <c r="T589" i="3"/>
  <c r="AB589" i="3"/>
  <c r="W590" i="3"/>
  <c r="R591" i="3"/>
  <c r="Z591" i="3"/>
  <c r="U592" i="3"/>
  <c r="AE592" i="3" s="1"/>
  <c r="P593" i="3"/>
  <c r="X593" i="3"/>
  <c r="S594" i="3"/>
  <c r="AA594" i="3"/>
  <c r="V595" i="3"/>
  <c r="Q596" i="3"/>
  <c r="Y596" i="3"/>
  <c r="T597" i="3"/>
  <c r="AB597" i="3"/>
  <c r="W598" i="3"/>
  <c r="R599" i="3"/>
  <c r="Z599" i="3"/>
  <c r="U600" i="3"/>
  <c r="AE600" i="3" s="1"/>
  <c r="P601" i="3"/>
  <c r="X601" i="3"/>
  <c r="S602" i="3"/>
  <c r="AA602" i="3"/>
  <c r="V603" i="3"/>
  <c r="Q604" i="3"/>
  <c r="Y604" i="3"/>
  <c r="T605" i="3"/>
  <c r="AB605" i="3"/>
  <c r="W606" i="3"/>
  <c r="R607" i="3"/>
  <c r="Z607" i="3"/>
  <c r="U608" i="3"/>
  <c r="AE608" i="3" s="1"/>
  <c r="P609" i="3"/>
  <c r="X609" i="3"/>
  <c r="S610" i="3"/>
  <c r="AA610" i="3"/>
  <c r="V611" i="3"/>
  <c r="Q612" i="3"/>
  <c r="Y612" i="3"/>
  <c r="T613" i="3"/>
  <c r="AB613" i="3"/>
  <c r="W614" i="3"/>
  <c r="R615" i="3"/>
  <c r="Z615" i="3"/>
  <c r="U616" i="3"/>
  <c r="AE616" i="3" s="1"/>
  <c r="P617" i="3"/>
  <c r="X617" i="3"/>
  <c r="S618" i="3"/>
  <c r="AA618" i="3"/>
  <c r="V619" i="3"/>
  <c r="Q620" i="3"/>
  <c r="Y620" i="3"/>
  <c r="T621" i="3"/>
  <c r="AB621" i="3"/>
  <c r="W622" i="3"/>
  <c r="R623" i="3"/>
  <c r="Z623" i="3"/>
  <c r="U624" i="3"/>
  <c r="P625" i="3"/>
  <c r="X625" i="3"/>
  <c r="S626" i="3"/>
  <c r="AA626" i="3"/>
  <c r="V627" i="3"/>
  <c r="Q628" i="3"/>
  <c r="Y628" i="3"/>
  <c r="T629" i="3"/>
  <c r="AB629" i="3"/>
  <c r="W630" i="3"/>
  <c r="R631" i="3"/>
  <c r="Z631" i="3"/>
  <c r="U632" i="3"/>
  <c r="AE632" i="3" s="1"/>
  <c r="P633" i="3"/>
  <c r="X633" i="3"/>
  <c r="S634" i="3"/>
  <c r="AA634" i="3"/>
  <c r="V635" i="3"/>
  <c r="Q636" i="3"/>
  <c r="Y636" i="3"/>
  <c r="T637" i="3"/>
  <c r="AB637" i="3"/>
  <c r="W638" i="3"/>
  <c r="R639" i="3"/>
  <c r="Z639" i="3"/>
  <c r="U640" i="3"/>
  <c r="AE640" i="3" s="1"/>
  <c r="P641" i="3"/>
  <c r="X641" i="3"/>
  <c r="S642" i="3"/>
  <c r="AA642" i="3"/>
  <c r="V643" i="3"/>
  <c r="Q644" i="3"/>
  <c r="Y644" i="3"/>
  <c r="T645" i="3"/>
  <c r="AB645" i="3"/>
  <c r="W646" i="3"/>
  <c r="R647" i="3"/>
  <c r="Z647" i="3"/>
  <c r="U648" i="3"/>
  <c r="AE648" i="3" s="1"/>
  <c r="P649" i="3"/>
  <c r="X649" i="3"/>
  <c r="S650" i="3"/>
  <c r="AA650" i="3"/>
  <c r="AA345" i="3"/>
  <c r="S385" i="3"/>
  <c r="P417" i="3"/>
  <c r="AA426" i="3"/>
  <c r="Y436" i="3"/>
  <c r="W446" i="3"/>
  <c r="U456" i="3"/>
  <c r="AE456" i="3" s="1"/>
  <c r="S466" i="3"/>
  <c r="Q476" i="3"/>
  <c r="AB485" i="3"/>
  <c r="AA493" i="3"/>
  <c r="T496" i="3"/>
  <c r="Z498" i="3"/>
  <c r="S501" i="3"/>
  <c r="Y503" i="3"/>
  <c r="R506" i="3"/>
  <c r="X508" i="3"/>
  <c r="Q511" i="3"/>
  <c r="W513" i="3"/>
  <c r="P516" i="3"/>
  <c r="V518" i="3"/>
  <c r="AB520" i="3"/>
  <c r="U523" i="3"/>
  <c r="AE523" i="3" s="1"/>
  <c r="AA525" i="3"/>
  <c r="T528" i="3"/>
  <c r="Z530" i="3"/>
  <c r="S533" i="3"/>
  <c r="Y535" i="3"/>
  <c r="R538" i="3"/>
  <c r="X540" i="3"/>
  <c r="Q543" i="3"/>
  <c r="W545" i="3"/>
  <c r="P548" i="3"/>
  <c r="V550" i="3"/>
  <c r="AB552" i="3"/>
  <c r="U555" i="3"/>
  <c r="AE555" i="3" s="1"/>
  <c r="AA557" i="3"/>
  <c r="T560" i="3"/>
  <c r="Z562" i="3"/>
  <c r="S565" i="3"/>
  <c r="Y567" i="3"/>
  <c r="R570" i="3"/>
  <c r="R572" i="3"/>
  <c r="S573" i="3"/>
  <c r="P574" i="3"/>
  <c r="X574" i="3"/>
  <c r="S575" i="3"/>
  <c r="AA575" i="3"/>
  <c r="V576" i="3"/>
  <c r="Q577" i="3"/>
  <c r="Y577" i="3"/>
  <c r="T578" i="3"/>
  <c r="AB578" i="3"/>
  <c r="W579" i="3"/>
  <c r="R580" i="3"/>
  <c r="Z580" i="3"/>
  <c r="U581" i="3"/>
  <c r="AE581" i="3" s="1"/>
  <c r="P582" i="3"/>
  <c r="X582" i="3"/>
  <c r="S583" i="3"/>
  <c r="AA583" i="3"/>
  <c r="V584" i="3"/>
  <c r="Q585" i="3"/>
  <c r="Y585" i="3"/>
  <c r="T586" i="3"/>
  <c r="AB586" i="3"/>
  <c r="W587" i="3"/>
  <c r="R588" i="3"/>
  <c r="Z588" i="3"/>
  <c r="U589" i="3"/>
  <c r="AE589" i="3" s="1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AE597" i="3" s="1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AE605" i="3" s="1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AE613" i="3" s="1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AE621" i="3" s="1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AE637" i="3" s="1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AE645" i="3" s="1"/>
  <c r="P646" i="3"/>
  <c r="X646" i="3"/>
  <c r="S647" i="3"/>
  <c r="AA647" i="3"/>
  <c r="V648" i="3"/>
  <c r="Q649" i="3"/>
  <c r="Y649" i="3"/>
  <c r="T650" i="3"/>
  <c r="AB650" i="3"/>
  <c r="W651" i="3"/>
  <c r="AA259" i="3"/>
  <c r="T429" i="3"/>
  <c r="Y468" i="3"/>
  <c r="AB496" i="3"/>
  <c r="Z506" i="3"/>
  <c r="X516" i="3"/>
  <c r="V526" i="3"/>
  <c r="T536" i="3"/>
  <c r="R546" i="3"/>
  <c r="P556" i="3"/>
  <c r="AA565" i="3"/>
  <c r="U573" i="3"/>
  <c r="AE573" i="3" s="1"/>
  <c r="P576" i="3"/>
  <c r="V578" i="3"/>
  <c r="AB580" i="3"/>
  <c r="U583" i="3"/>
  <c r="AE583" i="3" s="1"/>
  <c r="AA585" i="3"/>
  <c r="T588" i="3"/>
  <c r="Z590" i="3"/>
  <c r="S593" i="3"/>
  <c r="Y595" i="3"/>
  <c r="R598" i="3"/>
  <c r="X600" i="3"/>
  <c r="Q603" i="3"/>
  <c r="W605" i="3"/>
  <c r="P608" i="3"/>
  <c r="V610" i="3"/>
  <c r="AB612" i="3"/>
  <c r="U615" i="3"/>
  <c r="AE615" i="3" s="1"/>
  <c r="AA617" i="3"/>
  <c r="T620" i="3"/>
  <c r="Z622" i="3"/>
  <c r="S625" i="3"/>
  <c r="Y627" i="3"/>
  <c r="R630" i="3"/>
  <c r="X632" i="3"/>
  <c r="Q635" i="3"/>
  <c r="W637" i="3"/>
  <c r="P640" i="3"/>
  <c r="V642" i="3"/>
  <c r="AB644" i="3"/>
  <c r="U647" i="3"/>
  <c r="AE647" i="3" s="1"/>
  <c r="AA649" i="3"/>
  <c r="V651" i="3"/>
  <c r="T652" i="3"/>
  <c r="AB652" i="3"/>
  <c r="W653" i="3"/>
  <c r="R654" i="3"/>
  <c r="Z654" i="3"/>
  <c r="U655" i="3"/>
  <c r="AE655" i="3" s="1"/>
  <c r="P656" i="3"/>
  <c r="X656" i="3"/>
  <c r="S657" i="3"/>
  <c r="AA657" i="3"/>
  <c r="V658" i="3"/>
  <c r="Q659" i="3"/>
  <c r="Y659" i="3"/>
  <c r="T660" i="3"/>
  <c r="AB660" i="3"/>
  <c r="W661" i="3"/>
  <c r="R662" i="3"/>
  <c r="Z662" i="3"/>
  <c r="U663" i="3"/>
  <c r="AE663" i="3" s="1"/>
  <c r="P664" i="3"/>
  <c r="X664" i="3"/>
  <c r="S665" i="3"/>
  <c r="AA665" i="3"/>
  <c r="V666" i="3"/>
  <c r="Q667" i="3"/>
  <c r="Y667" i="3"/>
  <c r="T668" i="3"/>
  <c r="AB668" i="3"/>
  <c r="W669" i="3"/>
  <c r="R670" i="3"/>
  <c r="Z670" i="3"/>
  <c r="U671" i="3"/>
  <c r="AE671" i="3" s="1"/>
  <c r="P672" i="3"/>
  <c r="X672" i="3"/>
  <c r="S673" i="3"/>
  <c r="AA673" i="3"/>
  <c r="V674" i="3"/>
  <c r="Q675" i="3"/>
  <c r="Y675" i="3"/>
  <c r="T676" i="3"/>
  <c r="AB676" i="3"/>
  <c r="W677" i="3"/>
  <c r="R678" i="3"/>
  <c r="Z678" i="3"/>
  <c r="U679" i="3"/>
  <c r="AE679" i="3" s="1"/>
  <c r="P680" i="3"/>
  <c r="X680" i="3"/>
  <c r="S681" i="3"/>
  <c r="AA681" i="3"/>
  <c r="V682" i="3"/>
  <c r="Q683" i="3"/>
  <c r="Y683" i="3"/>
  <c r="T684" i="3"/>
  <c r="AB684" i="3"/>
  <c r="W685" i="3"/>
  <c r="R686" i="3"/>
  <c r="Z686" i="3"/>
  <c r="U687" i="3"/>
  <c r="AE687" i="3" s="1"/>
  <c r="P688" i="3"/>
  <c r="X688" i="3"/>
  <c r="S689" i="3"/>
  <c r="AA689" i="3"/>
  <c r="V690" i="3"/>
  <c r="Q691" i="3"/>
  <c r="Y691" i="3"/>
  <c r="T692" i="3"/>
  <c r="AB692" i="3"/>
  <c r="W693" i="3"/>
  <c r="R694" i="3"/>
  <c r="Z694" i="3"/>
  <c r="U695" i="3"/>
  <c r="AE695" i="3" s="1"/>
  <c r="P696" i="3"/>
  <c r="X696" i="3"/>
  <c r="S697" i="3"/>
  <c r="AA697" i="3"/>
  <c r="V698" i="3"/>
  <c r="Q699" i="3"/>
  <c r="Y699" i="3"/>
  <c r="T700" i="3"/>
  <c r="AB700" i="3"/>
  <c r="W701" i="3"/>
  <c r="R702" i="3"/>
  <c r="Z702" i="3"/>
  <c r="U703" i="3"/>
  <c r="AE703" i="3" s="1"/>
  <c r="P704" i="3"/>
  <c r="X704" i="3"/>
  <c r="S705" i="3"/>
  <c r="AA705" i="3"/>
  <c r="V706" i="3"/>
  <c r="Q707" i="3"/>
  <c r="Y707" i="3"/>
  <c r="T708" i="3"/>
  <c r="AB708" i="3"/>
  <c r="W709" i="3"/>
  <c r="R710" i="3"/>
  <c r="Z710" i="3"/>
  <c r="U711" i="3"/>
  <c r="P712" i="3"/>
  <c r="X712" i="3"/>
  <c r="S713" i="3"/>
  <c r="AA713" i="3"/>
  <c r="V714" i="3"/>
  <c r="Q715" i="3"/>
  <c r="Y715" i="3"/>
  <c r="T716" i="3"/>
  <c r="AB716" i="3"/>
  <c r="W717" i="3"/>
  <c r="R718" i="3"/>
  <c r="Z718" i="3"/>
  <c r="U719" i="3"/>
  <c r="AE719" i="3" s="1"/>
  <c r="P720" i="3"/>
  <c r="X720" i="3"/>
  <c r="S721" i="3"/>
  <c r="AA721" i="3"/>
  <c r="V722" i="3"/>
  <c r="Q723" i="3"/>
  <c r="Y723" i="3"/>
  <c r="T724" i="3"/>
  <c r="AB724" i="3"/>
  <c r="W725" i="3"/>
  <c r="R726" i="3"/>
  <c r="Z726" i="3"/>
  <c r="U727" i="3"/>
  <c r="AE727" i="3" s="1"/>
  <c r="P728" i="3"/>
  <c r="X728" i="3"/>
  <c r="S729" i="3"/>
  <c r="AA729" i="3"/>
  <c r="V730" i="3"/>
  <c r="Q731" i="3"/>
  <c r="Y731" i="3"/>
  <c r="T732" i="3"/>
  <c r="AB732" i="3"/>
  <c r="W733" i="3"/>
  <c r="R734" i="3"/>
  <c r="Z734" i="3"/>
  <c r="U735" i="3"/>
  <c r="AE735" i="3" s="1"/>
  <c r="P736" i="3"/>
  <c r="X736" i="3"/>
  <c r="S737" i="3"/>
  <c r="AA737" i="3"/>
  <c r="V738" i="3"/>
  <c r="Q739" i="3"/>
  <c r="Y739" i="3"/>
  <c r="T740" i="3"/>
  <c r="AB740" i="3"/>
  <c r="W741" i="3"/>
  <c r="R742" i="3"/>
  <c r="Z742" i="3"/>
  <c r="U743" i="3"/>
  <c r="AE743" i="3" s="1"/>
  <c r="P744" i="3"/>
  <c r="X744" i="3"/>
  <c r="S745" i="3"/>
  <c r="AA745" i="3"/>
  <c r="V746" i="3"/>
  <c r="Q747" i="3"/>
  <c r="Y747" i="3"/>
  <c r="T748" i="3"/>
  <c r="AB748" i="3"/>
  <c r="W749" i="3"/>
  <c r="R750" i="3"/>
  <c r="Z750" i="3"/>
  <c r="U751" i="3"/>
  <c r="AE751" i="3" s="1"/>
  <c r="P752" i="3"/>
  <c r="X752" i="3"/>
  <c r="S753" i="3"/>
  <c r="AA753" i="3"/>
  <c r="V754" i="3"/>
  <c r="Q755" i="3"/>
  <c r="Y755" i="3"/>
  <c r="T756" i="3"/>
  <c r="AB756" i="3"/>
  <c r="W757" i="3"/>
  <c r="R758" i="3"/>
  <c r="Z758" i="3"/>
  <c r="U759" i="3"/>
  <c r="AE759" i="3" s="1"/>
  <c r="P760" i="3"/>
  <c r="X760" i="3"/>
  <c r="S761" i="3"/>
  <c r="AA761" i="3"/>
  <c r="V762" i="3"/>
  <c r="Q763" i="3"/>
  <c r="Y763" i="3"/>
  <c r="T764" i="3"/>
  <c r="AB764" i="3"/>
  <c r="W765" i="3"/>
  <c r="R766" i="3"/>
  <c r="Z766" i="3"/>
  <c r="U767" i="3"/>
  <c r="AE767" i="3" s="1"/>
  <c r="P768" i="3"/>
  <c r="X768" i="3"/>
  <c r="S769" i="3"/>
  <c r="AA769" i="3"/>
  <c r="V770" i="3"/>
  <c r="Q771" i="3"/>
  <c r="Y771" i="3"/>
  <c r="T772" i="3"/>
  <c r="AB772" i="3"/>
  <c r="W773" i="3"/>
  <c r="R774" i="3"/>
  <c r="Z774" i="3"/>
  <c r="U775" i="3"/>
  <c r="AE775" i="3" s="1"/>
  <c r="P776" i="3"/>
  <c r="X776" i="3"/>
  <c r="S777" i="3"/>
  <c r="AA777" i="3"/>
  <c r="V778" i="3"/>
  <c r="Q779" i="3"/>
  <c r="Y779" i="3"/>
  <c r="T780" i="3"/>
  <c r="AB780" i="3"/>
  <c r="W781" i="3"/>
  <c r="R782" i="3"/>
  <c r="Z782" i="3"/>
  <c r="U783" i="3"/>
  <c r="AE783" i="3" s="1"/>
  <c r="P784" i="3"/>
  <c r="X784" i="3"/>
  <c r="S785" i="3"/>
  <c r="AA785" i="3"/>
  <c r="V786" i="3"/>
  <c r="Q787" i="3"/>
  <c r="Y787" i="3"/>
  <c r="T788" i="3"/>
  <c r="AB788" i="3"/>
  <c r="W789" i="3"/>
  <c r="R790" i="3"/>
  <c r="Z790" i="3"/>
  <c r="U791" i="3"/>
  <c r="AE791" i="3" s="1"/>
  <c r="P792" i="3"/>
  <c r="X792" i="3"/>
  <c r="S793" i="3"/>
  <c r="AA793" i="3"/>
  <c r="V794" i="3"/>
  <c r="Q795" i="3"/>
  <c r="Y795" i="3"/>
  <c r="T796" i="3"/>
  <c r="AB796" i="3"/>
  <c r="W797" i="3"/>
  <c r="R798" i="3"/>
  <c r="Z798" i="3"/>
  <c r="U799" i="3"/>
  <c r="P800" i="3"/>
  <c r="X800" i="3"/>
  <c r="S801" i="3"/>
  <c r="AA801" i="3"/>
  <c r="V802" i="3"/>
  <c r="Q803" i="3"/>
  <c r="Y803" i="3"/>
  <c r="T804" i="3"/>
  <c r="AB804" i="3"/>
  <c r="W805" i="3"/>
  <c r="R806" i="3"/>
  <c r="Z806" i="3"/>
  <c r="U807" i="3"/>
  <c r="AE807" i="3" s="1"/>
  <c r="P808" i="3"/>
  <c r="X808" i="3"/>
  <c r="S809" i="3"/>
  <c r="AA809" i="3"/>
  <c r="V810" i="3"/>
  <c r="Q811" i="3"/>
  <c r="Y811" i="3"/>
  <c r="T812" i="3"/>
  <c r="AB812" i="3"/>
  <c r="W813" i="3"/>
  <c r="AA334" i="3"/>
  <c r="S434" i="3"/>
  <c r="X473" i="3"/>
  <c r="R498" i="3"/>
  <c r="P508" i="3"/>
  <c r="AA517" i="3"/>
  <c r="Y527" i="3"/>
  <c r="W537" i="3"/>
  <c r="U547" i="3"/>
  <c r="AE547" i="3" s="1"/>
  <c r="S557" i="3"/>
  <c r="Q567" i="3"/>
  <c r="AA573" i="3"/>
  <c r="T576" i="3"/>
  <c r="Z578" i="3"/>
  <c r="S581" i="3"/>
  <c r="Y583" i="3"/>
  <c r="R586" i="3"/>
  <c r="X588" i="3"/>
  <c r="Q591" i="3"/>
  <c r="W593" i="3"/>
  <c r="P596" i="3"/>
  <c r="V598" i="3"/>
  <c r="AB600" i="3"/>
  <c r="U603" i="3"/>
  <c r="AE603" i="3" s="1"/>
  <c r="AA605" i="3"/>
  <c r="T608" i="3"/>
  <c r="Z610" i="3"/>
  <c r="S613" i="3"/>
  <c r="Y615" i="3"/>
  <c r="R618" i="3"/>
  <c r="X620" i="3"/>
  <c r="Q623" i="3"/>
  <c r="W625" i="3"/>
  <c r="P628" i="3"/>
  <c r="V630" i="3"/>
  <c r="AB632" i="3"/>
  <c r="U635" i="3"/>
  <c r="AE635" i="3" s="1"/>
  <c r="AA637" i="3"/>
  <c r="T640" i="3"/>
  <c r="Z642" i="3"/>
  <c r="S645" i="3"/>
  <c r="Y647" i="3"/>
  <c r="R650" i="3"/>
  <c r="Y651" i="3"/>
  <c r="U652" i="3"/>
  <c r="AE652" i="3" s="1"/>
  <c r="P653" i="3"/>
  <c r="X653" i="3"/>
  <c r="S654" i="3"/>
  <c r="AA654" i="3"/>
  <c r="V655" i="3"/>
  <c r="Q656" i="3"/>
  <c r="Y656" i="3"/>
  <c r="T657" i="3"/>
  <c r="AB657" i="3"/>
  <c r="W658" i="3"/>
  <c r="R659" i="3"/>
  <c r="Z659" i="3"/>
  <c r="U660" i="3"/>
  <c r="AE660" i="3" s="1"/>
  <c r="P661" i="3"/>
  <c r="X661" i="3"/>
  <c r="S662" i="3"/>
  <c r="AA662" i="3"/>
  <c r="V663" i="3"/>
  <c r="Q664" i="3"/>
  <c r="Y664" i="3"/>
  <c r="T665" i="3"/>
  <c r="AB665" i="3"/>
  <c r="W666" i="3"/>
  <c r="R667" i="3"/>
  <c r="Z667" i="3"/>
  <c r="U668" i="3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AE676" i="3" s="1"/>
  <c r="P677" i="3"/>
  <c r="Y355" i="3"/>
  <c r="R439" i="3"/>
  <c r="W478" i="3"/>
  <c r="U499" i="3"/>
  <c r="S509" i="3"/>
  <c r="Q519" i="3"/>
  <c r="AB528" i="3"/>
  <c r="Z538" i="3"/>
  <c r="X548" i="3"/>
  <c r="V558" i="3"/>
  <c r="T568" i="3"/>
  <c r="R574" i="3"/>
  <c r="X576" i="3"/>
  <c r="Q579" i="3"/>
  <c r="W581" i="3"/>
  <c r="P584" i="3"/>
  <c r="V586" i="3"/>
  <c r="AB588" i="3"/>
  <c r="U591" i="3"/>
  <c r="AE591" i="3" s="1"/>
  <c r="AA593" i="3"/>
  <c r="T596" i="3"/>
  <c r="Z598" i="3"/>
  <c r="S601" i="3"/>
  <c r="Y603" i="3"/>
  <c r="R606" i="3"/>
  <c r="X608" i="3"/>
  <c r="Q611" i="3"/>
  <c r="W613" i="3"/>
  <c r="P616" i="3"/>
  <c r="V618" i="3"/>
  <c r="AB620" i="3"/>
  <c r="U623" i="3"/>
  <c r="AE623" i="3" s="1"/>
  <c r="AA625" i="3"/>
  <c r="T628" i="3"/>
  <c r="Z630" i="3"/>
  <c r="S633" i="3"/>
  <c r="Y635" i="3"/>
  <c r="R638" i="3"/>
  <c r="X640" i="3"/>
  <c r="Q643" i="3"/>
  <c r="W645" i="3"/>
  <c r="P648" i="3"/>
  <c r="V650" i="3"/>
  <c r="Z651" i="3"/>
  <c r="V652" i="3"/>
  <c r="Q653" i="3"/>
  <c r="Y653" i="3"/>
  <c r="T654" i="3"/>
  <c r="AB654" i="3"/>
  <c r="W655" i="3"/>
  <c r="R656" i="3"/>
  <c r="Z656" i="3"/>
  <c r="U657" i="3"/>
  <c r="AE657" i="3" s="1"/>
  <c r="P658" i="3"/>
  <c r="X658" i="3"/>
  <c r="S659" i="3"/>
  <c r="AA659" i="3"/>
  <c r="V660" i="3"/>
  <c r="Q661" i="3"/>
  <c r="Y661" i="3"/>
  <c r="T662" i="3"/>
  <c r="AB662" i="3"/>
  <c r="W663" i="3"/>
  <c r="R664" i="3"/>
  <c r="Z664" i="3"/>
  <c r="U665" i="3"/>
  <c r="AE665" i="3" s="1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AE681" i="3" s="1"/>
  <c r="P682" i="3"/>
  <c r="X682" i="3"/>
  <c r="S683" i="3"/>
  <c r="AA683" i="3"/>
  <c r="V684" i="3"/>
  <c r="Q685" i="3"/>
  <c r="Y685" i="3"/>
  <c r="T686" i="3"/>
  <c r="AB686" i="3"/>
  <c r="W687" i="3"/>
  <c r="R688" i="3"/>
  <c r="Z688" i="3"/>
  <c r="U689" i="3"/>
  <c r="AE689" i="3" s="1"/>
  <c r="P690" i="3"/>
  <c r="X690" i="3"/>
  <c r="S691" i="3"/>
  <c r="AA691" i="3"/>
  <c r="V692" i="3"/>
  <c r="Q693" i="3"/>
  <c r="Y693" i="3"/>
  <c r="T694" i="3"/>
  <c r="AB694" i="3"/>
  <c r="W695" i="3"/>
  <c r="R696" i="3"/>
  <c r="Z696" i="3"/>
  <c r="U697" i="3"/>
  <c r="AE697" i="3" s="1"/>
  <c r="P698" i="3"/>
  <c r="X698" i="3"/>
  <c r="S699" i="3"/>
  <c r="AA699" i="3"/>
  <c r="V700" i="3"/>
  <c r="Q701" i="3"/>
  <c r="Y701" i="3"/>
  <c r="T702" i="3"/>
  <c r="AB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AE713" i="3" s="1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AE721" i="3" s="1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AE745" i="3" s="1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AE785" i="3" s="1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AE809" i="3" s="1"/>
  <c r="P810" i="3"/>
  <c r="X810" i="3"/>
  <c r="S811" i="3"/>
  <c r="AA811" i="3"/>
  <c r="V812" i="3"/>
  <c r="Q813" i="3"/>
  <c r="Y813" i="3"/>
  <c r="T814" i="3"/>
  <c r="U375" i="3"/>
  <c r="Q444" i="3"/>
  <c r="V483" i="3"/>
  <c r="X500" i="3"/>
  <c r="V510" i="3"/>
  <c r="T520" i="3"/>
  <c r="R530" i="3"/>
  <c r="P540" i="3"/>
  <c r="AA549" i="3"/>
  <c r="Y559" i="3"/>
  <c r="W569" i="3"/>
  <c r="V574" i="3"/>
  <c r="AB576" i="3"/>
  <c r="U579" i="3"/>
  <c r="AE579" i="3" s="1"/>
  <c r="AA581" i="3"/>
  <c r="T584" i="3"/>
  <c r="Z586" i="3"/>
  <c r="S589" i="3"/>
  <c r="Y591" i="3"/>
  <c r="R594" i="3"/>
  <c r="X596" i="3"/>
  <c r="Q599" i="3"/>
  <c r="W601" i="3"/>
  <c r="P604" i="3"/>
  <c r="V606" i="3"/>
  <c r="AB608" i="3"/>
  <c r="U611" i="3"/>
  <c r="AE611" i="3" s="1"/>
  <c r="AA613" i="3"/>
  <c r="T616" i="3"/>
  <c r="Z618" i="3"/>
  <c r="S621" i="3"/>
  <c r="Y623" i="3"/>
  <c r="R626" i="3"/>
  <c r="X628" i="3"/>
  <c r="Q631" i="3"/>
  <c r="W633" i="3"/>
  <c r="P636" i="3"/>
  <c r="V638" i="3"/>
  <c r="AB640" i="3"/>
  <c r="U643" i="3"/>
  <c r="AA645" i="3"/>
  <c r="T648" i="3"/>
  <c r="Z650" i="3"/>
  <c r="AA651" i="3"/>
  <c r="W652" i="3"/>
  <c r="R653" i="3"/>
  <c r="Z653" i="3"/>
  <c r="U654" i="3"/>
  <c r="AE654" i="3" s="1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AE662" i="3" s="1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AE670" i="3" s="1"/>
  <c r="P671" i="3"/>
  <c r="X671" i="3"/>
  <c r="S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AE686" i="3" s="1"/>
  <c r="P687" i="3"/>
  <c r="X687" i="3"/>
  <c r="S688" i="3"/>
  <c r="AA688" i="3"/>
  <c r="V689" i="3"/>
  <c r="Q690" i="3"/>
  <c r="Y690" i="3"/>
  <c r="T691" i="3"/>
  <c r="AB691" i="3"/>
  <c r="W692" i="3"/>
  <c r="R693" i="3"/>
  <c r="Z693" i="3"/>
  <c r="U694" i="3"/>
  <c r="AE694" i="3" s="1"/>
  <c r="P695" i="3"/>
  <c r="X695" i="3"/>
  <c r="S696" i="3"/>
  <c r="AA696" i="3"/>
  <c r="V697" i="3"/>
  <c r="Q698" i="3"/>
  <c r="Y698" i="3"/>
  <c r="T699" i="3"/>
  <c r="AB699" i="3"/>
  <c r="W700" i="3"/>
  <c r="R701" i="3"/>
  <c r="Z701" i="3"/>
  <c r="U702" i="3"/>
  <c r="P703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AE710" i="3" s="1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AE718" i="3" s="1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AE726" i="3" s="1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AE734" i="3" s="1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AE742" i="3" s="1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AE750" i="3" s="1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AE758" i="3" s="1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AE774" i="3" s="1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AE782" i="3" s="1"/>
  <c r="P783" i="3"/>
  <c r="X783" i="3"/>
  <c r="S784" i="3"/>
  <c r="AA784" i="3"/>
  <c r="V785" i="3"/>
  <c r="Q786" i="3"/>
  <c r="Y786" i="3"/>
  <c r="T787" i="3"/>
  <c r="AB787" i="3"/>
  <c r="W788" i="3"/>
  <c r="R789" i="3"/>
  <c r="Z789" i="3"/>
  <c r="U790" i="3"/>
  <c r="AE790" i="3" s="1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AE798" i="3" s="1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AE806" i="3" s="1"/>
  <c r="P807" i="3"/>
  <c r="X807" i="3"/>
  <c r="S808" i="3"/>
  <c r="AA808" i="3"/>
  <c r="V809" i="3"/>
  <c r="Q810" i="3"/>
  <c r="Y810" i="3"/>
  <c r="T811" i="3"/>
  <c r="AB811" i="3"/>
  <c r="W812" i="3"/>
  <c r="R813" i="3"/>
  <c r="Z813" i="3"/>
  <c r="U814" i="3"/>
  <c r="AE814" i="3" s="1"/>
  <c r="Q395" i="3"/>
  <c r="P449" i="3"/>
  <c r="U488" i="3"/>
  <c r="AE488" i="3" s="1"/>
  <c r="AA501" i="3"/>
  <c r="Y511" i="3"/>
  <c r="W521" i="3"/>
  <c r="U531" i="3"/>
  <c r="AE531" i="3" s="1"/>
  <c r="S541" i="3"/>
  <c r="Q551" i="3"/>
  <c r="AB560" i="3"/>
  <c r="Z570" i="3"/>
  <c r="Z574" i="3"/>
  <c r="S577" i="3"/>
  <c r="Y579" i="3"/>
  <c r="R582" i="3"/>
  <c r="X584" i="3"/>
  <c r="Q587" i="3"/>
  <c r="W589" i="3"/>
  <c r="P592" i="3"/>
  <c r="V594" i="3"/>
  <c r="AB596" i="3"/>
  <c r="U599" i="3"/>
  <c r="AE599" i="3" s="1"/>
  <c r="AA601" i="3"/>
  <c r="T604" i="3"/>
  <c r="Z606" i="3"/>
  <c r="S609" i="3"/>
  <c r="Y611" i="3"/>
  <c r="R614" i="3"/>
  <c r="X616" i="3"/>
  <c r="Q619" i="3"/>
  <c r="W621" i="3"/>
  <c r="P624" i="3"/>
  <c r="V626" i="3"/>
  <c r="AB628" i="3"/>
  <c r="U631" i="3"/>
  <c r="AE631" i="3" s="1"/>
  <c r="AA633" i="3"/>
  <c r="T636" i="3"/>
  <c r="Z638" i="3"/>
  <c r="S641" i="3"/>
  <c r="Y643" i="3"/>
  <c r="R646" i="3"/>
  <c r="X648" i="3"/>
  <c r="Q651" i="3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AE659" i="3" s="1"/>
  <c r="P660" i="3"/>
  <c r="X660" i="3"/>
  <c r="S661" i="3"/>
  <c r="AA661" i="3"/>
  <c r="V662" i="3"/>
  <c r="Q663" i="3"/>
  <c r="Y663" i="3"/>
  <c r="T664" i="3"/>
  <c r="AB664" i="3"/>
  <c r="W665" i="3"/>
  <c r="R666" i="3"/>
  <c r="Z666" i="3"/>
  <c r="U667" i="3"/>
  <c r="AE667" i="3" s="1"/>
  <c r="P668" i="3"/>
  <c r="X668" i="3"/>
  <c r="S669" i="3"/>
  <c r="AA669" i="3"/>
  <c r="V670" i="3"/>
  <c r="Q671" i="3"/>
  <c r="Y671" i="3"/>
  <c r="T672" i="3"/>
  <c r="AB672" i="3"/>
  <c r="W673" i="3"/>
  <c r="R674" i="3"/>
  <c r="Z674" i="3"/>
  <c r="U675" i="3"/>
  <c r="AE675" i="3" s="1"/>
  <c r="P676" i="3"/>
  <c r="X676" i="3"/>
  <c r="S677" i="3"/>
  <c r="AA677" i="3"/>
  <c r="V678" i="3"/>
  <c r="Q679" i="3"/>
  <c r="Y679" i="3"/>
  <c r="T680" i="3"/>
  <c r="AB680" i="3"/>
  <c r="W681" i="3"/>
  <c r="R682" i="3"/>
  <c r="Z682" i="3"/>
  <c r="U683" i="3"/>
  <c r="AE683" i="3" s="1"/>
  <c r="P684" i="3"/>
  <c r="X684" i="3"/>
  <c r="S685" i="3"/>
  <c r="AA685" i="3"/>
  <c r="V686" i="3"/>
  <c r="Q687" i="3"/>
  <c r="Y687" i="3"/>
  <c r="T688" i="3"/>
  <c r="AB688" i="3"/>
  <c r="W689" i="3"/>
  <c r="R690" i="3"/>
  <c r="Z690" i="3"/>
  <c r="U691" i="3"/>
  <c r="P692" i="3"/>
  <c r="X692" i="3"/>
  <c r="S693" i="3"/>
  <c r="AA693" i="3"/>
  <c r="V694" i="3"/>
  <c r="Q695" i="3"/>
  <c r="Y695" i="3"/>
  <c r="T696" i="3"/>
  <c r="AB696" i="3"/>
  <c r="W697" i="3"/>
  <c r="R698" i="3"/>
  <c r="Z698" i="3"/>
  <c r="U699" i="3"/>
  <c r="AE699" i="3" s="1"/>
  <c r="P700" i="3"/>
  <c r="X700" i="3"/>
  <c r="S701" i="3"/>
  <c r="AA701" i="3"/>
  <c r="V702" i="3"/>
  <c r="Q703" i="3"/>
  <c r="Y703" i="3"/>
  <c r="T704" i="3"/>
  <c r="AB704" i="3"/>
  <c r="W705" i="3"/>
  <c r="R706" i="3"/>
  <c r="Z706" i="3"/>
  <c r="U707" i="3"/>
  <c r="AE707" i="3" s="1"/>
  <c r="P708" i="3"/>
  <c r="X708" i="3"/>
  <c r="S709" i="3"/>
  <c r="AA709" i="3"/>
  <c r="V710" i="3"/>
  <c r="Q711" i="3"/>
  <c r="Y711" i="3"/>
  <c r="T712" i="3"/>
  <c r="AB712" i="3"/>
  <c r="W713" i="3"/>
  <c r="R714" i="3"/>
  <c r="Z714" i="3"/>
  <c r="U715" i="3"/>
  <c r="AE715" i="3" s="1"/>
  <c r="P716" i="3"/>
  <c r="X716" i="3"/>
  <c r="S717" i="3"/>
  <c r="AA717" i="3"/>
  <c r="V718" i="3"/>
  <c r="Q719" i="3"/>
  <c r="Y719" i="3"/>
  <c r="T720" i="3"/>
  <c r="AB720" i="3"/>
  <c r="W721" i="3"/>
  <c r="R722" i="3"/>
  <c r="Z722" i="3"/>
  <c r="U723" i="3"/>
  <c r="AE723" i="3" s="1"/>
  <c r="P724" i="3"/>
  <c r="X724" i="3"/>
  <c r="S725" i="3"/>
  <c r="AA725" i="3"/>
  <c r="V726" i="3"/>
  <c r="Q727" i="3"/>
  <c r="Y727" i="3"/>
  <c r="T728" i="3"/>
  <c r="AB728" i="3"/>
  <c r="W729" i="3"/>
  <c r="R730" i="3"/>
  <c r="Z730" i="3"/>
  <c r="U731" i="3"/>
  <c r="AE731" i="3" s="1"/>
  <c r="P732" i="3"/>
  <c r="X732" i="3"/>
  <c r="S733" i="3"/>
  <c r="AA733" i="3"/>
  <c r="V734" i="3"/>
  <c r="Q735" i="3"/>
  <c r="Y735" i="3"/>
  <c r="T736" i="3"/>
  <c r="AB736" i="3"/>
  <c r="W737" i="3"/>
  <c r="R738" i="3"/>
  <c r="Z738" i="3"/>
  <c r="U739" i="3"/>
  <c r="AE739" i="3" s="1"/>
  <c r="P740" i="3"/>
  <c r="X740" i="3"/>
  <c r="S741" i="3"/>
  <c r="AA741" i="3"/>
  <c r="V742" i="3"/>
  <c r="Q743" i="3"/>
  <c r="Y743" i="3"/>
  <c r="T744" i="3"/>
  <c r="AB744" i="3"/>
  <c r="W745" i="3"/>
  <c r="R746" i="3"/>
  <c r="Z746" i="3"/>
  <c r="U747" i="3"/>
  <c r="AE747" i="3" s="1"/>
  <c r="P748" i="3"/>
  <c r="X748" i="3"/>
  <c r="S749" i="3"/>
  <c r="AA749" i="3"/>
  <c r="V750" i="3"/>
  <c r="Q751" i="3"/>
  <c r="Y751" i="3"/>
  <c r="T752" i="3"/>
  <c r="AB752" i="3"/>
  <c r="W753" i="3"/>
  <c r="R754" i="3"/>
  <c r="Z754" i="3"/>
  <c r="U755" i="3"/>
  <c r="AE755" i="3" s="1"/>
  <c r="P756" i="3"/>
  <c r="X756" i="3"/>
  <c r="S757" i="3"/>
  <c r="AA757" i="3"/>
  <c r="V758" i="3"/>
  <c r="Q759" i="3"/>
  <c r="Y759" i="3"/>
  <c r="T760" i="3"/>
  <c r="AB760" i="3"/>
  <c r="W761" i="3"/>
  <c r="R762" i="3"/>
  <c r="Z762" i="3"/>
  <c r="U763" i="3"/>
  <c r="AE763" i="3" s="1"/>
  <c r="P764" i="3"/>
  <c r="X764" i="3"/>
  <c r="S765" i="3"/>
  <c r="AA765" i="3"/>
  <c r="V766" i="3"/>
  <c r="Q767" i="3"/>
  <c r="Y767" i="3"/>
  <c r="T768" i="3"/>
  <c r="AB768" i="3"/>
  <c r="W769" i="3"/>
  <c r="R770" i="3"/>
  <c r="Z770" i="3"/>
  <c r="U771" i="3"/>
  <c r="AE771" i="3" s="1"/>
  <c r="P772" i="3"/>
  <c r="X772" i="3"/>
  <c r="S773" i="3"/>
  <c r="AA773" i="3"/>
  <c r="V774" i="3"/>
  <c r="Q775" i="3"/>
  <c r="Y775" i="3"/>
  <c r="T776" i="3"/>
  <c r="AB776" i="3"/>
  <c r="W777" i="3"/>
  <c r="R778" i="3"/>
  <c r="Z778" i="3"/>
  <c r="U779" i="3"/>
  <c r="AE779" i="3" s="1"/>
  <c r="P780" i="3"/>
  <c r="X780" i="3"/>
  <c r="S781" i="3"/>
  <c r="AA781" i="3"/>
  <c r="V782" i="3"/>
  <c r="Q783" i="3"/>
  <c r="Y783" i="3"/>
  <c r="T784" i="3"/>
  <c r="AB784" i="3"/>
  <c r="W785" i="3"/>
  <c r="R786" i="3"/>
  <c r="Z786" i="3"/>
  <c r="U787" i="3"/>
  <c r="AE787" i="3" s="1"/>
  <c r="P788" i="3"/>
  <c r="X788" i="3"/>
  <c r="S789" i="3"/>
  <c r="AA789" i="3"/>
  <c r="V790" i="3"/>
  <c r="Q791" i="3"/>
  <c r="Y791" i="3"/>
  <c r="T792" i="3"/>
  <c r="AB792" i="3"/>
  <c r="W793" i="3"/>
  <c r="R794" i="3"/>
  <c r="Z794" i="3"/>
  <c r="U795" i="3"/>
  <c r="AE795" i="3" s="1"/>
  <c r="P796" i="3"/>
  <c r="X796" i="3"/>
  <c r="S797" i="3"/>
  <c r="AA797" i="3"/>
  <c r="V798" i="3"/>
  <c r="Q799" i="3"/>
  <c r="Y799" i="3"/>
  <c r="T800" i="3"/>
  <c r="AB800" i="3"/>
  <c r="W801" i="3"/>
  <c r="R802" i="3"/>
  <c r="Z802" i="3"/>
  <c r="U803" i="3"/>
  <c r="AE803" i="3" s="1"/>
  <c r="P804" i="3"/>
  <c r="X804" i="3"/>
  <c r="S805" i="3"/>
  <c r="AA805" i="3"/>
  <c r="V806" i="3"/>
  <c r="Q807" i="3"/>
  <c r="Y807" i="3"/>
  <c r="T808" i="3"/>
  <c r="AB808" i="3"/>
  <c r="W809" i="3"/>
  <c r="R810" i="3"/>
  <c r="Z810" i="3"/>
  <c r="U811" i="3"/>
  <c r="AE811" i="3" s="1"/>
  <c r="P812" i="3"/>
  <c r="X812" i="3"/>
  <c r="S813" i="3"/>
  <c r="AA813" i="3"/>
  <c r="V414" i="3"/>
  <c r="AB453" i="3"/>
  <c r="R493" i="3"/>
  <c r="Q503" i="3"/>
  <c r="AB512" i="3"/>
  <c r="Z522" i="3"/>
  <c r="X532" i="3"/>
  <c r="V542" i="3"/>
  <c r="T552" i="3"/>
  <c r="R562" i="3"/>
  <c r="P572" i="3"/>
  <c r="Q575" i="3"/>
  <c r="W577" i="3"/>
  <c r="P580" i="3"/>
  <c r="V582" i="3"/>
  <c r="AB584" i="3"/>
  <c r="U587" i="3"/>
  <c r="AA589" i="3"/>
  <c r="T592" i="3"/>
  <c r="Z594" i="3"/>
  <c r="S597" i="3"/>
  <c r="Y599" i="3"/>
  <c r="R602" i="3"/>
  <c r="X604" i="3"/>
  <c r="Q607" i="3"/>
  <c r="W609" i="3"/>
  <c r="P612" i="3"/>
  <c r="V614" i="3"/>
  <c r="AB616" i="3"/>
  <c r="U619" i="3"/>
  <c r="AE619" i="3" s="1"/>
  <c r="AA621" i="3"/>
  <c r="T624" i="3"/>
  <c r="Z626" i="3"/>
  <c r="S629" i="3"/>
  <c r="Y631" i="3"/>
  <c r="R634" i="3"/>
  <c r="X636" i="3"/>
  <c r="Q639" i="3"/>
  <c r="W641" i="3"/>
  <c r="P644" i="3"/>
  <c r="V646" i="3"/>
  <c r="AB648" i="3"/>
  <c r="R651" i="3"/>
  <c r="Q652" i="3"/>
  <c r="Y652" i="3"/>
  <c r="T653" i="3"/>
  <c r="AB653" i="3"/>
  <c r="W654" i="3"/>
  <c r="R655" i="3"/>
  <c r="Z655" i="3"/>
  <c r="U656" i="3"/>
  <c r="AE656" i="3" s="1"/>
  <c r="P657" i="3"/>
  <c r="X657" i="3"/>
  <c r="S658" i="3"/>
  <c r="AA658" i="3"/>
  <c r="V659" i="3"/>
  <c r="Q660" i="3"/>
  <c r="Y660" i="3"/>
  <c r="T661" i="3"/>
  <c r="AB661" i="3"/>
  <c r="W662" i="3"/>
  <c r="R663" i="3"/>
  <c r="Z663" i="3"/>
  <c r="U664" i="3"/>
  <c r="AE664" i="3" s="1"/>
  <c r="P665" i="3"/>
  <c r="X665" i="3"/>
  <c r="S666" i="3"/>
  <c r="AA666" i="3"/>
  <c r="V667" i="3"/>
  <c r="Q668" i="3"/>
  <c r="Y668" i="3"/>
  <c r="T669" i="3"/>
  <c r="AB669" i="3"/>
  <c r="W670" i="3"/>
  <c r="R671" i="3"/>
  <c r="Z671" i="3"/>
  <c r="U672" i="3"/>
  <c r="AE672" i="3" s="1"/>
  <c r="P673" i="3"/>
  <c r="X673" i="3"/>
  <c r="S674" i="3"/>
  <c r="AA674" i="3"/>
  <c r="V675" i="3"/>
  <c r="Q676" i="3"/>
  <c r="Y676" i="3"/>
  <c r="T677" i="3"/>
  <c r="V419" i="3"/>
  <c r="AA458" i="3"/>
  <c r="V494" i="3"/>
  <c r="T504" i="3"/>
  <c r="R514" i="3"/>
  <c r="P524" i="3"/>
  <c r="AA533" i="3"/>
  <c r="Y543" i="3"/>
  <c r="W553" i="3"/>
  <c r="U563" i="3"/>
  <c r="AE563" i="3" s="1"/>
  <c r="U572" i="3"/>
  <c r="AE572" i="3" s="1"/>
  <c r="U575" i="3"/>
  <c r="AE575" i="3" s="1"/>
  <c r="AA577" i="3"/>
  <c r="T580" i="3"/>
  <c r="Z582" i="3"/>
  <c r="S585" i="3"/>
  <c r="Y587" i="3"/>
  <c r="R590" i="3"/>
  <c r="X592" i="3"/>
  <c r="Q595" i="3"/>
  <c r="W597" i="3"/>
  <c r="P600" i="3"/>
  <c r="V602" i="3"/>
  <c r="AB604" i="3"/>
  <c r="U607" i="3"/>
  <c r="AE607" i="3" s="1"/>
  <c r="AA609" i="3"/>
  <c r="T612" i="3"/>
  <c r="Z614" i="3"/>
  <c r="S617" i="3"/>
  <c r="Y619" i="3"/>
  <c r="R622" i="3"/>
  <c r="X624" i="3"/>
  <c r="Q627" i="3"/>
  <c r="W629" i="3"/>
  <c r="P632" i="3"/>
  <c r="V634" i="3"/>
  <c r="AB636" i="3"/>
  <c r="U639" i="3"/>
  <c r="AE639" i="3" s="1"/>
  <c r="AA641" i="3"/>
  <c r="T644" i="3"/>
  <c r="Z646" i="3"/>
  <c r="S649" i="3"/>
  <c r="S651" i="3"/>
  <c r="R652" i="3"/>
  <c r="Z652" i="3"/>
  <c r="U653" i="3"/>
  <c r="AE653" i="3" s="1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Y665" i="3"/>
  <c r="T666" i="3"/>
  <c r="AB666" i="3"/>
  <c r="W667" i="3"/>
  <c r="R668" i="3"/>
  <c r="Z668" i="3"/>
  <c r="U669" i="3"/>
  <c r="AE669" i="3" s="1"/>
  <c r="P670" i="3"/>
  <c r="X670" i="3"/>
  <c r="S671" i="3"/>
  <c r="AA671" i="3"/>
  <c r="V672" i="3"/>
  <c r="Q673" i="3"/>
  <c r="Y673" i="3"/>
  <c r="T674" i="3"/>
  <c r="AB674" i="3"/>
  <c r="W675" i="3"/>
  <c r="R676" i="3"/>
  <c r="Z676" i="3"/>
  <c r="U677" i="3"/>
  <c r="AE677" i="3" s="1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AE685" i="3" s="1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AE693" i="3" s="1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AE701" i="3" s="1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AE717" i="3" s="1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AE725" i="3" s="1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AE733" i="3" s="1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AE741" i="3" s="1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AE749" i="3" s="1"/>
  <c r="P750" i="3"/>
  <c r="X750" i="3"/>
  <c r="S751" i="3"/>
  <c r="AA751" i="3"/>
  <c r="V752" i="3"/>
  <c r="Q753" i="3"/>
  <c r="Y753" i="3"/>
  <c r="T754" i="3"/>
  <c r="AB754" i="3"/>
  <c r="W755" i="3"/>
  <c r="R756" i="3"/>
  <c r="Z756" i="3"/>
  <c r="U757" i="3"/>
  <c r="AE757" i="3" s="1"/>
  <c r="P758" i="3"/>
  <c r="X758" i="3"/>
  <c r="S759" i="3"/>
  <c r="AA759" i="3"/>
  <c r="V760" i="3"/>
  <c r="Q761" i="3"/>
  <c r="Y761" i="3"/>
  <c r="T762" i="3"/>
  <c r="AB762" i="3"/>
  <c r="W763" i="3"/>
  <c r="R764" i="3"/>
  <c r="Z764" i="3"/>
  <c r="U765" i="3"/>
  <c r="P766" i="3"/>
  <c r="X766" i="3"/>
  <c r="S767" i="3"/>
  <c r="AA767" i="3"/>
  <c r="V768" i="3"/>
  <c r="Q769" i="3"/>
  <c r="Y769" i="3"/>
  <c r="T770" i="3"/>
  <c r="AB770" i="3"/>
  <c r="W771" i="3"/>
  <c r="R772" i="3"/>
  <c r="Z772" i="3"/>
  <c r="U773" i="3"/>
  <c r="AE773" i="3" s="1"/>
  <c r="P774" i="3"/>
  <c r="X774" i="3"/>
  <c r="S775" i="3"/>
  <c r="AA775" i="3"/>
  <c r="V776" i="3"/>
  <c r="Q777" i="3"/>
  <c r="Y777" i="3"/>
  <c r="T778" i="3"/>
  <c r="AB778" i="3"/>
  <c r="W779" i="3"/>
  <c r="R780" i="3"/>
  <c r="Z780" i="3"/>
  <c r="U781" i="3"/>
  <c r="AE781" i="3" s="1"/>
  <c r="P782" i="3"/>
  <c r="X782" i="3"/>
  <c r="S783" i="3"/>
  <c r="AA783" i="3"/>
  <c r="V784" i="3"/>
  <c r="Q785" i="3"/>
  <c r="Y785" i="3"/>
  <c r="T786" i="3"/>
  <c r="AB786" i="3"/>
  <c r="W787" i="3"/>
  <c r="R788" i="3"/>
  <c r="Z788" i="3"/>
  <c r="U789" i="3"/>
  <c r="AE789" i="3" s="1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AE797" i="3" s="1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AE805" i="3" s="1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AE813" i="3" s="1"/>
  <c r="P814" i="3"/>
  <c r="X814" i="3"/>
  <c r="U424" i="3"/>
  <c r="AE424" i="3" s="1"/>
  <c r="Z463" i="3"/>
  <c r="Y495" i="3"/>
  <c r="W505" i="3"/>
  <c r="U515" i="3"/>
  <c r="AE515" i="3" s="1"/>
  <c r="S525" i="3"/>
  <c r="Q535" i="3"/>
  <c r="AB544" i="3"/>
  <c r="Z554" i="3"/>
  <c r="X564" i="3"/>
  <c r="AB572" i="3"/>
  <c r="Y575" i="3"/>
  <c r="R578" i="3"/>
  <c r="X580" i="3"/>
  <c r="Q583" i="3"/>
  <c r="W585" i="3"/>
  <c r="P588" i="3"/>
  <c r="V590" i="3"/>
  <c r="AB592" i="3"/>
  <c r="U595" i="3"/>
  <c r="AE595" i="3" s="1"/>
  <c r="AA597" i="3"/>
  <c r="T600" i="3"/>
  <c r="Z602" i="3"/>
  <c r="S605" i="3"/>
  <c r="Y607" i="3"/>
  <c r="R610" i="3"/>
  <c r="X612" i="3"/>
  <c r="Q615" i="3"/>
  <c r="W617" i="3"/>
  <c r="P620" i="3"/>
  <c r="V622" i="3"/>
  <c r="AB624" i="3"/>
  <c r="U627" i="3"/>
  <c r="AE627" i="3" s="1"/>
  <c r="AA629" i="3"/>
  <c r="T632" i="3"/>
  <c r="Z634" i="3"/>
  <c r="S637" i="3"/>
  <c r="Y639" i="3"/>
  <c r="R642" i="3"/>
  <c r="X644" i="3"/>
  <c r="Q647" i="3"/>
  <c r="W649" i="3"/>
  <c r="U651" i="3"/>
  <c r="AE651" i="3" s="1"/>
  <c r="S652" i="3"/>
  <c r="AA652" i="3"/>
  <c r="V653" i="3"/>
  <c r="Q654" i="3"/>
  <c r="Y654" i="3"/>
  <c r="T655" i="3"/>
  <c r="AB655" i="3"/>
  <c r="W656" i="3"/>
  <c r="R657" i="3"/>
  <c r="Z657" i="3"/>
  <c r="U658" i="3"/>
  <c r="AE658" i="3" s="1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R673" i="3"/>
  <c r="Z673" i="3"/>
  <c r="U674" i="3"/>
  <c r="AE674" i="3" s="1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AE682" i="3" s="1"/>
  <c r="P683" i="3"/>
  <c r="X683" i="3"/>
  <c r="S684" i="3"/>
  <c r="AA684" i="3"/>
  <c r="V685" i="3"/>
  <c r="Q686" i="3"/>
  <c r="Y686" i="3"/>
  <c r="T687" i="3"/>
  <c r="AB687" i="3"/>
  <c r="W688" i="3"/>
  <c r="R689" i="3"/>
  <c r="Z689" i="3"/>
  <c r="U690" i="3"/>
  <c r="AE690" i="3" s="1"/>
  <c r="P691" i="3"/>
  <c r="X691" i="3"/>
  <c r="S692" i="3"/>
  <c r="AA692" i="3"/>
  <c r="V693" i="3"/>
  <c r="Q694" i="3"/>
  <c r="Y694" i="3"/>
  <c r="T695" i="3"/>
  <c r="AB695" i="3"/>
  <c r="W696" i="3"/>
  <c r="R697" i="3"/>
  <c r="Z697" i="3"/>
  <c r="U698" i="3"/>
  <c r="AE698" i="3" s="1"/>
  <c r="P699" i="3"/>
  <c r="X699" i="3"/>
  <c r="S700" i="3"/>
  <c r="AA700" i="3"/>
  <c r="V701" i="3"/>
  <c r="Q702" i="3"/>
  <c r="Y702" i="3"/>
  <c r="T703" i="3"/>
  <c r="AB703" i="3"/>
  <c r="W704" i="3"/>
  <c r="R705" i="3"/>
  <c r="Z705" i="3"/>
  <c r="U706" i="3"/>
  <c r="AE706" i="3" s="1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AE714" i="3" s="1"/>
  <c r="P715" i="3"/>
  <c r="X715" i="3"/>
  <c r="S716" i="3"/>
  <c r="AA716" i="3"/>
  <c r="V717" i="3"/>
  <c r="Q718" i="3"/>
  <c r="Y718" i="3"/>
  <c r="T719" i="3"/>
  <c r="AB719" i="3"/>
  <c r="W720" i="3"/>
  <c r="R721" i="3"/>
  <c r="Z721" i="3"/>
  <c r="U722" i="3"/>
  <c r="P723" i="3"/>
  <c r="X723" i="3"/>
  <c r="S724" i="3"/>
  <c r="AA724" i="3"/>
  <c r="V725" i="3"/>
  <c r="Q726" i="3"/>
  <c r="Y726" i="3"/>
  <c r="T727" i="3"/>
  <c r="AB727" i="3"/>
  <c r="W728" i="3"/>
  <c r="R729" i="3"/>
  <c r="Z729" i="3"/>
  <c r="U730" i="3"/>
  <c r="AE730" i="3" s="1"/>
  <c r="P731" i="3"/>
  <c r="X731" i="3"/>
  <c r="S732" i="3"/>
  <c r="AA732" i="3"/>
  <c r="V733" i="3"/>
  <c r="Q734" i="3"/>
  <c r="Y734" i="3"/>
  <c r="T735" i="3"/>
  <c r="AB735" i="3"/>
  <c r="W736" i="3"/>
  <c r="R737" i="3"/>
  <c r="Z737" i="3"/>
  <c r="U738" i="3"/>
  <c r="AE738" i="3" s="1"/>
  <c r="P739" i="3"/>
  <c r="X739" i="3"/>
  <c r="S740" i="3"/>
  <c r="AA740" i="3"/>
  <c r="V741" i="3"/>
  <c r="Q742" i="3"/>
  <c r="Y742" i="3"/>
  <c r="T743" i="3"/>
  <c r="AB743" i="3"/>
  <c r="W744" i="3"/>
  <c r="R745" i="3"/>
  <c r="Z745" i="3"/>
  <c r="U746" i="3"/>
  <c r="AE746" i="3" s="1"/>
  <c r="P747" i="3"/>
  <c r="X747" i="3"/>
  <c r="S748" i="3"/>
  <c r="AA748" i="3"/>
  <c r="V749" i="3"/>
  <c r="Q750" i="3"/>
  <c r="Y750" i="3"/>
  <c r="T751" i="3"/>
  <c r="AB751" i="3"/>
  <c r="W752" i="3"/>
  <c r="R753" i="3"/>
  <c r="Z753" i="3"/>
  <c r="U754" i="3"/>
  <c r="AE754" i="3" s="1"/>
  <c r="P755" i="3"/>
  <c r="X755" i="3"/>
  <c r="S756" i="3"/>
  <c r="AA756" i="3"/>
  <c r="V757" i="3"/>
  <c r="Q758" i="3"/>
  <c r="Y758" i="3"/>
  <c r="T759" i="3"/>
  <c r="AB759" i="3"/>
  <c r="W760" i="3"/>
  <c r="R761" i="3"/>
  <c r="Z761" i="3"/>
  <c r="U762" i="3"/>
  <c r="AE762" i="3" s="1"/>
  <c r="P763" i="3"/>
  <c r="X763" i="3"/>
  <c r="S764" i="3"/>
  <c r="AA764" i="3"/>
  <c r="V765" i="3"/>
  <c r="Q766" i="3"/>
  <c r="Y766" i="3"/>
  <c r="T767" i="3"/>
  <c r="AB767" i="3"/>
  <c r="W768" i="3"/>
  <c r="R769" i="3"/>
  <c r="Z769" i="3"/>
  <c r="U770" i="3"/>
  <c r="AE770" i="3" s="1"/>
  <c r="P771" i="3"/>
  <c r="X771" i="3"/>
  <c r="S772" i="3"/>
  <c r="AA772" i="3"/>
  <c r="V773" i="3"/>
  <c r="Q774" i="3"/>
  <c r="Y774" i="3"/>
  <c r="T775" i="3"/>
  <c r="AB775" i="3"/>
  <c r="W776" i="3"/>
  <c r="R777" i="3"/>
  <c r="Z777" i="3"/>
  <c r="U778" i="3"/>
  <c r="AE778" i="3" s="1"/>
  <c r="P779" i="3"/>
  <c r="X779" i="3"/>
  <c r="S780" i="3"/>
  <c r="AA780" i="3"/>
  <c r="V781" i="3"/>
  <c r="Q782" i="3"/>
  <c r="Y782" i="3"/>
  <c r="T783" i="3"/>
  <c r="AB783" i="3"/>
  <c r="W784" i="3"/>
  <c r="R785" i="3"/>
  <c r="Z785" i="3"/>
  <c r="U786" i="3"/>
  <c r="AE786" i="3" s="1"/>
  <c r="P787" i="3"/>
  <c r="X787" i="3"/>
  <c r="S788" i="3"/>
  <c r="AA788" i="3"/>
  <c r="V789" i="3"/>
  <c r="Q790" i="3"/>
  <c r="Y790" i="3"/>
  <c r="T791" i="3"/>
  <c r="AB791" i="3"/>
  <c r="W792" i="3"/>
  <c r="R793" i="3"/>
  <c r="Z793" i="3"/>
  <c r="U794" i="3"/>
  <c r="AE794" i="3" s="1"/>
  <c r="P795" i="3"/>
  <c r="X795" i="3"/>
  <c r="S796" i="3"/>
  <c r="AA796" i="3"/>
  <c r="V797" i="3"/>
  <c r="Q798" i="3"/>
  <c r="Y798" i="3"/>
  <c r="T799" i="3"/>
  <c r="AB799" i="3"/>
  <c r="W800" i="3"/>
  <c r="R801" i="3"/>
  <c r="Z801" i="3"/>
  <c r="U802" i="3"/>
  <c r="AE802" i="3" s="1"/>
  <c r="P803" i="3"/>
  <c r="X803" i="3"/>
  <c r="S804" i="3"/>
  <c r="AA804" i="3"/>
  <c r="V805" i="3"/>
  <c r="Q806" i="3"/>
  <c r="Y806" i="3"/>
  <c r="T807" i="3"/>
  <c r="AB807" i="3"/>
  <c r="W808" i="3"/>
  <c r="R809" i="3"/>
  <c r="Z809" i="3"/>
  <c r="U810" i="3"/>
  <c r="AE810" i="3" s="1"/>
  <c r="P811" i="3"/>
  <c r="X811" i="3"/>
  <c r="S812" i="3"/>
  <c r="AA812" i="3"/>
  <c r="V813" i="3"/>
  <c r="Q814" i="3"/>
  <c r="Y814" i="3"/>
  <c r="X677" i="3"/>
  <c r="Q680" i="3"/>
  <c r="W682" i="3"/>
  <c r="P685" i="3"/>
  <c r="V687" i="3"/>
  <c r="AB689" i="3"/>
  <c r="U692" i="3"/>
  <c r="AE692" i="3" s="1"/>
  <c r="AA694" i="3"/>
  <c r="T697" i="3"/>
  <c r="Z699" i="3"/>
  <c r="S702" i="3"/>
  <c r="Y704" i="3"/>
  <c r="R707" i="3"/>
  <c r="X709" i="3"/>
  <c r="Q712" i="3"/>
  <c r="W714" i="3"/>
  <c r="P717" i="3"/>
  <c r="V719" i="3"/>
  <c r="AB721" i="3"/>
  <c r="U724" i="3"/>
  <c r="AA726" i="3"/>
  <c r="T729" i="3"/>
  <c r="Z731" i="3"/>
  <c r="S734" i="3"/>
  <c r="Y736" i="3"/>
  <c r="R739" i="3"/>
  <c r="X741" i="3"/>
  <c r="Q744" i="3"/>
  <c r="W746" i="3"/>
  <c r="P749" i="3"/>
  <c r="V751" i="3"/>
  <c r="AB753" i="3"/>
  <c r="U756" i="3"/>
  <c r="AE756" i="3" s="1"/>
  <c r="AA758" i="3"/>
  <c r="T761" i="3"/>
  <c r="Z763" i="3"/>
  <c r="S766" i="3"/>
  <c r="Y768" i="3"/>
  <c r="R771" i="3"/>
  <c r="X773" i="3"/>
  <c r="Q776" i="3"/>
  <c r="W778" i="3"/>
  <c r="P781" i="3"/>
  <c r="V783" i="3"/>
  <c r="AB785" i="3"/>
  <c r="U788" i="3"/>
  <c r="AE788" i="3" s="1"/>
  <c r="AA790" i="3"/>
  <c r="T793" i="3"/>
  <c r="Z795" i="3"/>
  <c r="S798" i="3"/>
  <c r="Y800" i="3"/>
  <c r="R803" i="3"/>
  <c r="X805" i="3"/>
  <c r="Q808" i="3"/>
  <c r="W810" i="3"/>
  <c r="P813" i="3"/>
  <c r="Z814" i="3"/>
  <c r="U815" i="3"/>
  <c r="AE815" i="3" s="1"/>
  <c r="P816" i="3"/>
  <c r="X816" i="3"/>
  <c r="S817" i="3"/>
  <c r="AA817" i="3"/>
  <c r="V818" i="3"/>
  <c r="Q819" i="3"/>
  <c r="Y819" i="3"/>
  <c r="T820" i="3"/>
  <c r="AB820" i="3"/>
  <c r="W821" i="3"/>
  <c r="R822" i="3"/>
  <c r="Z822" i="3"/>
  <c r="U823" i="3"/>
  <c r="AE823" i="3" s="1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AE831" i="3" s="1"/>
  <c r="P832" i="3"/>
  <c r="X832" i="3"/>
  <c r="AB677" i="3"/>
  <c r="U680" i="3"/>
  <c r="AE680" i="3" s="1"/>
  <c r="AA682" i="3"/>
  <c r="T685" i="3"/>
  <c r="Z687" i="3"/>
  <c r="S690" i="3"/>
  <c r="Y692" i="3"/>
  <c r="R695" i="3"/>
  <c r="X697" i="3"/>
  <c r="Q700" i="3"/>
  <c r="W702" i="3"/>
  <c r="P705" i="3"/>
  <c r="V707" i="3"/>
  <c r="AB709" i="3"/>
  <c r="U712" i="3"/>
  <c r="AE712" i="3" s="1"/>
  <c r="AA714" i="3"/>
  <c r="T717" i="3"/>
  <c r="Z719" i="3"/>
  <c r="S722" i="3"/>
  <c r="Y724" i="3"/>
  <c r="R727" i="3"/>
  <c r="X729" i="3"/>
  <c r="Q732" i="3"/>
  <c r="W734" i="3"/>
  <c r="P737" i="3"/>
  <c r="V739" i="3"/>
  <c r="AB741" i="3"/>
  <c r="U744" i="3"/>
  <c r="AE744" i="3" s="1"/>
  <c r="AA746" i="3"/>
  <c r="T749" i="3"/>
  <c r="Z751" i="3"/>
  <c r="S754" i="3"/>
  <c r="Y756" i="3"/>
  <c r="R759" i="3"/>
  <c r="X761" i="3"/>
  <c r="Q764" i="3"/>
  <c r="W766" i="3"/>
  <c r="P769" i="3"/>
  <c r="V771" i="3"/>
  <c r="AB773" i="3"/>
  <c r="U776" i="3"/>
  <c r="AE776" i="3" s="1"/>
  <c r="AA778" i="3"/>
  <c r="T781" i="3"/>
  <c r="Z783" i="3"/>
  <c r="S786" i="3"/>
  <c r="Y788" i="3"/>
  <c r="R791" i="3"/>
  <c r="X793" i="3"/>
  <c r="Q796" i="3"/>
  <c r="W798" i="3"/>
  <c r="P801" i="3"/>
  <c r="V803" i="3"/>
  <c r="AB805" i="3"/>
  <c r="U808" i="3"/>
  <c r="AE808" i="3" s="1"/>
  <c r="AA810" i="3"/>
  <c r="T813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AE828" i="3" s="1"/>
  <c r="P829" i="3"/>
  <c r="X829" i="3"/>
  <c r="S830" i="3"/>
  <c r="AA830" i="3"/>
  <c r="V831" i="3"/>
  <c r="Q832" i="3"/>
  <c r="S678" i="3"/>
  <c r="Y680" i="3"/>
  <c r="R683" i="3"/>
  <c r="X685" i="3"/>
  <c r="Q688" i="3"/>
  <c r="W690" i="3"/>
  <c r="P693" i="3"/>
  <c r="V695" i="3"/>
  <c r="AB697" i="3"/>
  <c r="U700" i="3"/>
  <c r="AE700" i="3" s="1"/>
  <c r="AA702" i="3"/>
  <c r="T705" i="3"/>
  <c r="Z707" i="3"/>
  <c r="S710" i="3"/>
  <c r="Y712" i="3"/>
  <c r="R715" i="3"/>
  <c r="X717" i="3"/>
  <c r="Q720" i="3"/>
  <c r="W722" i="3"/>
  <c r="P725" i="3"/>
  <c r="V727" i="3"/>
  <c r="AB729" i="3"/>
  <c r="U732" i="3"/>
  <c r="AE732" i="3" s="1"/>
  <c r="AA734" i="3"/>
  <c r="T737" i="3"/>
  <c r="Z739" i="3"/>
  <c r="S742" i="3"/>
  <c r="Y744" i="3"/>
  <c r="R747" i="3"/>
  <c r="X749" i="3"/>
  <c r="Q752" i="3"/>
  <c r="W754" i="3"/>
  <c r="P757" i="3"/>
  <c r="V759" i="3"/>
  <c r="AB761" i="3"/>
  <c r="U764" i="3"/>
  <c r="AE764" i="3" s="1"/>
  <c r="AA766" i="3"/>
  <c r="T769" i="3"/>
  <c r="Z771" i="3"/>
  <c r="S774" i="3"/>
  <c r="Y776" i="3"/>
  <c r="R779" i="3"/>
  <c r="X781" i="3"/>
  <c r="Q784" i="3"/>
  <c r="W786" i="3"/>
  <c r="P789" i="3"/>
  <c r="V791" i="3"/>
  <c r="AB793" i="3"/>
  <c r="U796" i="3"/>
  <c r="AE796" i="3" s="1"/>
  <c r="AA798" i="3"/>
  <c r="T801" i="3"/>
  <c r="Z803" i="3"/>
  <c r="S806" i="3"/>
  <c r="Y808" i="3"/>
  <c r="R811" i="3"/>
  <c r="X813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W678" i="3"/>
  <c r="P681" i="3"/>
  <c r="V683" i="3"/>
  <c r="AB685" i="3"/>
  <c r="U688" i="3"/>
  <c r="AE688" i="3" s="1"/>
  <c r="AA690" i="3"/>
  <c r="T693" i="3"/>
  <c r="Z695" i="3"/>
  <c r="S698" i="3"/>
  <c r="Y700" i="3"/>
  <c r="R703" i="3"/>
  <c r="X705" i="3"/>
  <c r="Q708" i="3"/>
  <c r="W710" i="3"/>
  <c r="P713" i="3"/>
  <c r="V715" i="3"/>
  <c r="AB717" i="3"/>
  <c r="U720" i="3"/>
  <c r="AE720" i="3" s="1"/>
  <c r="AA722" i="3"/>
  <c r="T725" i="3"/>
  <c r="Z727" i="3"/>
  <c r="S730" i="3"/>
  <c r="Y732" i="3"/>
  <c r="R735" i="3"/>
  <c r="X737" i="3"/>
  <c r="Q740" i="3"/>
  <c r="W742" i="3"/>
  <c r="P745" i="3"/>
  <c r="V747" i="3"/>
  <c r="AB749" i="3"/>
  <c r="U752" i="3"/>
  <c r="AE752" i="3" s="1"/>
  <c r="AA754" i="3"/>
  <c r="T757" i="3"/>
  <c r="Z759" i="3"/>
  <c r="S762" i="3"/>
  <c r="Y764" i="3"/>
  <c r="R767" i="3"/>
  <c r="X769" i="3"/>
  <c r="Q772" i="3"/>
  <c r="W774" i="3"/>
  <c r="P777" i="3"/>
  <c r="V779" i="3"/>
  <c r="AB781" i="3"/>
  <c r="U784" i="3"/>
  <c r="AE784" i="3" s="1"/>
  <c r="AA786" i="3"/>
  <c r="T789" i="3"/>
  <c r="Z791" i="3"/>
  <c r="S794" i="3"/>
  <c r="Y796" i="3"/>
  <c r="R799" i="3"/>
  <c r="X801" i="3"/>
  <c r="Q804" i="3"/>
  <c r="W806" i="3"/>
  <c r="P809" i="3"/>
  <c r="V811" i="3"/>
  <c r="AB813" i="3"/>
  <c r="P815" i="3"/>
  <c r="X815" i="3"/>
  <c r="S816" i="3"/>
  <c r="AA816" i="3"/>
  <c r="V817" i="3"/>
  <c r="Q818" i="3"/>
  <c r="Y818" i="3"/>
  <c r="T819" i="3"/>
  <c r="AB819" i="3"/>
  <c r="W820" i="3"/>
  <c r="R821" i="3"/>
  <c r="Z821" i="3"/>
  <c r="U822" i="3"/>
  <c r="AE822" i="3" s="1"/>
  <c r="P823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AE830" i="3" s="1"/>
  <c r="AA678" i="3"/>
  <c r="T681" i="3"/>
  <c r="Z683" i="3"/>
  <c r="S686" i="3"/>
  <c r="Y688" i="3"/>
  <c r="R691" i="3"/>
  <c r="X693" i="3"/>
  <c r="Q696" i="3"/>
  <c r="W698" i="3"/>
  <c r="P701" i="3"/>
  <c r="V703" i="3"/>
  <c r="AB705" i="3"/>
  <c r="U708" i="3"/>
  <c r="AE708" i="3" s="1"/>
  <c r="AA710" i="3"/>
  <c r="T713" i="3"/>
  <c r="Z715" i="3"/>
  <c r="S718" i="3"/>
  <c r="Y720" i="3"/>
  <c r="R723" i="3"/>
  <c r="X725" i="3"/>
  <c r="Q728" i="3"/>
  <c r="W730" i="3"/>
  <c r="P733" i="3"/>
  <c r="V735" i="3"/>
  <c r="AB737" i="3"/>
  <c r="U740" i="3"/>
  <c r="AE740" i="3" s="1"/>
  <c r="AA742" i="3"/>
  <c r="T745" i="3"/>
  <c r="Z747" i="3"/>
  <c r="S750" i="3"/>
  <c r="Y752" i="3"/>
  <c r="R755" i="3"/>
  <c r="X757" i="3"/>
  <c r="Q760" i="3"/>
  <c r="W762" i="3"/>
  <c r="P765" i="3"/>
  <c r="V767" i="3"/>
  <c r="AB769" i="3"/>
  <c r="U772" i="3"/>
  <c r="AE772" i="3" s="1"/>
  <c r="AA774" i="3"/>
  <c r="T777" i="3"/>
  <c r="Z779" i="3"/>
  <c r="S782" i="3"/>
  <c r="Y784" i="3"/>
  <c r="R787" i="3"/>
  <c r="X789" i="3"/>
  <c r="Q792" i="3"/>
  <c r="W794" i="3"/>
  <c r="P797" i="3"/>
  <c r="V799" i="3"/>
  <c r="AB801" i="3"/>
  <c r="U804" i="3"/>
  <c r="AE804" i="3" s="1"/>
  <c r="AA806" i="3"/>
  <c r="T809" i="3"/>
  <c r="Z811" i="3"/>
  <c r="R814" i="3"/>
  <c r="Q815" i="3"/>
  <c r="Y815" i="3"/>
  <c r="T816" i="3"/>
  <c r="AB816" i="3"/>
  <c r="W817" i="3"/>
  <c r="R818" i="3"/>
  <c r="Z818" i="3"/>
  <c r="U819" i="3"/>
  <c r="AE819" i="3" s="1"/>
  <c r="P820" i="3"/>
  <c r="X820" i="3"/>
  <c r="S821" i="3"/>
  <c r="AA821" i="3"/>
  <c r="V822" i="3"/>
  <c r="Q823" i="3"/>
  <c r="Y823" i="3"/>
  <c r="T824" i="3"/>
  <c r="AB824" i="3"/>
  <c r="W825" i="3"/>
  <c r="R826" i="3"/>
  <c r="Z826" i="3"/>
  <c r="U827" i="3"/>
  <c r="AE827" i="3" s="1"/>
  <c r="P828" i="3"/>
  <c r="X828" i="3"/>
  <c r="S829" i="3"/>
  <c r="R679" i="3"/>
  <c r="X681" i="3"/>
  <c r="Q684" i="3"/>
  <c r="W686" i="3"/>
  <c r="P689" i="3"/>
  <c r="V691" i="3"/>
  <c r="AB693" i="3"/>
  <c r="U696" i="3"/>
  <c r="AE696" i="3" s="1"/>
  <c r="AA698" i="3"/>
  <c r="T701" i="3"/>
  <c r="Z703" i="3"/>
  <c r="S706" i="3"/>
  <c r="Y708" i="3"/>
  <c r="R711" i="3"/>
  <c r="X713" i="3"/>
  <c r="Q716" i="3"/>
  <c r="W718" i="3"/>
  <c r="P721" i="3"/>
  <c r="V723" i="3"/>
  <c r="AB725" i="3"/>
  <c r="U728" i="3"/>
  <c r="AE728" i="3" s="1"/>
  <c r="AA730" i="3"/>
  <c r="T733" i="3"/>
  <c r="Z735" i="3"/>
  <c r="S738" i="3"/>
  <c r="Y740" i="3"/>
  <c r="R743" i="3"/>
  <c r="X745" i="3"/>
  <c r="Q748" i="3"/>
  <c r="W750" i="3"/>
  <c r="P753" i="3"/>
  <c r="V755" i="3"/>
  <c r="AB757" i="3"/>
  <c r="U760" i="3"/>
  <c r="AE760" i="3" s="1"/>
  <c r="AA762" i="3"/>
  <c r="T765" i="3"/>
  <c r="Z767" i="3"/>
  <c r="S770" i="3"/>
  <c r="Y772" i="3"/>
  <c r="R775" i="3"/>
  <c r="X777" i="3"/>
  <c r="Q780" i="3"/>
  <c r="W782" i="3"/>
  <c r="P785" i="3"/>
  <c r="V787" i="3"/>
  <c r="AB789" i="3"/>
  <c r="U792" i="3"/>
  <c r="AE792" i="3" s="1"/>
  <c r="AA794" i="3"/>
  <c r="T797" i="3"/>
  <c r="Z799" i="3"/>
  <c r="S802" i="3"/>
  <c r="Y804" i="3"/>
  <c r="R807" i="3"/>
  <c r="X809" i="3"/>
  <c r="Q812" i="3"/>
  <c r="S814" i="3"/>
  <c r="R815" i="3"/>
  <c r="Z815" i="3"/>
  <c r="U816" i="3"/>
  <c r="AE816" i="3" s="1"/>
  <c r="P817" i="3"/>
  <c r="X817" i="3"/>
  <c r="S818" i="3"/>
  <c r="AA818" i="3"/>
  <c r="V819" i="3"/>
  <c r="Q820" i="3"/>
  <c r="Y820" i="3"/>
  <c r="T821" i="3"/>
  <c r="AB821" i="3"/>
  <c r="W822" i="3"/>
  <c r="V679" i="3"/>
  <c r="AB681" i="3"/>
  <c r="U684" i="3"/>
  <c r="AE684" i="3" s="1"/>
  <c r="AA686" i="3"/>
  <c r="T689" i="3"/>
  <c r="Z691" i="3"/>
  <c r="S694" i="3"/>
  <c r="Y696" i="3"/>
  <c r="R699" i="3"/>
  <c r="X701" i="3"/>
  <c r="Q704" i="3"/>
  <c r="W706" i="3"/>
  <c r="P709" i="3"/>
  <c r="V711" i="3"/>
  <c r="AB713" i="3"/>
  <c r="U716" i="3"/>
  <c r="AA718" i="3"/>
  <c r="T721" i="3"/>
  <c r="Z723" i="3"/>
  <c r="S726" i="3"/>
  <c r="Y728" i="3"/>
  <c r="R731" i="3"/>
  <c r="X733" i="3"/>
  <c r="Q736" i="3"/>
  <c r="W738" i="3"/>
  <c r="P741" i="3"/>
  <c r="V743" i="3"/>
  <c r="AB745" i="3"/>
  <c r="U748" i="3"/>
  <c r="AE748" i="3" s="1"/>
  <c r="AA750" i="3"/>
  <c r="T753" i="3"/>
  <c r="Z755" i="3"/>
  <c r="S758" i="3"/>
  <c r="Y760" i="3"/>
  <c r="R763" i="3"/>
  <c r="X765" i="3"/>
  <c r="Q768" i="3"/>
  <c r="W770" i="3"/>
  <c r="P773" i="3"/>
  <c r="V775" i="3"/>
  <c r="AB777" i="3"/>
  <c r="U780" i="3"/>
  <c r="AE780" i="3" s="1"/>
  <c r="AA782" i="3"/>
  <c r="T785" i="3"/>
  <c r="Z787" i="3"/>
  <c r="S790" i="3"/>
  <c r="Y792" i="3"/>
  <c r="R795" i="3"/>
  <c r="X797" i="3"/>
  <c r="Q800" i="3"/>
  <c r="W802" i="3"/>
  <c r="P805" i="3"/>
  <c r="V807" i="3"/>
  <c r="AB809" i="3"/>
  <c r="U812" i="3"/>
  <c r="AE812" i="3" s="1"/>
  <c r="V814" i="3"/>
  <c r="S815" i="3"/>
  <c r="AA815" i="3"/>
  <c r="V816" i="3"/>
  <c r="Q817" i="3"/>
  <c r="Y817" i="3"/>
  <c r="T818" i="3"/>
  <c r="AB818" i="3"/>
  <c r="W819" i="3"/>
  <c r="R820" i="3"/>
  <c r="Z820" i="3"/>
  <c r="U821" i="3"/>
  <c r="AE821" i="3" s="1"/>
  <c r="P822" i="3"/>
  <c r="X822" i="3"/>
  <c r="Z679" i="3"/>
  <c r="S682" i="3"/>
  <c r="Y684" i="3"/>
  <c r="R687" i="3"/>
  <c r="X689" i="3"/>
  <c r="Q692" i="3"/>
  <c r="W694" i="3"/>
  <c r="P697" i="3"/>
  <c r="V699" i="3"/>
  <c r="AB701" i="3"/>
  <c r="U704" i="3"/>
  <c r="AE704" i="3" s="1"/>
  <c r="AA706" i="3"/>
  <c r="T709" i="3"/>
  <c r="Z711" i="3"/>
  <c r="S714" i="3"/>
  <c r="Y716" i="3"/>
  <c r="R719" i="3"/>
  <c r="X721" i="3"/>
  <c r="Q724" i="3"/>
  <c r="W726" i="3"/>
  <c r="P729" i="3"/>
  <c r="V731" i="3"/>
  <c r="AB733" i="3"/>
  <c r="U736" i="3"/>
  <c r="AE736" i="3" s="1"/>
  <c r="AA738" i="3"/>
  <c r="T741" i="3"/>
  <c r="Z743" i="3"/>
  <c r="S746" i="3"/>
  <c r="Y748" i="3"/>
  <c r="R751" i="3"/>
  <c r="X753" i="3"/>
  <c r="Q756" i="3"/>
  <c r="W758" i="3"/>
  <c r="P761" i="3"/>
  <c r="V763" i="3"/>
  <c r="AB765" i="3"/>
  <c r="U768" i="3"/>
  <c r="AE768" i="3" s="1"/>
  <c r="AA770" i="3"/>
  <c r="T773" i="3"/>
  <c r="Z775" i="3"/>
  <c r="S778" i="3"/>
  <c r="Y780" i="3"/>
  <c r="R783" i="3"/>
  <c r="X785" i="3"/>
  <c r="Q788" i="3"/>
  <c r="W790" i="3"/>
  <c r="P793" i="3"/>
  <c r="V795" i="3"/>
  <c r="AB797" i="3"/>
  <c r="U800" i="3"/>
  <c r="AE800" i="3" s="1"/>
  <c r="AA802" i="3"/>
  <c r="T805" i="3"/>
  <c r="Z807" i="3"/>
  <c r="S810" i="3"/>
  <c r="Y812" i="3"/>
  <c r="W814" i="3"/>
  <c r="T815" i="3"/>
  <c r="AB815" i="3"/>
  <c r="W816" i="3"/>
  <c r="R817" i="3"/>
  <c r="Z817" i="3"/>
  <c r="U818" i="3"/>
  <c r="AE818" i="3" s="1"/>
  <c r="P819" i="3"/>
  <c r="X819" i="3"/>
  <c r="S820" i="3"/>
  <c r="AA820" i="3"/>
  <c r="V821" i="3"/>
  <c r="Q822" i="3"/>
  <c r="Y822" i="3"/>
  <c r="R823" i="3"/>
  <c r="W824" i="3"/>
  <c r="T826" i="3"/>
  <c r="Q828" i="3"/>
  <c r="V829" i="3"/>
  <c r="Y830" i="3"/>
  <c r="X831" i="3"/>
  <c r="U832" i="3"/>
  <c r="AE832" i="3" s="1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AE845" i="3" s="1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U901" i="3"/>
  <c r="AE901" i="3" s="1"/>
  <c r="P902" i="3"/>
  <c r="X902" i="3"/>
  <c r="S903" i="3"/>
  <c r="AA903" i="3"/>
  <c r="V904" i="3"/>
  <c r="Q905" i="3"/>
  <c r="Y905" i="3"/>
  <c r="T906" i="3"/>
  <c r="AB906" i="3"/>
  <c r="W907" i="3"/>
  <c r="R908" i="3"/>
  <c r="Z908" i="3"/>
  <c r="U909" i="3"/>
  <c r="AE909" i="3" s="1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AE925" i="3" s="1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823" i="3"/>
  <c r="P825" i="3"/>
  <c r="U826" i="3"/>
  <c r="AE826" i="3" s="1"/>
  <c r="R828" i="3"/>
  <c r="AA829" i="3"/>
  <c r="AB830" i="3"/>
  <c r="Y831" i="3"/>
  <c r="V832" i="3"/>
  <c r="R833" i="3"/>
  <c r="Z833" i="3"/>
  <c r="U834" i="3"/>
  <c r="AE834" i="3" s="1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AE842" i="3" s="1"/>
  <c r="P843" i="3"/>
  <c r="X843" i="3"/>
  <c r="S844" i="3"/>
  <c r="AA844" i="3"/>
  <c r="V845" i="3"/>
  <c r="Q846" i="3"/>
  <c r="Y846" i="3"/>
  <c r="T847" i="3"/>
  <c r="AB847" i="3"/>
  <c r="W848" i="3"/>
  <c r="R849" i="3"/>
  <c r="Z849" i="3"/>
  <c r="U850" i="3"/>
  <c r="AE850" i="3" s="1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AE858" i="3" s="1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AE866" i="3" s="1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AE874" i="3" s="1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AE882" i="3" s="1"/>
  <c r="P883" i="3"/>
  <c r="X883" i="3"/>
  <c r="S884" i="3"/>
  <c r="AA884" i="3"/>
  <c r="V885" i="3"/>
  <c r="Q886" i="3"/>
  <c r="Y886" i="3"/>
  <c r="T887" i="3"/>
  <c r="AB887" i="3"/>
  <c r="W888" i="3"/>
  <c r="R889" i="3"/>
  <c r="Z889" i="3"/>
  <c r="U890" i="3"/>
  <c r="AE890" i="3" s="1"/>
  <c r="P891" i="3"/>
  <c r="X891" i="3"/>
  <c r="S892" i="3"/>
  <c r="AA892" i="3"/>
  <c r="V893" i="3"/>
  <c r="Q894" i="3"/>
  <c r="Y894" i="3"/>
  <c r="T895" i="3"/>
  <c r="AB895" i="3"/>
  <c r="W896" i="3"/>
  <c r="R897" i="3"/>
  <c r="Z897" i="3"/>
  <c r="U898" i="3"/>
  <c r="AE898" i="3" s="1"/>
  <c r="P899" i="3"/>
  <c r="X899" i="3"/>
  <c r="S900" i="3"/>
  <c r="AA900" i="3"/>
  <c r="V901" i="3"/>
  <c r="Q902" i="3"/>
  <c r="Y902" i="3"/>
  <c r="T903" i="3"/>
  <c r="AB903" i="3"/>
  <c r="W904" i="3"/>
  <c r="R905" i="3"/>
  <c r="Z905" i="3"/>
  <c r="U906" i="3"/>
  <c r="AE906" i="3" s="1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AE930" i="3" s="1"/>
  <c r="P931" i="3"/>
  <c r="X931" i="3"/>
  <c r="S932" i="3"/>
  <c r="T823" i="3"/>
  <c r="Q825" i="3"/>
  <c r="AA826" i="3"/>
  <c r="S828" i="3"/>
  <c r="AB829" i="3"/>
  <c r="P831" i="3"/>
  <c r="Z831" i="3"/>
  <c r="W832" i="3"/>
  <c r="S833" i="3"/>
  <c r="AA833" i="3"/>
  <c r="V834" i="3"/>
  <c r="Q835" i="3"/>
  <c r="Y835" i="3"/>
  <c r="T836" i="3"/>
  <c r="AB836" i="3"/>
  <c r="W837" i="3"/>
  <c r="R838" i="3"/>
  <c r="Z838" i="3"/>
  <c r="U839" i="3"/>
  <c r="AE839" i="3" s="1"/>
  <c r="P840" i="3"/>
  <c r="X840" i="3"/>
  <c r="S841" i="3"/>
  <c r="AA841" i="3"/>
  <c r="V842" i="3"/>
  <c r="Q843" i="3"/>
  <c r="Y843" i="3"/>
  <c r="T844" i="3"/>
  <c r="AB844" i="3"/>
  <c r="W845" i="3"/>
  <c r="R846" i="3"/>
  <c r="Z846" i="3"/>
  <c r="U847" i="3"/>
  <c r="AE847" i="3" s="1"/>
  <c r="P848" i="3"/>
  <c r="X848" i="3"/>
  <c r="S849" i="3"/>
  <c r="AA849" i="3"/>
  <c r="V850" i="3"/>
  <c r="Q851" i="3"/>
  <c r="Y851" i="3"/>
  <c r="T852" i="3"/>
  <c r="AB852" i="3"/>
  <c r="W853" i="3"/>
  <c r="R854" i="3"/>
  <c r="Z854" i="3"/>
  <c r="U855" i="3"/>
  <c r="AE855" i="3" s="1"/>
  <c r="P856" i="3"/>
  <c r="X856" i="3"/>
  <c r="S857" i="3"/>
  <c r="AA857" i="3"/>
  <c r="V858" i="3"/>
  <c r="Q859" i="3"/>
  <c r="Y859" i="3"/>
  <c r="T860" i="3"/>
  <c r="AB860" i="3"/>
  <c r="W861" i="3"/>
  <c r="R862" i="3"/>
  <c r="Z862" i="3"/>
  <c r="U863" i="3"/>
  <c r="AE863" i="3" s="1"/>
  <c r="P864" i="3"/>
  <c r="X864" i="3"/>
  <c r="S865" i="3"/>
  <c r="AA865" i="3"/>
  <c r="V866" i="3"/>
  <c r="Q867" i="3"/>
  <c r="Y867" i="3"/>
  <c r="T868" i="3"/>
  <c r="AB868" i="3"/>
  <c r="W869" i="3"/>
  <c r="R870" i="3"/>
  <c r="Z870" i="3"/>
  <c r="U871" i="3"/>
  <c r="AE871" i="3" s="1"/>
  <c r="P872" i="3"/>
  <c r="X872" i="3"/>
  <c r="S873" i="3"/>
  <c r="AA873" i="3"/>
  <c r="V874" i="3"/>
  <c r="Q875" i="3"/>
  <c r="Y875" i="3"/>
  <c r="T876" i="3"/>
  <c r="AB876" i="3"/>
  <c r="W877" i="3"/>
  <c r="R878" i="3"/>
  <c r="Z878" i="3"/>
  <c r="U879" i="3"/>
  <c r="AE879" i="3" s="1"/>
  <c r="P880" i="3"/>
  <c r="X880" i="3"/>
  <c r="S881" i="3"/>
  <c r="AA881" i="3"/>
  <c r="V882" i="3"/>
  <c r="Q883" i="3"/>
  <c r="Y883" i="3"/>
  <c r="T884" i="3"/>
  <c r="AB884" i="3"/>
  <c r="W885" i="3"/>
  <c r="R886" i="3"/>
  <c r="Z886" i="3"/>
  <c r="U887" i="3"/>
  <c r="AE887" i="3" s="1"/>
  <c r="P888" i="3"/>
  <c r="X888" i="3"/>
  <c r="S889" i="3"/>
  <c r="AA889" i="3"/>
  <c r="V890" i="3"/>
  <c r="Q891" i="3"/>
  <c r="Y891" i="3"/>
  <c r="T892" i="3"/>
  <c r="AB892" i="3"/>
  <c r="W893" i="3"/>
  <c r="R894" i="3"/>
  <c r="Z894" i="3"/>
  <c r="U895" i="3"/>
  <c r="AE895" i="3" s="1"/>
  <c r="P896" i="3"/>
  <c r="X896" i="3"/>
  <c r="S897" i="3"/>
  <c r="AA897" i="3"/>
  <c r="V898" i="3"/>
  <c r="Q899" i="3"/>
  <c r="Y899" i="3"/>
  <c r="T900" i="3"/>
  <c r="AB900" i="3"/>
  <c r="W901" i="3"/>
  <c r="R902" i="3"/>
  <c r="Z902" i="3"/>
  <c r="U903" i="3"/>
  <c r="AE903" i="3" s="1"/>
  <c r="P904" i="3"/>
  <c r="X904" i="3"/>
  <c r="S905" i="3"/>
  <c r="AA905" i="3"/>
  <c r="V906" i="3"/>
  <c r="Q907" i="3"/>
  <c r="Y907" i="3"/>
  <c r="T908" i="3"/>
  <c r="AB908" i="3"/>
  <c r="W909" i="3"/>
  <c r="R910" i="3"/>
  <c r="Z910" i="3"/>
  <c r="U911" i="3"/>
  <c r="AE911" i="3" s="1"/>
  <c r="P912" i="3"/>
  <c r="X912" i="3"/>
  <c r="S913" i="3"/>
  <c r="AA913" i="3"/>
  <c r="V914" i="3"/>
  <c r="Q915" i="3"/>
  <c r="Y915" i="3"/>
  <c r="T916" i="3"/>
  <c r="AB916" i="3"/>
  <c r="W917" i="3"/>
  <c r="R918" i="3"/>
  <c r="Z918" i="3"/>
  <c r="U919" i="3"/>
  <c r="AE919" i="3" s="1"/>
  <c r="P920" i="3"/>
  <c r="X920" i="3"/>
  <c r="S921" i="3"/>
  <c r="AA921" i="3"/>
  <c r="V922" i="3"/>
  <c r="Q923" i="3"/>
  <c r="Y923" i="3"/>
  <c r="T924" i="3"/>
  <c r="AB924" i="3"/>
  <c r="W925" i="3"/>
  <c r="R926" i="3"/>
  <c r="Z926" i="3"/>
  <c r="U927" i="3"/>
  <c r="AE927" i="3" s="1"/>
  <c r="P928" i="3"/>
  <c r="X928" i="3"/>
  <c r="S929" i="3"/>
  <c r="AA929" i="3"/>
  <c r="V930" i="3"/>
  <c r="Z823" i="3"/>
  <c r="R825" i="3"/>
  <c r="AB826" i="3"/>
  <c r="Y828" i="3"/>
  <c r="P830" i="3"/>
  <c r="Q831" i="3"/>
  <c r="AA831" i="3"/>
  <c r="Y832" i="3"/>
  <c r="T833" i="3"/>
  <c r="AB833" i="3"/>
  <c r="W834" i="3"/>
  <c r="R835" i="3"/>
  <c r="Z835" i="3"/>
  <c r="U836" i="3"/>
  <c r="AE836" i="3" s="1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AE852" i="3" s="1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888" i="3"/>
  <c r="Y888" i="3"/>
  <c r="T889" i="3"/>
  <c r="AB889" i="3"/>
  <c r="W890" i="3"/>
  <c r="R891" i="3"/>
  <c r="Z891" i="3"/>
  <c r="U892" i="3"/>
  <c r="AE892" i="3" s="1"/>
  <c r="P893" i="3"/>
  <c r="X893" i="3"/>
  <c r="S894" i="3"/>
  <c r="AA894" i="3"/>
  <c r="V895" i="3"/>
  <c r="Q896" i="3"/>
  <c r="Y896" i="3"/>
  <c r="T897" i="3"/>
  <c r="AB897" i="3"/>
  <c r="W898" i="3"/>
  <c r="R899" i="3"/>
  <c r="Z899" i="3"/>
  <c r="U900" i="3"/>
  <c r="AE900" i="3" s="1"/>
  <c r="P901" i="3"/>
  <c r="X901" i="3"/>
  <c r="S902" i="3"/>
  <c r="AA902" i="3"/>
  <c r="V903" i="3"/>
  <c r="Q904" i="3"/>
  <c r="Y904" i="3"/>
  <c r="T905" i="3"/>
  <c r="AB905" i="3"/>
  <c r="W906" i="3"/>
  <c r="R907" i="3"/>
  <c r="Z907" i="3"/>
  <c r="U908" i="3"/>
  <c r="AE908" i="3" s="1"/>
  <c r="P909" i="3"/>
  <c r="X909" i="3"/>
  <c r="S910" i="3"/>
  <c r="AA910" i="3"/>
  <c r="V911" i="3"/>
  <c r="Q912" i="3"/>
  <c r="Y912" i="3"/>
  <c r="T913" i="3"/>
  <c r="AB913" i="3"/>
  <c r="W914" i="3"/>
  <c r="R915" i="3"/>
  <c r="Z915" i="3"/>
  <c r="U916" i="3"/>
  <c r="AE916" i="3" s="1"/>
  <c r="P917" i="3"/>
  <c r="X917" i="3"/>
  <c r="S918" i="3"/>
  <c r="AA918" i="3"/>
  <c r="V919" i="3"/>
  <c r="Q920" i="3"/>
  <c r="Y920" i="3"/>
  <c r="T921" i="3"/>
  <c r="AB921" i="3"/>
  <c r="W922" i="3"/>
  <c r="R923" i="3"/>
  <c r="Z923" i="3"/>
  <c r="U924" i="3"/>
  <c r="AE924" i="3" s="1"/>
  <c r="P925" i="3"/>
  <c r="X925" i="3"/>
  <c r="S926" i="3"/>
  <c r="AA926" i="3"/>
  <c r="V927" i="3"/>
  <c r="Q928" i="3"/>
  <c r="Y928" i="3"/>
  <c r="AA823" i="3"/>
  <c r="X825" i="3"/>
  <c r="P827" i="3"/>
  <c r="Z828" i="3"/>
  <c r="Q830" i="3"/>
  <c r="R831" i="3"/>
  <c r="AB831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AE841" i="3" s="1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AE889" i="3" s="1"/>
  <c r="P890" i="3"/>
  <c r="X890" i="3"/>
  <c r="S891" i="3"/>
  <c r="AA891" i="3"/>
  <c r="V892" i="3"/>
  <c r="Q893" i="3"/>
  <c r="Y893" i="3"/>
  <c r="T894" i="3"/>
  <c r="AB894" i="3"/>
  <c r="W895" i="3"/>
  <c r="R896" i="3"/>
  <c r="Z896" i="3"/>
  <c r="U897" i="3"/>
  <c r="AE897" i="3" s="1"/>
  <c r="P898" i="3"/>
  <c r="X898" i="3"/>
  <c r="S899" i="3"/>
  <c r="AA899" i="3"/>
  <c r="V900" i="3"/>
  <c r="Q901" i="3"/>
  <c r="Y901" i="3"/>
  <c r="T902" i="3"/>
  <c r="AB902" i="3"/>
  <c r="W903" i="3"/>
  <c r="R904" i="3"/>
  <c r="Z904" i="3"/>
  <c r="U905" i="3"/>
  <c r="AE905" i="3" s="1"/>
  <c r="P906" i="3"/>
  <c r="X906" i="3"/>
  <c r="S907" i="3"/>
  <c r="AA907" i="3"/>
  <c r="V908" i="3"/>
  <c r="Q909" i="3"/>
  <c r="Y909" i="3"/>
  <c r="T910" i="3"/>
  <c r="AB910" i="3"/>
  <c r="W911" i="3"/>
  <c r="R912" i="3"/>
  <c r="Z912" i="3"/>
  <c r="U913" i="3"/>
  <c r="AE913" i="3" s="1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AE921" i="3" s="1"/>
  <c r="P922" i="3"/>
  <c r="X922" i="3"/>
  <c r="S923" i="3"/>
  <c r="AA923" i="3"/>
  <c r="V924" i="3"/>
  <c r="AB823" i="3"/>
  <c r="Y825" i="3"/>
  <c r="V827" i="3"/>
  <c r="AA828" i="3"/>
  <c r="V830" i="3"/>
  <c r="S831" i="3"/>
  <c r="R832" i="3"/>
  <c r="AA832" i="3"/>
  <c r="V833" i="3"/>
  <c r="Q834" i="3"/>
  <c r="Y834" i="3"/>
  <c r="T835" i="3"/>
  <c r="AB835" i="3"/>
  <c r="W836" i="3"/>
  <c r="R837" i="3"/>
  <c r="Z837" i="3"/>
  <c r="U838" i="3"/>
  <c r="AE838" i="3" s="1"/>
  <c r="P839" i="3"/>
  <c r="X839" i="3"/>
  <c r="S840" i="3"/>
  <c r="AA840" i="3"/>
  <c r="V841" i="3"/>
  <c r="Q842" i="3"/>
  <c r="Y842" i="3"/>
  <c r="T843" i="3"/>
  <c r="AB843" i="3"/>
  <c r="W844" i="3"/>
  <c r="R845" i="3"/>
  <c r="Z845" i="3"/>
  <c r="U846" i="3"/>
  <c r="AE846" i="3" s="1"/>
  <c r="P847" i="3"/>
  <c r="X847" i="3"/>
  <c r="S848" i="3"/>
  <c r="AA848" i="3"/>
  <c r="V849" i="3"/>
  <c r="Q850" i="3"/>
  <c r="Y850" i="3"/>
  <c r="T851" i="3"/>
  <c r="AB851" i="3"/>
  <c r="W852" i="3"/>
  <c r="R853" i="3"/>
  <c r="Z853" i="3"/>
  <c r="U854" i="3"/>
  <c r="AE854" i="3" s="1"/>
  <c r="P855" i="3"/>
  <c r="X855" i="3"/>
  <c r="S856" i="3"/>
  <c r="AA856" i="3"/>
  <c r="V857" i="3"/>
  <c r="Q858" i="3"/>
  <c r="Y858" i="3"/>
  <c r="T859" i="3"/>
  <c r="AB859" i="3"/>
  <c r="W860" i="3"/>
  <c r="R861" i="3"/>
  <c r="Z861" i="3"/>
  <c r="U862" i="3"/>
  <c r="AE862" i="3" s="1"/>
  <c r="P863" i="3"/>
  <c r="X863" i="3"/>
  <c r="S864" i="3"/>
  <c r="AA864" i="3"/>
  <c r="V865" i="3"/>
  <c r="Q866" i="3"/>
  <c r="Y866" i="3"/>
  <c r="T867" i="3"/>
  <c r="AB867" i="3"/>
  <c r="W868" i="3"/>
  <c r="R869" i="3"/>
  <c r="Z869" i="3"/>
  <c r="U870" i="3"/>
  <c r="AE870" i="3" s="1"/>
  <c r="P871" i="3"/>
  <c r="X871" i="3"/>
  <c r="S872" i="3"/>
  <c r="AA872" i="3"/>
  <c r="V873" i="3"/>
  <c r="Q874" i="3"/>
  <c r="Y874" i="3"/>
  <c r="T875" i="3"/>
  <c r="AB875" i="3"/>
  <c r="W876" i="3"/>
  <c r="R877" i="3"/>
  <c r="Z877" i="3"/>
  <c r="U878" i="3"/>
  <c r="AE878" i="3" s="1"/>
  <c r="P879" i="3"/>
  <c r="X879" i="3"/>
  <c r="S880" i="3"/>
  <c r="AA880" i="3"/>
  <c r="V881" i="3"/>
  <c r="Q882" i="3"/>
  <c r="Y882" i="3"/>
  <c r="T883" i="3"/>
  <c r="AB883" i="3"/>
  <c r="W884" i="3"/>
  <c r="R885" i="3"/>
  <c r="Z885" i="3"/>
  <c r="U886" i="3"/>
  <c r="AE886" i="3" s="1"/>
  <c r="P887" i="3"/>
  <c r="X887" i="3"/>
  <c r="S888" i="3"/>
  <c r="AA888" i="3"/>
  <c r="V889" i="3"/>
  <c r="Q890" i="3"/>
  <c r="Y890" i="3"/>
  <c r="T891" i="3"/>
  <c r="AB891" i="3"/>
  <c r="W892" i="3"/>
  <c r="R893" i="3"/>
  <c r="Z893" i="3"/>
  <c r="U894" i="3"/>
  <c r="AE894" i="3" s="1"/>
  <c r="P895" i="3"/>
  <c r="X895" i="3"/>
  <c r="S896" i="3"/>
  <c r="AA896" i="3"/>
  <c r="V897" i="3"/>
  <c r="Q898" i="3"/>
  <c r="Y898" i="3"/>
  <c r="T899" i="3"/>
  <c r="AB899" i="3"/>
  <c r="W900" i="3"/>
  <c r="R901" i="3"/>
  <c r="Z901" i="3"/>
  <c r="U902" i="3"/>
  <c r="AE902" i="3" s="1"/>
  <c r="P903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U824" i="3"/>
  <c r="AE824" i="3" s="1"/>
  <c r="Z825" i="3"/>
  <c r="W827" i="3"/>
  <c r="T829" i="3"/>
  <c r="W830" i="3"/>
  <c r="T831" i="3"/>
  <c r="S832" i="3"/>
  <c r="AB832" i="3"/>
  <c r="W833" i="3"/>
  <c r="R834" i="3"/>
  <c r="Z834" i="3"/>
  <c r="U835" i="3"/>
  <c r="AE835" i="3" s="1"/>
  <c r="P836" i="3"/>
  <c r="X836" i="3"/>
  <c r="S837" i="3"/>
  <c r="AA837" i="3"/>
  <c r="V838" i="3"/>
  <c r="Q839" i="3"/>
  <c r="Y839" i="3"/>
  <c r="T840" i="3"/>
  <c r="AB840" i="3"/>
  <c r="W841" i="3"/>
  <c r="R842" i="3"/>
  <c r="Z842" i="3"/>
  <c r="U843" i="3"/>
  <c r="AE843" i="3" s="1"/>
  <c r="P844" i="3"/>
  <c r="X844" i="3"/>
  <c r="S845" i="3"/>
  <c r="AA845" i="3"/>
  <c r="V846" i="3"/>
  <c r="Q847" i="3"/>
  <c r="Y847" i="3"/>
  <c r="T848" i="3"/>
  <c r="AB848" i="3"/>
  <c r="W849" i="3"/>
  <c r="R850" i="3"/>
  <c r="Z850" i="3"/>
  <c r="U851" i="3"/>
  <c r="AE851" i="3" s="1"/>
  <c r="P852" i="3"/>
  <c r="X852" i="3"/>
  <c r="S853" i="3"/>
  <c r="AA853" i="3"/>
  <c r="V854" i="3"/>
  <c r="Q855" i="3"/>
  <c r="Y855" i="3"/>
  <c r="T856" i="3"/>
  <c r="AB856" i="3"/>
  <c r="W857" i="3"/>
  <c r="R858" i="3"/>
  <c r="Z858" i="3"/>
  <c r="U859" i="3"/>
  <c r="AE859" i="3" s="1"/>
  <c r="P860" i="3"/>
  <c r="X860" i="3"/>
  <c r="S861" i="3"/>
  <c r="AA861" i="3"/>
  <c r="V862" i="3"/>
  <c r="Q863" i="3"/>
  <c r="Y863" i="3"/>
  <c r="T864" i="3"/>
  <c r="AB864" i="3"/>
  <c r="W865" i="3"/>
  <c r="R866" i="3"/>
  <c r="Z866" i="3"/>
  <c r="U867" i="3"/>
  <c r="AE867" i="3" s="1"/>
  <c r="P868" i="3"/>
  <c r="X868" i="3"/>
  <c r="S869" i="3"/>
  <c r="AA869" i="3"/>
  <c r="V870" i="3"/>
  <c r="Q871" i="3"/>
  <c r="Y871" i="3"/>
  <c r="T872" i="3"/>
  <c r="AB872" i="3"/>
  <c r="W873" i="3"/>
  <c r="R874" i="3"/>
  <c r="Z874" i="3"/>
  <c r="U875" i="3"/>
  <c r="AE875" i="3" s="1"/>
  <c r="P876" i="3"/>
  <c r="X876" i="3"/>
  <c r="S877" i="3"/>
  <c r="AA877" i="3"/>
  <c r="V878" i="3"/>
  <c r="Q879" i="3"/>
  <c r="Y879" i="3"/>
  <c r="T880" i="3"/>
  <c r="AB880" i="3"/>
  <c r="W881" i="3"/>
  <c r="R882" i="3"/>
  <c r="Z882" i="3"/>
  <c r="U883" i="3"/>
  <c r="AE883" i="3" s="1"/>
  <c r="P884" i="3"/>
  <c r="X884" i="3"/>
  <c r="S885" i="3"/>
  <c r="AA885" i="3"/>
  <c r="V886" i="3"/>
  <c r="Q887" i="3"/>
  <c r="Y887" i="3"/>
  <c r="T888" i="3"/>
  <c r="AB888" i="3"/>
  <c r="W889" i="3"/>
  <c r="R890" i="3"/>
  <c r="Z890" i="3"/>
  <c r="U891" i="3"/>
  <c r="AE891" i="3" s="1"/>
  <c r="P892" i="3"/>
  <c r="X892" i="3"/>
  <c r="S893" i="3"/>
  <c r="AA893" i="3"/>
  <c r="V894" i="3"/>
  <c r="Q895" i="3"/>
  <c r="Y895" i="3"/>
  <c r="T896" i="3"/>
  <c r="AB896" i="3"/>
  <c r="W897" i="3"/>
  <c r="R898" i="3"/>
  <c r="Z898" i="3"/>
  <c r="U899" i="3"/>
  <c r="AE899" i="3" s="1"/>
  <c r="P900" i="3"/>
  <c r="X900" i="3"/>
  <c r="S901" i="3"/>
  <c r="AA901" i="3"/>
  <c r="V902" i="3"/>
  <c r="Q903" i="3"/>
  <c r="Y903" i="3"/>
  <c r="T904" i="3"/>
  <c r="AB904" i="3"/>
  <c r="W905" i="3"/>
  <c r="R906" i="3"/>
  <c r="Z906" i="3"/>
  <c r="U907" i="3"/>
  <c r="AE907" i="3" s="1"/>
  <c r="P908" i="3"/>
  <c r="X908" i="3"/>
  <c r="S909" i="3"/>
  <c r="AA909" i="3"/>
  <c r="V910" i="3"/>
  <c r="Q911" i="3"/>
  <c r="Y911" i="3"/>
  <c r="T912" i="3"/>
  <c r="AB912" i="3"/>
  <c r="W913" i="3"/>
  <c r="R914" i="3"/>
  <c r="Z914" i="3"/>
  <c r="U915" i="3"/>
  <c r="AE915" i="3" s="1"/>
  <c r="P916" i="3"/>
  <c r="X916" i="3"/>
  <c r="S917" i="3"/>
  <c r="AA917" i="3"/>
  <c r="V918" i="3"/>
  <c r="V824" i="3"/>
  <c r="S826" i="3"/>
  <c r="X827" i="3"/>
  <c r="U829" i="3"/>
  <c r="AE829" i="3" s="1"/>
  <c r="X830" i="3"/>
  <c r="W831" i="3"/>
  <c r="T832" i="3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AE848" i="3" s="1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AE864" i="3" s="1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AE872" i="3" s="1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AE888" i="3" s="1"/>
  <c r="P889" i="3"/>
  <c r="X889" i="3"/>
  <c r="S890" i="3"/>
  <c r="AA890" i="3"/>
  <c r="V891" i="3"/>
  <c r="Q892" i="3"/>
  <c r="Y892" i="3"/>
  <c r="T893" i="3"/>
  <c r="AB893" i="3"/>
  <c r="W894" i="3"/>
  <c r="R895" i="3"/>
  <c r="Z895" i="3"/>
  <c r="U896" i="3"/>
  <c r="AE896" i="3" s="1"/>
  <c r="P897" i="3"/>
  <c r="X897" i="3"/>
  <c r="S898" i="3"/>
  <c r="AA898" i="3"/>
  <c r="V899" i="3"/>
  <c r="Q900" i="3"/>
  <c r="Y900" i="3"/>
  <c r="T901" i="3"/>
  <c r="AB901" i="3"/>
  <c r="W902" i="3"/>
  <c r="R903" i="3"/>
  <c r="Z903" i="3"/>
  <c r="U904" i="3"/>
  <c r="AE904" i="3" s="1"/>
  <c r="P905" i="3"/>
  <c r="X905" i="3"/>
  <c r="S906" i="3"/>
  <c r="AA906" i="3"/>
  <c r="V907" i="3"/>
  <c r="Q908" i="3"/>
  <c r="Y908" i="3"/>
  <c r="T909" i="3"/>
  <c r="AB909" i="3"/>
  <c r="W910" i="3"/>
  <c r="R911" i="3"/>
  <c r="Z911" i="3"/>
  <c r="U912" i="3"/>
  <c r="AE912" i="3" s="1"/>
  <c r="P913" i="3"/>
  <c r="X913" i="3"/>
  <c r="S914" i="3"/>
  <c r="AA914" i="3"/>
  <c r="V915" i="3"/>
  <c r="Q916" i="3"/>
  <c r="Y916" i="3"/>
  <c r="T917" i="3"/>
  <c r="AB917" i="3"/>
  <c r="W918" i="3"/>
  <c r="R919" i="3"/>
  <c r="Q919" i="3"/>
  <c r="P921" i="3"/>
  <c r="Z922" i="3"/>
  <c r="W924" i="3"/>
  <c r="Z925" i="3"/>
  <c r="P927" i="3"/>
  <c r="S928" i="3"/>
  <c r="U929" i="3"/>
  <c r="AE929" i="3" s="1"/>
  <c r="S930" i="3"/>
  <c r="S931" i="3"/>
  <c r="P932" i="3"/>
  <c r="AA932" i="3"/>
  <c r="W933" i="3"/>
  <c r="S934" i="3"/>
  <c r="AB934" i="3"/>
  <c r="W935" i="3"/>
  <c r="R936" i="3"/>
  <c r="Z936" i="3"/>
  <c r="U937" i="3"/>
  <c r="AE937" i="3" s="1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AE945" i="3" s="1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AE993" i="3" s="1"/>
  <c r="P994" i="3"/>
  <c r="X994" i="3"/>
  <c r="S995" i="3"/>
  <c r="AA995" i="3"/>
  <c r="V996" i="3"/>
  <c r="Q997" i="3"/>
  <c r="Y997" i="3"/>
  <c r="T998" i="3"/>
  <c r="AB998" i="3"/>
  <c r="W999" i="3"/>
  <c r="Y919" i="3"/>
  <c r="V921" i="3"/>
  <c r="AA922" i="3"/>
  <c r="X924" i="3"/>
  <c r="AA925" i="3"/>
  <c r="Q927" i="3"/>
  <c r="T928" i="3"/>
  <c r="V929" i="3"/>
  <c r="W930" i="3"/>
  <c r="T931" i="3"/>
  <c r="Q932" i="3"/>
  <c r="AB932" i="3"/>
  <c r="X933" i="3"/>
  <c r="T934" i="3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AE950" i="3" s="1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AE998" i="3" s="1"/>
  <c r="P999" i="3"/>
  <c r="X999" i="3"/>
  <c r="Z919" i="3"/>
  <c r="W921" i="3"/>
  <c r="T923" i="3"/>
  <c r="Y924" i="3"/>
  <c r="AB925" i="3"/>
  <c r="R927" i="3"/>
  <c r="U928" i="3"/>
  <c r="AE928" i="3" s="1"/>
  <c r="W929" i="3"/>
  <c r="X930" i="3"/>
  <c r="U931" i="3"/>
  <c r="AE931" i="3" s="1"/>
  <c r="T932" i="3"/>
  <c r="P933" i="3"/>
  <c r="Y933" i="3"/>
  <c r="U934" i="3"/>
  <c r="AE934" i="3" s="1"/>
  <c r="Q935" i="3"/>
  <c r="Y935" i="3"/>
  <c r="T936" i="3"/>
  <c r="AB936" i="3"/>
  <c r="W937" i="3"/>
  <c r="R938" i="3"/>
  <c r="Z938" i="3"/>
  <c r="U939" i="3"/>
  <c r="AE939" i="3" s="1"/>
  <c r="P940" i="3"/>
  <c r="X940" i="3"/>
  <c r="S941" i="3"/>
  <c r="AA941" i="3"/>
  <c r="V942" i="3"/>
  <c r="Q943" i="3"/>
  <c r="Y943" i="3"/>
  <c r="T944" i="3"/>
  <c r="AB944" i="3"/>
  <c r="W945" i="3"/>
  <c r="R946" i="3"/>
  <c r="Z946" i="3"/>
  <c r="U947" i="3"/>
  <c r="AE947" i="3" s="1"/>
  <c r="P948" i="3"/>
  <c r="X948" i="3"/>
  <c r="S949" i="3"/>
  <c r="AA949" i="3"/>
  <c r="V950" i="3"/>
  <c r="Q951" i="3"/>
  <c r="Y951" i="3"/>
  <c r="T952" i="3"/>
  <c r="AB952" i="3"/>
  <c r="W953" i="3"/>
  <c r="R954" i="3"/>
  <c r="Z954" i="3"/>
  <c r="U955" i="3"/>
  <c r="AE955" i="3" s="1"/>
  <c r="P956" i="3"/>
  <c r="X956" i="3"/>
  <c r="S957" i="3"/>
  <c r="AA957" i="3"/>
  <c r="V958" i="3"/>
  <c r="Q959" i="3"/>
  <c r="Y959" i="3"/>
  <c r="T960" i="3"/>
  <c r="AB960" i="3"/>
  <c r="W961" i="3"/>
  <c r="R962" i="3"/>
  <c r="Z962" i="3"/>
  <c r="U963" i="3"/>
  <c r="AE963" i="3" s="1"/>
  <c r="P964" i="3"/>
  <c r="X964" i="3"/>
  <c r="S965" i="3"/>
  <c r="AA965" i="3"/>
  <c r="V966" i="3"/>
  <c r="Q967" i="3"/>
  <c r="Y967" i="3"/>
  <c r="T968" i="3"/>
  <c r="AB968" i="3"/>
  <c r="W969" i="3"/>
  <c r="R970" i="3"/>
  <c r="Z970" i="3"/>
  <c r="U971" i="3"/>
  <c r="AE971" i="3" s="1"/>
  <c r="P972" i="3"/>
  <c r="X972" i="3"/>
  <c r="S973" i="3"/>
  <c r="AA973" i="3"/>
  <c r="V974" i="3"/>
  <c r="Q975" i="3"/>
  <c r="Y975" i="3"/>
  <c r="T976" i="3"/>
  <c r="AB976" i="3"/>
  <c r="W977" i="3"/>
  <c r="R978" i="3"/>
  <c r="Z978" i="3"/>
  <c r="U979" i="3"/>
  <c r="AE979" i="3" s="1"/>
  <c r="P980" i="3"/>
  <c r="X980" i="3"/>
  <c r="S981" i="3"/>
  <c r="AA981" i="3"/>
  <c r="V982" i="3"/>
  <c r="Q983" i="3"/>
  <c r="Y983" i="3"/>
  <c r="T984" i="3"/>
  <c r="AB984" i="3"/>
  <c r="W985" i="3"/>
  <c r="R986" i="3"/>
  <c r="Z986" i="3"/>
  <c r="U987" i="3"/>
  <c r="AE987" i="3" s="1"/>
  <c r="P988" i="3"/>
  <c r="X988" i="3"/>
  <c r="S989" i="3"/>
  <c r="AA989" i="3"/>
  <c r="V990" i="3"/>
  <c r="Q991" i="3"/>
  <c r="Y991" i="3"/>
  <c r="T992" i="3"/>
  <c r="AB992" i="3"/>
  <c r="W993" i="3"/>
  <c r="R994" i="3"/>
  <c r="Z994" i="3"/>
  <c r="U995" i="3"/>
  <c r="AE995" i="3" s="1"/>
  <c r="P996" i="3"/>
  <c r="X996" i="3"/>
  <c r="S997" i="3"/>
  <c r="AA997" i="3"/>
  <c r="V998" i="3"/>
  <c r="Q999" i="3"/>
  <c r="Y999" i="3"/>
  <c r="S920" i="3"/>
  <c r="X921" i="3"/>
  <c r="U923" i="3"/>
  <c r="AE923" i="3" s="1"/>
  <c r="Q925" i="3"/>
  <c r="T926" i="3"/>
  <c r="W927" i="3"/>
  <c r="Z928" i="3"/>
  <c r="X929" i="3"/>
  <c r="Y930" i="3"/>
  <c r="V931" i="3"/>
  <c r="U932" i="3"/>
  <c r="AE932" i="3" s="1"/>
  <c r="Q933" i="3"/>
  <c r="Z933" i="3"/>
  <c r="V934" i="3"/>
  <c r="R935" i="3"/>
  <c r="Z935" i="3"/>
  <c r="U936" i="3"/>
  <c r="AE936" i="3" s="1"/>
  <c r="P937" i="3"/>
  <c r="X937" i="3"/>
  <c r="S938" i="3"/>
  <c r="AA938" i="3"/>
  <c r="V939" i="3"/>
  <c r="Q940" i="3"/>
  <c r="Y940" i="3"/>
  <c r="T941" i="3"/>
  <c r="AB941" i="3"/>
  <c r="W942" i="3"/>
  <c r="R943" i="3"/>
  <c r="Z943" i="3"/>
  <c r="U944" i="3"/>
  <c r="AE944" i="3" s="1"/>
  <c r="P945" i="3"/>
  <c r="X945" i="3"/>
  <c r="S946" i="3"/>
  <c r="AA946" i="3"/>
  <c r="V947" i="3"/>
  <c r="Q948" i="3"/>
  <c r="Y948" i="3"/>
  <c r="T949" i="3"/>
  <c r="AB949" i="3"/>
  <c r="W950" i="3"/>
  <c r="R951" i="3"/>
  <c r="Z951" i="3"/>
  <c r="U952" i="3"/>
  <c r="AE952" i="3" s="1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Q964" i="3"/>
  <c r="Y964" i="3"/>
  <c r="T965" i="3"/>
  <c r="AB965" i="3"/>
  <c r="W966" i="3"/>
  <c r="R967" i="3"/>
  <c r="Z967" i="3"/>
  <c r="U968" i="3"/>
  <c r="AE968" i="3" s="1"/>
  <c r="P969" i="3"/>
  <c r="X969" i="3"/>
  <c r="S970" i="3"/>
  <c r="AA970" i="3"/>
  <c r="V971" i="3"/>
  <c r="Q972" i="3"/>
  <c r="Y972" i="3"/>
  <c r="T973" i="3"/>
  <c r="AB973" i="3"/>
  <c r="W974" i="3"/>
  <c r="R975" i="3"/>
  <c r="Z975" i="3"/>
  <c r="U976" i="3"/>
  <c r="AE976" i="3" s="1"/>
  <c r="P977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AE984" i="3" s="1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AE992" i="3" s="1"/>
  <c r="P993" i="3"/>
  <c r="X993" i="3"/>
  <c r="S994" i="3"/>
  <c r="AA994" i="3"/>
  <c r="V995" i="3"/>
  <c r="Q996" i="3"/>
  <c r="Y996" i="3"/>
  <c r="T997" i="3"/>
  <c r="AB997" i="3"/>
  <c r="W998" i="3"/>
  <c r="R999" i="3"/>
  <c r="Z999" i="3"/>
  <c r="T920" i="3"/>
  <c r="Q922" i="3"/>
  <c r="V923" i="3"/>
  <c r="R925" i="3"/>
  <c r="U926" i="3"/>
  <c r="AE926" i="3" s="1"/>
  <c r="X927" i="3"/>
  <c r="AA928" i="3"/>
  <c r="AB929" i="3"/>
  <c r="Z930" i="3"/>
  <c r="Y931" i="3"/>
  <c r="V932" i="3"/>
  <c r="R933" i="3"/>
  <c r="AA933" i="3"/>
  <c r="W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AE949" i="3" s="1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AE957" i="3" s="1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AE965" i="3" s="1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AE973" i="3" s="1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AE997" i="3" s="1"/>
  <c r="P998" i="3"/>
  <c r="X998" i="3"/>
  <c r="S999" i="3"/>
  <c r="AA999" i="3"/>
  <c r="U920" i="3"/>
  <c r="AE920" i="3" s="1"/>
  <c r="R922" i="3"/>
  <c r="AB923" i="3"/>
  <c r="S925" i="3"/>
  <c r="V926" i="3"/>
  <c r="Y927" i="3"/>
  <c r="AB928" i="3"/>
  <c r="P930" i="3"/>
  <c r="AA930" i="3"/>
  <c r="Z931" i="3"/>
  <c r="W932" i="3"/>
  <c r="S933" i="3"/>
  <c r="AB933" i="3"/>
  <c r="Y934" i="3"/>
  <c r="T935" i="3"/>
  <c r="AB935" i="3"/>
  <c r="W936" i="3"/>
  <c r="R937" i="3"/>
  <c r="Z937" i="3"/>
  <c r="U938" i="3"/>
  <c r="AE938" i="3" s="1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AE946" i="3" s="1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Q998" i="3"/>
  <c r="Y998" i="3"/>
  <c r="T999" i="3"/>
  <c r="AB999" i="3"/>
  <c r="AA920" i="3"/>
  <c r="S922" i="3"/>
  <c r="P924" i="3"/>
  <c r="T925" i="3"/>
  <c r="W926" i="3"/>
  <c r="Z927" i="3"/>
  <c r="P929" i="3"/>
  <c r="Q930" i="3"/>
  <c r="Q931" i="3"/>
  <c r="AA931" i="3"/>
  <c r="X932" i="3"/>
  <c r="T933" i="3"/>
  <c r="Q934" i="3"/>
  <c r="Z934" i="3"/>
  <c r="U935" i="3"/>
  <c r="AE935" i="3" s="1"/>
  <c r="P936" i="3"/>
  <c r="X936" i="3"/>
  <c r="S937" i="3"/>
  <c r="AA937" i="3"/>
  <c r="V938" i="3"/>
  <c r="Q939" i="3"/>
  <c r="Y939" i="3"/>
  <c r="T940" i="3"/>
  <c r="AB940" i="3"/>
  <c r="W941" i="3"/>
  <c r="R942" i="3"/>
  <c r="Z942" i="3"/>
  <c r="U943" i="3"/>
  <c r="AE943" i="3" s="1"/>
  <c r="P944" i="3"/>
  <c r="X944" i="3"/>
  <c r="S945" i="3"/>
  <c r="AA945" i="3"/>
  <c r="V946" i="3"/>
  <c r="Q947" i="3"/>
  <c r="Y947" i="3"/>
  <c r="T948" i="3"/>
  <c r="AB948" i="3"/>
  <c r="W949" i="3"/>
  <c r="R950" i="3"/>
  <c r="Z950" i="3"/>
  <c r="U951" i="3"/>
  <c r="AE951" i="3" s="1"/>
  <c r="P952" i="3"/>
  <c r="X952" i="3"/>
  <c r="S953" i="3"/>
  <c r="AA953" i="3"/>
  <c r="V954" i="3"/>
  <c r="Q955" i="3"/>
  <c r="Y955" i="3"/>
  <c r="T956" i="3"/>
  <c r="AB956" i="3"/>
  <c r="W957" i="3"/>
  <c r="R958" i="3"/>
  <c r="Z958" i="3"/>
  <c r="U959" i="3"/>
  <c r="AE959" i="3" s="1"/>
  <c r="P960" i="3"/>
  <c r="X960" i="3"/>
  <c r="S961" i="3"/>
  <c r="AA961" i="3"/>
  <c r="V962" i="3"/>
  <c r="Q963" i="3"/>
  <c r="Y963" i="3"/>
  <c r="T964" i="3"/>
  <c r="AB964" i="3"/>
  <c r="W965" i="3"/>
  <c r="R966" i="3"/>
  <c r="Z966" i="3"/>
  <c r="U967" i="3"/>
  <c r="AE967" i="3" s="1"/>
  <c r="P968" i="3"/>
  <c r="X968" i="3"/>
  <c r="S969" i="3"/>
  <c r="AA969" i="3"/>
  <c r="V970" i="3"/>
  <c r="Q971" i="3"/>
  <c r="Y971" i="3"/>
  <c r="T972" i="3"/>
  <c r="AB972" i="3"/>
  <c r="W973" i="3"/>
  <c r="R974" i="3"/>
  <c r="Z974" i="3"/>
  <c r="U975" i="3"/>
  <c r="AE975" i="3" s="1"/>
  <c r="P976" i="3"/>
  <c r="X976" i="3"/>
  <c r="S977" i="3"/>
  <c r="AA977" i="3"/>
  <c r="V978" i="3"/>
  <c r="Q979" i="3"/>
  <c r="Y979" i="3"/>
  <c r="T980" i="3"/>
  <c r="AB980" i="3"/>
  <c r="W981" i="3"/>
  <c r="R982" i="3"/>
  <c r="Z982" i="3"/>
  <c r="U983" i="3"/>
  <c r="AE983" i="3" s="1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AE991" i="3" s="1"/>
  <c r="P992" i="3"/>
  <c r="X992" i="3"/>
  <c r="S993" i="3"/>
  <c r="AA993" i="3"/>
  <c r="V994" i="3"/>
  <c r="Q995" i="3"/>
  <c r="Y995" i="3"/>
  <c r="T996" i="3"/>
  <c r="AB996" i="3"/>
  <c r="W997" i="3"/>
  <c r="R998" i="3"/>
  <c r="Z998" i="3"/>
  <c r="U999" i="3"/>
  <c r="AE999" i="3" s="1"/>
  <c r="AB920" i="3"/>
  <c r="Y922" i="3"/>
  <c r="Q924" i="3"/>
  <c r="Y925" i="3"/>
  <c r="AB926" i="3"/>
  <c r="R928" i="3"/>
  <c r="T929" i="3"/>
  <c r="R930" i="3"/>
  <c r="R931" i="3"/>
  <c r="AB931" i="3"/>
  <c r="Y932" i="3"/>
  <c r="V933" i="3"/>
  <c r="R934" i="3"/>
  <c r="AA934" i="3"/>
  <c r="V935" i="3"/>
  <c r="Q936" i="3"/>
  <c r="Y936" i="3"/>
  <c r="T937" i="3"/>
  <c r="AB937" i="3"/>
  <c r="W938" i="3"/>
  <c r="R939" i="3"/>
  <c r="Z939" i="3"/>
  <c r="U940" i="3"/>
  <c r="AE940" i="3" s="1"/>
  <c r="P941" i="3"/>
  <c r="X941" i="3"/>
  <c r="S942" i="3"/>
  <c r="AA942" i="3"/>
  <c r="V943" i="3"/>
  <c r="Q944" i="3"/>
  <c r="Y944" i="3"/>
  <c r="T945" i="3"/>
  <c r="AB945" i="3"/>
  <c r="W946" i="3"/>
  <c r="R947" i="3"/>
  <c r="Z947" i="3"/>
  <c r="U948" i="3"/>
  <c r="AE948" i="3" s="1"/>
  <c r="P949" i="3"/>
  <c r="X949" i="3"/>
  <c r="S950" i="3"/>
  <c r="AA950" i="3"/>
  <c r="V951" i="3"/>
  <c r="Q952" i="3"/>
  <c r="Y952" i="3"/>
  <c r="T953" i="3"/>
  <c r="AB953" i="3"/>
  <c r="W954" i="3"/>
  <c r="R955" i="3"/>
  <c r="Z955" i="3"/>
  <c r="U956" i="3"/>
  <c r="AE956" i="3" s="1"/>
  <c r="P957" i="3"/>
  <c r="X957" i="3"/>
  <c r="S958" i="3"/>
  <c r="AA958" i="3"/>
  <c r="V959" i="3"/>
  <c r="Q960" i="3"/>
  <c r="Y960" i="3"/>
  <c r="T961" i="3"/>
  <c r="AB961" i="3"/>
  <c r="W962" i="3"/>
  <c r="R963" i="3"/>
  <c r="Z963" i="3"/>
  <c r="U964" i="3"/>
  <c r="AE964" i="3" s="1"/>
  <c r="P965" i="3"/>
  <c r="X965" i="3"/>
  <c r="S966" i="3"/>
  <c r="AA966" i="3"/>
  <c r="V967" i="3"/>
  <c r="Q968" i="3"/>
  <c r="Y968" i="3"/>
  <c r="T969" i="3"/>
  <c r="AB969" i="3"/>
  <c r="W970" i="3"/>
  <c r="R971" i="3"/>
  <c r="Z971" i="3"/>
  <c r="U972" i="3"/>
  <c r="AE972" i="3" s="1"/>
  <c r="P973" i="3"/>
  <c r="X973" i="3"/>
  <c r="S974" i="3"/>
  <c r="AA974" i="3"/>
  <c r="V975" i="3"/>
  <c r="Q976" i="3"/>
  <c r="Y976" i="3"/>
  <c r="T977" i="3"/>
  <c r="AB977" i="3"/>
  <c r="W978" i="3"/>
  <c r="R979" i="3"/>
  <c r="Z979" i="3"/>
  <c r="U980" i="3"/>
  <c r="AE980" i="3" s="1"/>
  <c r="P981" i="3"/>
  <c r="X981" i="3"/>
  <c r="S982" i="3"/>
  <c r="AA982" i="3"/>
  <c r="V983" i="3"/>
  <c r="Q984" i="3"/>
  <c r="Y984" i="3"/>
  <c r="T985" i="3"/>
  <c r="AB985" i="3"/>
  <c r="W986" i="3"/>
  <c r="R987" i="3"/>
  <c r="Z987" i="3"/>
  <c r="U988" i="3"/>
  <c r="AE988" i="3" s="1"/>
  <c r="P989" i="3"/>
  <c r="X989" i="3"/>
  <c r="S990" i="3"/>
  <c r="AA990" i="3"/>
  <c r="V991" i="3"/>
  <c r="Q992" i="3"/>
  <c r="Y992" i="3"/>
  <c r="T993" i="3"/>
  <c r="AB993" i="3"/>
  <c r="W994" i="3"/>
  <c r="R995" i="3"/>
  <c r="Z995" i="3"/>
  <c r="U996" i="3"/>
  <c r="AE996" i="3" s="1"/>
  <c r="P997" i="3"/>
  <c r="X997" i="3"/>
  <c r="S998" i="3"/>
  <c r="AA998" i="3"/>
  <c r="V999" i="3"/>
  <c r="AE18" i="3"/>
  <c r="AE41" i="3"/>
  <c r="AE37" i="3"/>
  <c r="AE34" i="3"/>
  <c r="AE13" i="3"/>
  <c r="AE92" i="3"/>
  <c r="AE97" i="3"/>
  <c r="AE107" i="3"/>
  <c r="AE215" i="3"/>
  <c r="AE256" i="3"/>
  <c r="AE236" i="3"/>
  <c r="AE208" i="3"/>
  <c r="AE306" i="3"/>
  <c r="AE303" i="3"/>
  <c r="AE270" i="3"/>
  <c r="AE358" i="3"/>
  <c r="AE283" i="3"/>
  <c r="AE411" i="3"/>
  <c r="AE450" i="3"/>
  <c r="AE499" i="3"/>
  <c r="AE494" i="3"/>
  <c r="AE564" i="3"/>
  <c r="AE536" i="3"/>
  <c r="AE17" i="3"/>
  <c r="AE15" i="3"/>
  <c r="AE40" i="3"/>
  <c r="AE85" i="3"/>
  <c r="AE139" i="3"/>
  <c r="AE144" i="3"/>
  <c r="AE124" i="3"/>
  <c r="AE132" i="3"/>
  <c r="AE184" i="3"/>
  <c r="AE202" i="3"/>
  <c r="AE212" i="3"/>
  <c r="AE214" i="3"/>
  <c r="AE129" i="3"/>
  <c r="AE235" i="3"/>
  <c r="AE281" i="3"/>
  <c r="AE361" i="3"/>
  <c r="AE221" i="3"/>
  <c r="AE347" i="3"/>
  <c r="AE426" i="3"/>
  <c r="AE316" i="3"/>
  <c r="AE415" i="3"/>
  <c r="AE423" i="3"/>
  <c r="AE524" i="3"/>
  <c r="AE691" i="3"/>
  <c r="AE199" i="3"/>
  <c r="AE344" i="3"/>
  <c r="AE457" i="3"/>
  <c r="AE799" i="3"/>
  <c r="AE716" i="3"/>
  <c r="AE7" i="3"/>
  <c r="AE39" i="3"/>
  <c r="AE47" i="3"/>
  <c r="AE55" i="3"/>
  <c r="AE8" i="3"/>
  <c r="AE24" i="3"/>
  <c r="AE48" i="3"/>
  <c r="AE53" i="3"/>
  <c r="AE38" i="3"/>
  <c r="AE54" i="3"/>
  <c r="AE72" i="3"/>
  <c r="AE11" i="3"/>
  <c r="AE69" i="3"/>
  <c r="AE10" i="3"/>
  <c r="AE58" i="3"/>
  <c r="AE82" i="3"/>
  <c r="AE20" i="3"/>
  <c r="AE71" i="3"/>
  <c r="AE14" i="3"/>
  <c r="AE30" i="3"/>
  <c r="AE68" i="3"/>
  <c r="AE50" i="3"/>
  <c r="AE62" i="3"/>
  <c r="AE70" i="3"/>
  <c r="AE35" i="3"/>
  <c r="AE94" i="3"/>
  <c r="AE110" i="3"/>
  <c r="AE91" i="3"/>
  <c r="AE51" i="3"/>
  <c r="AE88" i="3"/>
  <c r="AE104" i="3"/>
  <c r="AE98" i="3"/>
  <c r="AE75" i="3"/>
  <c r="AE87" i="3"/>
  <c r="AE95" i="3"/>
  <c r="AE111" i="3"/>
  <c r="AE84" i="3"/>
  <c r="AE135" i="3"/>
  <c r="AE151" i="3"/>
  <c r="AE113" i="3"/>
  <c r="AE156" i="3"/>
  <c r="AE93" i="3"/>
  <c r="AE153" i="3"/>
  <c r="AE123" i="3"/>
  <c r="AE147" i="3"/>
  <c r="AE136" i="3"/>
  <c r="AE81" i="3"/>
  <c r="AE109" i="3"/>
  <c r="AE141" i="3"/>
  <c r="AE142" i="3"/>
  <c r="AE175" i="3"/>
  <c r="AE183" i="3"/>
  <c r="AE191" i="3"/>
  <c r="AE130" i="3"/>
  <c r="AE180" i="3"/>
  <c r="AE185" i="3"/>
  <c r="AE150" i="3"/>
  <c r="AE163" i="3"/>
  <c r="AE171" i="3"/>
  <c r="AE146" i="3"/>
  <c r="AE200" i="3"/>
  <c r="AE165" i="3"/>
  <c r="AE189" i="3"/>
  <c r="AE44" i="3"/>
  <c r="AE219" i="3"/>
  <c r="AE267" i="3"/>
  <c r="AE224" i="3"/>
  <c r="AE232" i="3"/>
  <c r="AE248" i="3"/>
  <c r="AE280" i="3"/>
  <c r="AE190" i="3"/>
  <c r="AE237" i="3"/>
  <c r="AE231" i="3"/>
  <c r="AE263" i="3"/>
  <c r="AE279" i="3"/>
  <c r="AE228" i="3"/>
  <c r="AE244" i="3"/>
  <c r="AE252" i="3"/>
  <c r="AE225" i="3"/>
  <c r="AE249" i="3"/>
  <c r="AE265" i="3"/>
  <c r="AE274" i="3"/>
  <c r="AE299" i="3"/>
  <c r="AE307" i="3"/>
  <c r="AE331" i="3"/>
  <c r="AE339" i="3"/>
  <c r="AE355" i="3"/>
  <c r="AE296" i="3"/>
  <c r="AE320" i="3"/>
  <c r="AE336" i="3"/>
  <c r="AE352" i="3"/>
  <c r="AE195" i="3"/>
  <c r="AE333" i="3"/>
  <c r="AE365" i="3"/>
  <c r="AE178" i="3"/>
  <c r="AE290" i="3"/>
  <c r="AE327" i="3"/>
  <c r="AE289" i="3"/>
  <c r="AE308" i="3"/>
  <c r="AE332" i="3"/>
  <c r="AE266" i="3"/>
  <c r="AE337" i="3"/>
  <c r="AE122" i="3"/>
  <c r="AE238" i="3"/>
  <c r="AE371" i="3"/>
  <c r="AE419" i="3"/>
  <c r="AE443" i="3"/>
  <c r="AE376" i="3"/>
  <c r="AE389" i="3"/>
  <c r="AE405" i="3"/>
  <c r="AE375" i="3"/>
  <c r="AE399" i="3"/>
  <c r="AE439" i="3"/>
  <c r="AE203" i="3"/>
  <c r="AE326" i="3"/>
  <c r="AE372" i="3"/>
  <c r="AE388" i="3"/>
  <c r="AE444" i="3"/>
  <c r="AE314" i="3"/>
  <c r="AE377" i="3"/>
  <c r="AE401" i="3"/>
  <c r="AE441" i="3"/>
  <c r="AE452" i="3"/>
  <c r="AE500" i="3"/>
  <c r="AE497" i="3"/>
  <c r="AE513" i="3"/>
  <c r="AE378" i="3"/>
  <c r="AE454" i="3"/>
  <c r="AE453" i="3"/>
  <c r="AE461" i="3"/>
  <c r="AE509" i="3"/>
  <c r="AE490" i="3"/>
  <c r="AE430" i="3"/>
  <c r="AE382" i="3"/>
  <c r="AE549" i="3"/>
  <c r="AE522" i="3"/>
  <c r="AE578" i="3"/>
  <c r="AE548" i="3"/>
  <c r="AE487" i="3"/>
  <c r="AE520" i="3"/>
  <c r="AE561" i="3"/>
  <c r="AE398" i="3"/>
  <c r="AE526" i="3"/>
  <c r="AE534" i="3"/>
  <c r="AE558" i="3"/>
  <c r="AE629" i="3"/>
  <c r="AE511" i="3"/>
  <c r="AE646" i="3"/>
  <c r="AE414" i="3"/>
  <c r="AE643" i="3"/>
  <c r="R17" i="1"/>
  <c r="AE463" i="3"/>
  <c r="AE620" i="3"/>
  <c r="AE711" i="3"/>
  <c r="AE724" i="3"/>
  <c r="AE587" i="3"/>
  <c r="AE604" i="3"/>
  <c r="AE668" i="3"/>
  <c r="AE624" i="3"/>
  <c r="AE765" i="3"/>
  <c r="AE702" i="3"/>
  <c r="AE766" i="3"/>
  <c r="AE722" i="3"/>
  <c r="AG7" i="3" l="1"/>
  <c r="AH878" i="3"/>
  <c r="AG879" i="3"/>
  <c r="AD991" i="3"/>
  <c r="N991" i="3"/>
  <c r="O991" i="3"/>
  <c r="AD982" i="3"/>
  <c r="O982" i="3"/>
  <c r="N982" i="3"/>
  <c r="AD969" i="3"/>
  <c r="N969" i="3"/>
  <c r="O969" i="3"/>
  <c r="AG895" i="3"/>
  <c r="AH894" i="3"/>
  <c r="AG938" i="3"/>
  <c r="AH937" i="3"/>
  <c r="AD929" i="3"/>
  <c r="O929" i="3"/>
  <c r="N929" i="3"/>
  <c r="AH986" i="3"/>
  <c r="AG987" i="3"/>
  <c r="AD939" i="3"/>
  <c r="O939" i="3"/>
  <c r="N939" i="3"/>
  <c r="AH958" i="3"/>
  <c r="AG959" i="3"/>
  <c r="AG943" i="3"/>
  <c r="AH942" i="3"/>
  <c r="AG939" i="3"/>
  <c r="AH938" i="3"/>
  <c r="AH950" i="3"/>
  <c r="AG951" i="3"/>
  <c r="AD995" i="3"/>
  <c r="N995" i="3"/>
  <c r="O995" i="3"/>
  <c r="AD931" i="3"/>
  <c r="O931" i="3"/>
  <c r="N931" i="3"/>
  <c r="AG931" i="3"/>
  <c r="AH930" i="3"/>
  <c r="AD990" i="3"/>
  <c r="N990" i="3"/>
  <c r="O990" i="3"/>
  <c r="AH985" i="3"/>
  <c r="AG986" i="3"/>
  <c r="AD926" i="3"/>
  <c r="O926" i="3"/>
  <c r="N926" i="3"/>
  <c r="AH921" i="3"/>
  <c r="AG922" i="3"/>
  <c r="AH838" i="3"/>
  <c r="AG839" i="3"/>
  <c r="AD779" i="3"/>
  <c r="O779" i="3"/>
  <c r="N779" i="3"/>
  <c r="AD977" i="3"/>
  <c r="O977" i="3"/>
  <c r="N977" i="3"/>
  <c r="AG973" i="3"/>
  <c r="AH972" i="3"/>
  <c r="AD913" i="3"/>
  <c r="N913" i="3"/>
  <c r="O913" i="3"/>
  <c r="AH908" i="3"/>
  <c r="AG909" i="3"/>
  <c r="AH786" i="3"/>
  <c r="AG787" i="3"/>
  <c r="AD727" i="3"/>
  <c r="O727" i="3"/>
  <c r="N727" i="3"/>
  <c r="AH902" i="3"/>
  <c r="AG903" i="3"/>
  <c r="AD980" i="3"/>
  <c r="N980" i="3"/>
  <c r="O980" i="3"/>
  <c r="AG976" i="3"/>
  <c r="AH975" i="3"/>
  <c r="AD916" i="3"/>
  <c r="N916" i="3"/>
  <c r="O916" i="3"/>
  <c r="AG912" i="3"/>
  <c r="AH911" i="3"/>
  <c r="AG799" i="3"/>
  <c r="AH798" i="3"/>
  <c r="AD739" i="3"/>
  <c r="O739" i="3"/>
  <c r="N739" i="3"/>
  <c r="AD847" i="3"/>
  <c r="O847" i="3"/>
  <c r="N847" i="3"/>
  <c r="AD978" i="3"/>
  <c r="O978" i="3"/>
  <c r="N978" i="3"/>
  <c r="AH973" i="3"/>
  <c r="AG974" i="3"/>
  <c r="AD914" i="3"/>
  <c r="N914" i="3"/>
  <c r="O914" i="3"/>
  <c r="AG910" i="3"/>
  <c r="AH909" i="3"/>
  <c r="AG791" i="3"/>
  <c r="AH790" i="3"/>
  <c r="AD731" i="3"/>
  <c r="N731" i="3"/>
  <c r="O731" i="3"/>
  <c r="AD965" i="3"/>
  <c r="N965" i="3"/>
  <c r="O965" i="3"/>
  <c r="AG961" i="3"/>
  <c r="AH960" i="3"/>
  <c r="AD901" i="3"/>
  <c r="N901" i="3"/>
  <c r="O901" i="3"/>
  <c r="AH896" i="3"/>
  <c r="AG897" i="3"/>
  <c r="AG739" i="3"/>
  <c r="AH738" i="3"/>
  <c r="N673" i="3"/>
  <c r="AD673" i="3"/>
  <c r="O673" i="3"/>
  <c r="AD952" i="3"/>
  <c r="N952" i="3"/>
  <c r="O952" i="3"/>
  <c r="AH947" i="3"/>
  <c r="AG948" i="3"/>
  <c r="AD888" i="3"/>
  <c r="O888" i="3"/>
  <c r="N888" i="3"/>
  <c r="AH883" i="3"/>
  <c r="AG884" i="3"/>
  <c r="AD863" i="3"/>
  <c r="O863" i="3"/>
  <c r="N863" i="3"/>
  <c r="AH686" i="3"/>
  <c r="AG687" i="3"/>
  <c r="AD799" i="3"/>
  <c r="N799" i="3"/>
  <c r="O799" i="3"/>
  <c r="AD735" i="3"/>
  <c r="N735" i="3"/>
  <c r="O735" i="3"/>
  <c r="AD854" i="3"/>
  <c r="O854" i="3"/>
  <c r="N854" i="3"/>
  <c r="AH849" i="3"/>
  <c r="AG850" i="3"/>
  <c r="AD790" i="3"/>
  <c r="N790" i="3"/>
  <c r="O790" i="3"/>
  <c r="AH785" i="3"/>
  <c r="AG786" i="3"/>
  <c r="AD726" i="3"/>
  <c r="O726" i="3"/>
  <c r="N726" i="3"/>
  <c r="AG722" i="3"/>
  <c r="AH721" i="3"/>
  <c r="AD681" i="3"/>
  <c r="O681" i="3"/>
  <c r="N681" i="3"/>
  <c r="AH664" i="3"/>
  <c r="AG665" i="3"/>
  <c r="AD605" i="3"/>
  <c r="O605" i="3"/>
  <c r="N605" i="3"/>
  <c r="AG544" i="3"/>
  <c r="AH543" i="3"/>
  <c r="AD857" i="3"/>
  <c r="N857" i="3"/>
  <c r="O857" i="3"/>
  <c r="AG853" i="3"/>
  <c r="AH852" i="3"/>
  <c r="AD793" i="3"/>
  <c r="N793" i="3"/>
  <c r="O793" i="3"/>
  <c r="AG789" i="3"/>
  <c r="AH788" i="3"/>
  <c r="AD729" i="3"/>
  <c r="O729" i="3"/>
  <c r="N729" i="3"/>
  <c r="AG725" i="3"/>
  <c r="AH724" i="3"/>
  <c r="AH676" i="3"/>
  <c r="AG677" i="3"/>
  <c r="AD617" i="3"/>
  <c r="O617" i="3"/>
  <c r="N617" i="3"/>
  <c r="AG592" i="3"/>
  <c r="AH591" i="3"/>
  <c r="AD488" i="3"/>
  <c r="N488" i="3"/>
  <c r="O488" i="3"/>
  <c r="AD804" i="3"/>
  <c r="N804" i="3"/>
  <c r="O804" i="3"/>
  <c r="AG800" i="3"/>
  <c r="AH799" i="3"/>
  <c r="AD740" i="3"/>
  <c r="O740" i="3"/>
  <c r="N740" i="3"/>
  <c r="AG736" i="3"/>
  <c r="AH735" i="3"/>
  <c r="AD661" i="3"/>
  <c r="O661" i="3"/>
  <c r="N661" i="3"/>
  <c r="AD826" i="3"/>
  <c r="O826" i="3"/>
  <c r="N826" i="3"/>
  <c r="AG822" i="3"/>
  <c r="AH821" i="3"/>
  <c r="AD762" i="3"/>
  <c r="N762" i="3"/>
  <c r="O762" i="3"/>
  <c r="AH757" i="3"/>
  <c r="AG758" i="3"/>
  <c r="AD698" i="3"/>
  <c r="N698" i="3"/>
  <c r="O698" i="3"/>
  <c r="AH693" i="3"/>
  <c r="AG694" i="3"/>
  <c r="AD829" i="3"/>
  <c r="O829" i="3"/>
  <c r="N829" i="3"/>
  <c r="AH824" i="3"/>
  <c r="AG825" i="3"/>
  <c r="AD765" i="3"/>
  <c r="N765" i="3"/>
  <c r="O765" i="3"/>
  <c r="AH760" i="3"/>
  <c r="AG761" i="3"/>
  <c r="AD701" i="3"/>
  <c r="O701" i="3"/>
  <c r="N701" i="3"/>
  <c r="AG697" i="3"/>
  <c r="AH696" i="3"/>
  <c r="AD832" i="3"/>
  <c r="O832" i="3"/>
  <c r="N832" i="3"/>
  <c r="AG828" i="3"/>
  <c r="AH827" i="3"/>
  <c r="AD768" i="3"/>
  <c r="N768" i="3"/>
  <c r="O768" i="3"/>
  <c r="AH763" i="3"/>
  <c r="AG764" i="3"/>
  <c r="AD704" i="3"/>
  <c r="O704" i="3"/>
  <c r="N704" i="3"/>
  <c r="AH699" i="3"/>
  <c r="AG700" i="3"/>
  <c r="AD620" i="3"/>
  <c r="O620" i="3"/>
  <c r="N620" i="3"/>
  <c r="AH615" i="3"/>
  <c r="AG616" i="3"/>
  <c r="AD544" i="3"/>
  <c r="N544" i="3"/>
  <c r="O544" i="3"/>
  <c r="AD655" i="3"/>
  <c r="N655" i="3"/>
  <c r="O655" i="3"/>
  <c r="AG651" i="3"/>
  <c r="AH650" i="3"/>
  <c r="AD642" i="3"/>
  <c r="O642" i="3"/>
  <c r="N642" i="3"/>
  <c r="AH637" i="3"/>
  <c r="AG638" i="3"/>
  <c r="AD672" i="3"/>
  <c r="O672" i="3"/>
  <c r="N672" i="3"/>
  <c r="AH667" i="3"/>
  <c r="AG668" i="3"/>
  <c r="AD608" i="3"/>
  <c r="O608" i="3"/>
  <c r="N608" i="3"/>
  <c r="AH603" i="3"/>
  <c r="AG604" i="3"/>
  <c r="AH555" i="3"/>
  <c r="AG556" i="3"/>
  <c r="AG323" i="3"/>
  <c r="AH322" i="3"/>
  <c r="AH678" i="3"/>
  <c r="AG679" i="3"/>
  <c r="AD619" i="3"/>
  <c r="N619" i="3"/>
  <c r="O619" i="3"/>
  <c r="AH614" i="3"/>
  <c r="AG615" i="3"/>
  <c r="AD599" i="3"/>
  <c r="N599" i="3"/>
  <c r="O599" i="3"/>
  <c r="AD540" i="3"/>
  <c r="N540" i="3"/>
  <c r="O540" i="3"/>
  <c r="AD654" i="3"/>
  <c r="O654" i="3"/>
  <c r="N654" i="3"/>
  <c r="AG650" i="3"/>
  <c r="AH649" i="3"/>
  <c r="AD591" i="3"/>
  <c r="N591" i="3"/>
  <c r="O591" i="3"/>
  <c r="AG587" i="3"/>
  <c r="AH586" i="3"/>
  <c r="AD527" i="3"/>
  <c r="O527" i="3"/>
  <c r="N527" i="3"/>
  <c r="O468" i="3"/>
  <c r="AD468" i="3"/>
  <c r="N468" i="3"/>
  <c r="AD562" i="3"/>
  <c r="N562" i="3"/>
  <c r="O562" i="3"/>
  <c r="AH557" i="3"/>
  <c r="AG558" i="3"/>
  <c r="AD597" i="3"/>
  <c r="O597" i="3"/>
  <c r="N597" i="3"/>
  <c r="AH592" i="3"/>
  <c r="AG593" i="3"/>
  <c r="AD533" i="3"/>
  <c r="O533" i="3"/>
  <c r="N533" i="3"/>
  <c r="AG529" i="3"/>
  <c r="AH528" i="3"/>
  <c r="AD492" i="3"/>
  <c r="N492" i="3"/>
  <c r="O492" i="3"/>
  <c r="AH598" i="3"/>
  <c r="AG599" i="3"/>
  <c r="AD539" i="3"/>
  <c r="O539" i="3"/>
  <c r="N539" i="3"/>
  <c r="AH534" i="3"/>
  <c r="AG535" i="3"/>
  <c r="AD515" i="3"/>
  <c r="O515" i="3"/>
  <c r="N515" i="3"/>
  <c r="AD590" i="3"/>
  <c r="O590" i="3"/>
  <c r="N590" i="3"/>
  <c r="AH585" i="3"/>
  <c r="AG586" i="3"/>
  <c r="AD526" i="3"/>
  <c r="O526" i="3"/>
  <c r="N526" i="3"/>
  <c r="O464" i="3"/>
  <c r="AD464" i="3"/>
  <c r="N464" i="3"/>
  <c r="AG597" i="3"/>
  <c r="AH596" i="3"/>
  <c r="AD537" i="3"/>
  <c r="N537" i="3"/>
  <c r="O537" i="3"/>
  <c r="AH532" i="3"/>
  <c r="AG533" i="3"/>
  <c r="AD508" i="3"/>
  <c r="N508" i="3"/>
  <c r="O508" i="3"/>
  <c r="AD507" i="3"/>
  <c r="N507" i="3"/>
  <c r="O507" i="3"/>
  <c r="AH502" i="3"/>
  <c r="AG503" i="3"/>
  <c r="AD518" i="3"/>
  <c r="O518" i="3"/>
  <c r="N518" i="3"/>
  <c r="AG514" i="3"/>
  <c r="AH513" i="3"/>
  <c r="AD454" i="3"/>
  <c r="O454" i="3"/>
  <c r="N454" i="3"/>
  <c r="AG450" i="3"/>
  <c r="AH449" i="3"/>
  <c r="N465" i="3"/>
  <c r="O465" i="3"/>
  <c r="AD465" i="3"/>
  <c r="AH460" i="3"/>
  <c r="AG461" i="3"/>
  <c r="AH406" i="3"/>
  <c r="AG407" i="3"/>
  <c r="N471" i="3"/>
  <c r="AD471" i="3"/>
  <c r="O471" i="3"/>
  <c r="AH466" i="3"/>
  <c r="AG467" i="3"/>
  <c r="AH430" i="3"/>
  <c r="AG431" i="3"/>
  <c r="AD371" i="3"/>
  <c r="N371" i="3"/>
  <c r="O371" i="3"/>
  <c r="AG307" i="3"/>
  <c r="AH306" i="3"/>
  <c r="N482" i="3"/>
  <c r="O482" i="3"/>
  <c r="AD482" i="3"/>
  <c r="AH477" i="3"/>
  <c r="AG478" i="3"/>
  <c r="O415" i="3"/>
  <c r="N415" i="3"/>
  <c r="AD415" i="3"/>
  <c r="O493" i="3"/>
  <c r="AD493" i="3"/>
  <c r="N493" i="3"/>
  <c r="AH488" i="3"/>
  <c r="AG489" i="3"/>
  <c r="N343" i="3"/>
  <c r="AD343" i="3"/>
  <c r="O343" i="3"/>
  <c r="AD426" i="3"/>
  <c r="N426" i="3"/>
  <c r="O426" i="3"/>
  <c r="AG422" i="3"/>
  <c r="AH421" i="3"/>
  <c r="AD288" i="3"/>
  <c r="N288" i="3"/>
  <c r="O288" i="3"/>
  <c r="O437" i="3"/>
  <c r="N437" i="3"/>
  <c r="AD437" i="3"/>
  <c r="AH432" i="3"/>
  <c r="AG433" i="3"/>
  <c r="N373" i="3"/>
  <c r="AD373" i="3"/>
  <c r="O373" i="3"/>
  <c r="AH368" i="3"/>
  <c r="AG369" i="3"/>
  <c r="AH314" i="3"/>
  <c r="AG315" i="3"/>
  <c r="AH443" i="3"/>
  <c r="AG444" i="3"/>
  <c r="AD384" i="3"/>
  <c r="N384" i="3"/>
  <c r="O384" i="3"/>
  <c r="AG380" i="3"/>
  <c r="AH379" i="3"/>
  <c r="AG359" i="3"/>
  <c r="AH358" i="3"/>
  <c r="AD299" i="3"/>
  <c r="N299" i="3"/>
  <c r="O299" i="3"/>
  <c r="N390" i="3"/>
  <c r="O390" i="3"/>
  <c r="AD390" i="3"/>
  <c r="AH385" i="3"/>
  <c r="AG386" i="3"/>
  <c r="N323" i="3"/>
  <c r="O323" i="3"/>
  <c r="AD323" i="3"/>
  <c r="N401" i="3"/>
  <c r="O401" i="3"/>
  <c r="AD401" i="3"/>
  <c r="AH396" i="3"/>
  <c r="AG397" i="3"/>
  <c r="AH210" i="3"/>
  <c r="AG211" i="3"/>
  <c r="AD388" i="3"/>
  <c r="N388" i="3"/>
  <c r="O388" i="3"/>
  <c r="AH383" i="3"/>
  <c r="AG384" i="3"/>
  <c r="N315" i="3"/>
  <c r="AD315" i="3"/>
  <c r="O315" i="3"/>
  <c r="N338" i="3"/>
  <c r="AD338" i="3"/>
  <c r="O338" i="3"/>
  <c r="AH333" i="3"/>
  <c r="AG334" i="3"/>
  <c r="AG287" i="3"/>
  <c r="AH286" i="3"/>
  <c r="AD349" i="3"/>
  <c r="O349" i="3"/>
  <c r="N349" i="3"/>
  <c r="AG345" i="3"/>
  <c r="AH344" i="3"/>
  <c r="O336" i="3"/>
  <c r="AD336" i="3"/>
  <c r="N336" i="3"/>
  <c r="AH331" i="3"/>
  <c r="AG332" i="3"/>
  <c r="N282" i="3"/>
  <c r="O282" i="3"/>
  <c r="AD282" i="3"/>
  <c r="AD342" i="3"/>
  <c r="O342" i="3"/>
  <c r="N342" i="3"/>
  <c r="AG338" i="3"/>
  <c r="AH337" i="3"/>
  <c r="O353" i="3"/>
  <c r="N353" i="3"/>
  <c r="AD353" i="3"/>
  <c r="AG349" i="3"/>
  <c r="AH348" i="3"/>
  <c r="N340" i="3"/>
  <c r="AD340" i="3"/>
  <c r="O340" i="3"/>
  <c r="AH335" i="3"/>
  <c r="AG336" i="3"/>
  <c r="N250" i="3"/>
  <c r="AD250" i="3"/>
  <c r="O250" i="3"/>
  <c r="AG246" i="3"/>
  <c r="AH245" i="3"/>
  <c r="AG195" i="3"/>
  <c r="AH194" i="3"/>
  <c r="AG151" i="3"/>
  <c r="AH150" i="3"/>
  <c r="AD277" i="3"/>
  <c r="N277" i="3"/>
  <c r="O277" i="3"/>
  <c r="AH272" i="3"/>
  <c r="AG273" i="3"/>
  <c r="N213" i="3"/>
  <c r="O213" i="3"/>
  <c r="AD213" i="3"/>
  <c r="AG209" i="3"/>
  <c r="AH208" i="3"/>
  <c r="O232" i="3"/>
  <c r="AD232" i="3"/>
  <c r="N232" i="3"/>
  <c r="AH227" i="3"/>
  <c r="AG228" i="3"/>
  <c r="O198" i="3"/>
  <c r="AD198" i="3"/>
  <c r="N198" i="3"/>
  <c r="N238" i="3"/>
  <c r="AD238" i="3"/>
  <c r="O238" i="3"/>
  <c r="AG234" i="3"/>
  <c r="AH233" i="3"/>
  <c r="AD249" i="3"/>
  <c r="N249" i="3"/>
  <c r="O249" i="3"/>
  <c r="AG245" i="3"/>
  <c r="AH244" i="3"/>
  <c r="AG191" i="3"/>
  <c r="AH190" i="3"/>
  <c r="N260" i="3"/>
  <c r="O260" i="3"/>
  <c r="AD260" i="3"/>
  <c r="AH255" i="3"/>
  <c r="AG256" i="3"/>
  <c r="AD175" i="3"/>
  <c r="O175" i="3"/>
  <c r="N175" i="3"/>
  <c r="AD174" i="3"/>
  <c r="O174" i="3"/>
  <c r="N174" i="3"/>
  <c r="AG170" i="3"/>
  <c r="AH169" i="3"/>
  <c r="O193" i="3"/>
  <c r="AD193" i="3"/>
  <c r="N193" i="3"/>
  <c r="AG189" i="3"/>
  <c r="AH188" i="3"/>
  <c r="AG86" i="3"/>
  <c r="AH85" i="3"/>
  <c r="AH191" i="3"/>
  <c r="AG192" i="3"/>
  <c r="AH154" i="3"/>
  <c r="AG155" i="3"/>
  <c r="O162" i="3"/>
  <c r="AD162" i="3"/>
  <c r="N162" i="3"/>
  <c r="N197" i="3"/>
  <c r="O197" i="3"/>
  <c r="AD197" i="3"/>
  <c r="AH192" i="3"/>
  <c r="AG193" i="3"/>
  <c r="AD123" i="3"/>
  <c r="O123" i="3"/>
  <c r="N123" i="3"/>
  <c r="AD168" i="3"/>
  <c r="N168" i="3"/>
  <c r="O168" i="3"/>
  <c r="AG164" i="3"/>
  <c r="AH163" i="3"/>
  <c r="AD126" i="3"/>
  <c r="N126" i="3"/>
  <c r="O126" i="3"/>
  <c r="AG122" i="3"/>
  <c r="AH121" i="3"/>
  <c r="AH113" i="3"/>
  <c r="AG114" i="3"/>
  <c r="O102" i="3"/>
  <c r="N102" i="3"/>
  <c r="AD102" i="3"/>
  <c r="AD129" i="3"/>
  <c r="O129" i="3"/>
  <c r="N129" i="3"/>
  <c r="AH124" i="3"/>
  <c r="AG125" i="3"/>
  <c r="AG110" i="3"/>
  <c r="AH109" i="3"/>
  <c r="O130" i="3"/>
  <c r="AD130" i="3"/>
  <c r="N130" i="3"/>
  <c r="AH125" i="3"/>
  <c r="AG126" i="3"/>
  <c r="AH120" i="3"/>
  <c r="AG121" i="3"/>
  <c r="O74" i="3"/>
  <c r="N74" i="3"/>
  <c r="AD74" i="3"/>
  <c r="N149" i="3"/>
  <c r="O149" i="3"/>
  <c r="AD149" i="3"/>
  <c r="AH144" i="3"/>
  <c r="AG145" i="3"/>
  <c r="AH63" i="3"/>
  <c r="AG64" i="3"/>
  <c r="N128" i="3"/>
  <c r="AD128" i="3"/>
  <c r="O128" i="3"/>
  <c r="AG124" i="3"/>
  <c r="AH123" i="3"/>
  <c r="AD101" i="3"/>
  <c r="N101" i="3"/>
  <c r="O101" i="3"/>
  <c r="AH96" i="3"/>
  <c r="AG97" i="3"/>
  <c r="AH115" i="3"/>
  <c r="AG116" i="3"/>
  <c r="AD108" i="3"/>
  <c r="N108" i="3"/>
  <c r="O108" i="3"/>
  <c r="AG104" i="3"/>
  <c r="AH103" i="3"/>
  <c r="AD111" i="3"/>
  <c r="N111" i="3"/>
  <c r="O111" i="3"/>
  <c r="AH106" i="3"/>
  <c r="AG107" i="3"/>
  <c r="O66" i="3"/>
  <c r="AD66" i="3"/>
  <c r="N66" i="3"/>
  <c r="AD63" i="3"/>
  <c r="N63" i="3"/>
  <c r="O63" i="3"/>
  <c r="AH58" i="3"/>
  <c r="AG59" i="3"/>
  <c r="AD61" i="3"/>
  <c r="N61" i="3"/>
  <c r="O61" i="3"/>
  <c r="AD55" i="3"/>
  <c r="N55" i="3"/>
  <c r="O55" i="3"/>
  <c r="O64" i="3"/>
  <c r="AD64" i="3"/>
  <c r="N64" i="3"/>
  <c r="AH59" i="3"/>
  <c r="AG60" i="3"/>
  <c r="O67" i="3"/>
  <c r="AD67" i="3"/>
  <c r="N67" i="3"/>
  <c r="AH62" i="3"/>
  <c r="AG63" i="3"/>
  <c r="N70" i="3"/>
  <c r="O70" i="3"/>
  <c r="AD70" i="3"/>
  <c r="AG66" i="3"/>
  <c r="AH65" i="3"/>
  <c r="O73" i="3"/>
  <c r="N73" i="3"/>
  <c r="AD73" i="3"/>
  <c r="AG69" i="3"/>
  <c r="AH68" i="3"/>
  <c r="AH10" i="3"/>
  <c r="AG11" i="3"/>
  <c r="N6" i="3"/>
  <c r="W3" i="3"/>
  <c r="V3" i="3" s="1"/>
  <c r="D14" i="1" s="1"/>
  <c r="O6" i="3"/>
  <c r="Q3" i="3"/>
  <c r="Q2" i="3"/>
  <c r="AD6" i="3"/>
  <c r="AD9" i="3"/>
  <c r="O9" i="3"/>
  <c r="N9" i="3"/>
  <c r="AD867" i="3"/>
  <c r="N867" i="3"/>
  <c r="O867" i="3"/>
  <c r="AD759" i="3"/>
  <c r="N759" i="3"/>
  <c r="O759" i="3"/>
  <c r="AG767" i="3"/>
  <c r="AH766" i="3"/>
  <c r="AD927" i="3"/>
  <c r="N927" i="3"/>
  <c r="O927" i="3"/>
  <c r="AH998" i="3"/>
  <c r="AG999" i="3"/>
  <c r="AD983" i="3"/>
  <c r="N983" i="3"/>
  <c r="O983" i="3"/>
  <c r="AH922" i="3"/>
  <c r="AI922" i="3" s="1"/>
  <c r="AG923" i="3"/>
  <c r="AH934" i="3"/>
  <c r="AG935" i="3"/>
  <c r="AG979" i="3"/>
  <c r="AH978" i="3"/>
  <c r="AD975" i="3"/>
  <c r="N975" i="3"/>
  <c r="O975" i="3"/>
  <c r="AD987" i="3"/>
  <c r="N987" i="3"/>
  <c r="O987" i="3"/>
  <c r="AD967" i="3"/>
  <c r="N967" i="3"/>
  <c r="O967" i="3"/>
  <c r="AD891" i="3"/>
  <c r="O891" i="3"/>
  <c r="N891" i="3"/>
  <c r="AG871" i="3"/>
  <c r="AH870" i="3"/>
  <c r="AD950" i="3"/>
  <c r="O950" i="3"/>
  <c r="N950" i="3"/>
  <c r="AH945" i="3"/>
  <c r="AG946" i="3"/>
  <c r="AD886" i="3"/>
  <c r="O886" i="3"/>
  <c r="N886" i="3"/>
  <c r="AG882" i="3"/>
  <c r="AH881" i="3"/>
  <c r="AH996" i="3"/>
  <c r="AG997" i="3"/>
  <c r="AD937" i="3"/>
  <c r="O937" i="3"/>
  <c r="N937" i="3"/>
  <c r="AG933" i="3"/>
  <c r="AH932" i="3"/>
  <c r="AD873" i="3"/>
  <c r="N873" i="3"/>
  <c r="O873" i="3"/>
  <c r="AG869" i="3"/>
  <c r="AH868" i="3"/>
  <c r="AD823" i="3"/>
  <c r="N823" i="3"/>
  <c r="O823" i="3"/>
  <c r="AH999" i="3"/>
  <c r="AD940" i="3"/>
  <c r="O940" i="3"/>
  <c r="N940" i="3"/>
  <c r="AH935" i="3"/>
  <c r="AG936" i="3"/>
  <c r="AD876" i="3"/>
  <c r="N876" i="3"/>
  <c r="O876" i="3"/>
  <c r="AH871" i="3"/>
  <c r="AG872" i="3"/>
  <c r="AD835" i="3"/>
  <c r="N835" i="3"/>
  <c r="O835" i="3"/>
  <c r="AD719" i="3"/>
  <c r="O719" i="3"/>
  <c r="N719" i="3"/>
  <c r="AG899" i="3"/>
  <c r="AH898" i="3"/>
  <c r="AH997" i="3"/>
  <c r="AG998" i="3"/>
  <c r="AD938" i="3"/>
  <c r="O938" i="3"/>
  <c r="N938" i="3"/>
  <c r="AH933" i="3"/>
  <c r="AG934" i="3"/>
  <c r="AD874" i="3"/>
  <c r="N874" i="3"/>
  <c r="O874" i="3"/>
  <c r="AG870" i="3"/>
  <c r="AH869" i="3"/>
  <c r="AD827" i="3"/>
  <c r="N827" i="3"/>
  <c r="O827" i="3"/>
  <c r="AH890" i="3"/>
  <c r="AG891" i="3"/>
  <c r="AD879" i="3"/>
  <c r="N879" i="3"/>
  <c r="O879" i="3"/>
  <c r="AD989" i="3"/>
  <c r="N989" i="3"/>
  <c r="O989" i="3"/>
  <c r="AH984" i="3"/>
  <c r="AG985" i="3"/>
  <c r="AD925" i="3"/>
  <c r="N925" i="3"/>
  <c r="O925" i="3"/>
  <c r="AH920" i="3"/>
  <c r="AG921" i="3"/>
  <c r="AG835" i="3"/>
  <c r="AH834" i="3"/>
  <c r="AD775" i="3"/>
  <c r="N775" i="3"/>
  <c r="O775" i="3"/>
  <c r="AD976" i="3"/>
  <c r="N976" i="3"/>
  <c r="O976" i="3"/>
  <c r="AH971" i="3"/>
  <c r="AG972" i="3"/>
  <c r="AD912" i="3"/>
  <c r="O912" i="3"/>
  <c r="N912" i="3"/>
  <c r="AH907" i="3"/>
  <c r="AG908" i="3"/>
  <c r="AH782" i="3"/>
  <c r="AG783" i="3"/>
  <c r="AD723" i="3"/>
  <c r="N723" i="3"/>
  <c r="O723" i="3"/>
  <c r="AD814" i="3"/>
  <c r="N814" i="3"/>
  <c r="O814" i="3"/>
  <c r="AG810" i="3"/>
  <c r="AH809" i="3"/>
  <c r="AD750" i="3"/>
  <c r="N750" i="3"/>
  <c r="O750" i="3"/>
  <c r="AH745" i="3"/>
  <c r="AG746" i="3"/>
  <c r="AD686" i="3"/>
  <c r="N686" i="3"/>
  <c r="O686" i="3"/>
  <c r="AD817" i="3"/>
  <c r="O817" i="3"/>
  <c r="N817" i="3"/>
  <c r="AG813" i="3"/>
  <c r="AH812" i="3"/>
  <c r="AD753" i="3"/>
  <c r="O753" i="3"/>
  <c r="N753" i="3"/>
  <c r="AH748" i="3"/>
  <c r="AG749" i="3"/>
  <c r="AD689" i="3"/>
  <c r="N689" i="3"/>
  <c r="O689" i="3"/>
  <c r="AH684" i="3"/>
  <c r="AG685" i="3"/>
  <c r="AD828" i="3"/>
  <c r="O828" i="3"/>
  <c r="N828" i="3"/>
  <c r="AH823" i="3"/>
  <c r="AG824" i="3"/>
  <c r="AD764" i="3"/>
  <c r="N764" i="3"/>
  <c r="O764" i="3"/>
  <c r="AG760" i="3"/>
  <c r="AH759" i="3"/>
  <c r="AD700" i="3"/>
  <c r="O700" i="3"/>
  <c r="N700" i="3"/>
  <c r="AG696" i="3"/>
  <c r="AH695" i="3"/>
  <c r="AG637" i="3"/>
  <c r="AH636" i="3"/>
  <c r="AD850" i="3"/>
  <c r="O850" i="3"/>
  <c r="N850" i="3"/>
  <c r="AH845" i="3"/>
  <c r="AG846" i="3"/>
  <c r="AD786" i="3"/>
  <c r="O786" i="3"/>
  <c r="N786" i="3"/>
  <c r="AG782" i="3"/>
  <c r="AH781" i="3"/>
  <c r="AD722" i="3"/>
  <c r="N722" i="3"/>
  <c r="O722" i="3"/>
  <c r="AH717" i="3"/>
  <c r="AG718" i="3"/>
  <c r="AH648" i="3"/>
  <c r="AG649" i="3"/>
  <c r="AD853" i="3"/>
  <c r="N853" i="3"/>
  <c r="O853" i="3"/>
  <c r="AG849" i="3"/>
  <c r="AH848" i="3"/>
  <c r="AD789" i="3"/>
  <c r="N789" i="3"/>
  <c r="O789" i="3"/>
  <c r="AG785" i="3"/>
  <c r="AH784" i="3"/>
  <c r="AD725" i="3"/>
  <c r="N725" i="3"/>
  <c r="O725" i="3"/>
  <c r="AH720" i="3"/>
  <c r="AG721" i="3"/>
  <c r="AG680" i="3"/>
  <c r="AH679" i="3"/>
  <c r="AI679" i="3" s="1"/>
  <c r="AG661" i="3"/>
  <c r="AH660" i="3"/>
  <c r="AD601" i="3"/>
  <c r="O601" i="3"/>
  <c r="N601" i="3"/>
  <c r="AH527" i="3"/>
  <c r="AG528" i="3"/>
  <c r="AD856" i="3"/>
  <c r="O856" i="3"/>
  <c r="N856" i="3"/>
  <c r="AG852" i="3"/>
  <c r="AH851" i="3"/>
  <c r="AD792" i="3"/>
  <c r="N792" i="3"/>
  <c r="O792" i="3"/>
  <c r="AH787" i="3"/>
  <c r="AI787" i="3" s="1"/>
  <c r="AG788" i="3"/>
  <c r="AD728" i="3"/>
  <c r="N728" i="3"/>
  <c r="O728" i="3"/>
  <c r="AG724" i="3"/>
  <c r="AH723" i="3"/>
  <c r="AH672" i="3"/>
  <c r="AG673" i="3"/>
  <c r="AD613" i="3"/>
  <c r="N613" i="3"/>
  <c r="O613" i="3"/>
  <c r="AH575" i="3"/>
  <c r="AG576" i="3"/>
  <c r="AD644" i="3"/>
  <c r="O644" i="3"/>
  <c r="N644" i="3"/>
  <c r="AG640" i="3"/>
  <c r="AH639" i="3"/>
  <c r="AD520" i="3"/>
  <c r="N520" i="3"/>
  <c r="O520" i="3"/>
  <c r="AD679" i="3"/>
  <c r="O679" i="3"/>
  <c r="N679" i="3"/>
  <c r="AH674" i="3"/>
  <c r="AG675" i="3"/>
  <c r="AD615" i="3"/>
  <c r="N615" i="3"/>
  <c r="O615" i="3"/>
  <c r="AH610" i="3"/>
  <c r="AG611" i="3"/>
  <c r="AG584" i="3"/>
  <c r="AH583" i="3"/>
  <c r="AD524" i="3"/>
  <c r="O524" i="3"/>
  <c r="N524" i="3"/>
  <c r="N456" i="3"/>
  <c r="O456" i="3"/>
  <c r="AD456" i="3"/>
  <c r="AD666" i="3"/>
  <c r="O666" i="3"/>
  <c r="N666" i="3"/>
  <c r="AG662" i="3"/>
  <c r="AH661" i="3"/>
  <c r="AD602" i="3"/>
  <c r="N602" i="3"/>
  <c r="O602" i="3"/>
  <c r="AG532" i="3"/>
  <c r="AI532" i="3" s="1"/>
  <c r="AH531" i="3"/>
  <c r="AD632" i="3"/>
  <c r="O632" i="3"/>
  <c r="N632" i="3"/>
  <c r="AG628" i="3"/>
  <c r="AH627" i="3"/>
  <c r="AD592" i="3"/>
  <c r="N592" i="3"/>
  <c r="O592" i="3"/>
  <c r="AD643" i="3"/>
  <c r="N643" i="3"/>
  <c r="O643" i="3"/>
  <c r="AH638" i="3"/>
  <c r="AG639" i="3"/>
  <c r="AD678" i="3"/>
  <c r="O678" i="3"/>
  <c r="N678" i="3"/>
  <c r="AH673" i="3"/>
  <c r="AG674" i="3"/>
  <c r="AD614" i="3"/>
  <c r="O614" i="3"/>
  <c r="N614" i="3"/>
  <c r="AH609" i="3"/>
  <c r="AG610" i="3"/>
  <c r="AH579" i="3"/>
  <c r="AG580" i="3"/>
  <c r="AD551" i="3"/>
  <c r="O551" i="3"/>
  <c r="N551" i="3"/>
  <c r="AG547" i="3"/>
  <c r="AH546" i="3"/>
  <c r="AD586" i="3"/>
  <c r="O586" i="3"/>
  <c r="N586" i="3"/>
  <c r="AH581" i="3"/>
  <c r="AG582" i="3"/>
  <c r="AG508" i="3"/>
  <c r="AH507" i="3"/>
  <c r="N448" i="3"/>
  <c r="O448" i="3"/>
  <c r="AD448" i="3"/>
  <c r="AD557" i="3"/>
  <c r="N557" i="3"/>
  <c r="O557" i="3"/>
  <c r="AG553" i="3"/>
  <c r="AH552" i="3"/>
  <c r="AG387" i="3"/>
  <c r="AH386" i="3"/>
  <c r="AD563" i="3"/>
  <c r="N563" i="3"/>
  <c r="O563" i="3"/>
  <c r="AH558" i="3"/>
  <c r="AG559" i="3"/>
  <c r="AD550" i="3"/>
  <c r="N550" i="3"/>
  <c r="O550" i="3"/>
  <c r="AG546" i="3"/>
  <c r="AH545" i="3"/>
  <c r="AD561" i="3"/>
  <c r="N561" i="3"/>
  <c r="O561" i="3"/>
  <c r="AG557" i="3"/>
  <c r="AH556" i="3"/>
  <c r="AI556" i="3" s="1"/>
  <c r="O467" i="3"/>
  <c r="N467" i="3"/>
  <c r="AD467" i="3"/>
  <c r="AG463" i="3"/>
  <c r="AH462" i="3"/>
  <c r="AG415" i="3"/>
  <c r="AH414" i="3"/>
  <c r="O478" i="3"/>
  <c r="AD478" i="3"/>
  <c r="N478" i="3"/>
  <c r="AH473" i="3"/>
  <c r="AG474" i="3"/>
  <c r="N399" i="3"/>
  <c r="AD399" i="3"/>
  <c r="O399" i="3"/>
  <c r="N489" i="3"/>
  <c r="O489" i="3"/>
  <c r="AD489" i="3"/>
  <c r="AG485" i="3"/>
  <c r="AH484" i="3"/>
  <c r="N443" i="3"/>
  <c r="AD443" i="3"/>
  <c r="O443" i="3"/>
  <c r="N495" i="3"/>
  <c r="O495" i="3"/>
  <c r="AD495" i="3"/>
  <c r="AH490" i="3"/>
  <c r="AG491" i="3"/>
  <c r="AD506" i="3"/>
  <c r="O506" i="3"/>
  <c r="N506" i="3"/>
  <c r="AH501" i="3"/>
  <c r="AG502" i="3"/>
  <c r="AD517" i="3"/>
  <c r="N517" i="3"/>
  <c r="O517" i="3"/>
  <c r="AH512" i="3"/>
  <c r="AG513" i="3"/>
  <c r="N453" i="3"/>
  <c r="O453" i="3"/>
  <c r="AD453" i="3"/>
  <c r="AH448" i="3"/>
  <c r="AG449" i="3"/>
  <c r="AH445" i="3"/>
  <c r="AG446" i="3"/>
  <c r="N386" i="3"/>
  <c r="AD386" i="3"/>
  <c r="O386" i="3"/>
  <c r="AH381" i="3"/>
  <c r="AG382" i="3"/>
  <c r="N307" i="3"/>
  <c r="AD307" i="3"/>
  <c r="O307" i="3"/>
  <c r="AH283" i="3"/>
  <c r="AG284" i="3"/>
  <c r="AD397" i="3"/>
  <c r="N397" i="3"/>
  <c r="O397" i="3"/>
  <c r="AG393" i="3"/>
  <c r="AH392" i="3"/>
  <c r="AD351" i="3"/>
  <c r="N351" i="3"/>
  <c r="O351" i="3"/>
  <c r="N408" i="3"/>
  <c r="AD408" i="3"/>
  <c r="O408" i="3"/>
  <c r="AH403" i="3"/>
  <c r="AG404" i="3"/>
  <c r="AD414" i="3"/>
  <c r="O414" i="3"/>
  <c r="N414" i="3"/>
  <c r="AH409" i="3"/>
  <c r="AG410" i="3"/>
  <c r="N425" i="3"/>
  <c r="AD425" i="3"/>
  <c r="O425" i="3"/>
  <c r="AH420" i="3"/>
  <c r="AG421" i="3"/>
  <c r="N279" i="3"/>
  <c r="O279" i="3"/>
  <c r="AD279" i="3"/>
  <c r="N412" i="3"/>
  <c r="O412" i="3"/>
  <c r="AD412" i="3"/>
  <c r="AH407" i="3"/>
  <c r="AG408" i="3"/>
  <c r="AD362" i="3"/>
  <c r="N362" i="3"/>
  <c r="O362" i="3"/>
  <c r="AH357" i="3"/>
  <c r="AG358" i="3"/>
  <c r="O298" i="3"/>
  <c r="N298" i="3"/>
  <c r="AD298" i="3"/>
  <c r="AG294" i="3"/>
  <c r="AH293" i="3"/>
  <c r="O309" i="3"/>
  <c r="N309" i="3"/>
  <c r="AD309" i="3"/>
  <c r="AG305" i="3"/>
  <c r="AH304" i="3"/>
  <c r="AD287" i="3"/>
  <c r="O287" i="3"/>
  <c r="N287" i="3"/>
  <c r="AH234" i="3"/>
  <c r="AI234" i="3" s="1"/>
  <c r="AG235" i="3"/>
  <c r="O360" i="3"/>
  <c r="AD360" i="3"/>
  <c r="N360" i="3"/>
  <c r="AH355" i="3"/>
  <c r="AG356" i="3"/>
  <c r="N296" i="3"/>
  <c r="O296" i="3"/>
  <c r="AD296" i="3"/>
  <c r="O366" i="3"/>
  <c r="N366" i="3"/>
  <c r="AD366" i="3"/>
  <c r="AG362" i="3"/>
  <c r="AH361" i="3"/>
  <c r="N302" i="3"/>
  <c r="O302" i="3"/>
  <c r="AD302" i="3"/>
  <c r="AG298" i="3"/>
  <c r="AH297" i="3"/>
  <c r="AD283" i="3"/>
  <c r="N283" i="3"/>
  <c r="O283" i="3"/>
  <c r="N313" i="3"/>
  <c r="AD313" i="3"/>
  <c r="O313" i="3"/>
  <c r="AG309" i="3"/>
  <c r="AH308" i="3"/>
  <c r="AH250" i="3"/>
  <c r="AG251" i="3"/>
  <c r="N364" i="3"/>
  <c r="AD364" i="3"/>
  <c r="O364" i="3"/>
  <c r="AH359" i="3"/>
  <c r="AG360" i="3"/>
  <c r="N300" i="3"/>
  <c r="O300" i="3"/>
  <c r="AD300" i="3"/>
  <c r="AG296" i="3"/>
  <c r="AH295" i="3"/>
  <c r="O274" i="3"/>
  <c r="AD274" i="3"/>
  <c r="N274" i="3"/>
  <c r="AG270" i="3"/>
  <c r="AH269" i="3"/>
  <c r="O210" i="3"/>
  <c r="AD210" i="3"/>
  <c r="N210" i="3"/>
  <c r="N237" i="3"/>
  <c r="O237" i="3"/>
  <c r="AD237" i="3"/>
  <c r="AH232" i="3"/>
  <c r="AG233" i="3"/>
  <c r="AH198" i="3"/>
  <c r="AG199" i="3"/>
  <c r="N256" i="3"/>
  <c r="O256" i="3"/>
  <c r="AD256" i="3"/>
  <c r="AH251" i="3"/>
  <c r="AG252" i="3"/>
  <c r="O158" i="3"/>
  <c r="AD158" i="3"/>
  <c r="N158" i="3"/>
  <c r="O262" i="3"/>
  <c r="AD262" i="3"/>
  <c r="N262" i="3"/>
  <c r="AH257" i="3"/>
  <c r="AG258" i="3"/>
  <c r="N199" i="3"/>
  <c r="AD199" i="3"/>
  <c r="O199" i="3"/>
  <c r="O183" i="3"/>
  <c r="N183" i="3"/>
  <c r="AD183" i="3"/>
  <c r="O82" i="3"/>
  <c r="AD82" i="3"/>
  <c r="N82" i="3"/>
  <c r="N273" i="3"/>
  <c r="AD273" i="3"/>
  <c r="O273" i="3"/>
  <c r="AG269" i="3"/>
  <c r="AH268" i="3"/>
  <c r="AD209" i="3"/>
  <c r="O209" i="3"/>
  <c r="N209" i="3"/>
  <c r="AD284" i="3"/>
  <c r="O284" i="3"/>
  <c r="N284" i="3"/>
  <c r="AH279" i="3"/>
  <c r="AG280" i="3"/>
  <c r="N220" i="3"/>
  <c r="AD220" i="3"/>
  <c r="O220" i="3"/>
  <c r="AG216" i="3"/>
  <c r="AH215" i="3"/>
  <c r="AH193" i="3"/>
  <c r="AG194" i="3"/>
  <c r="O127" i="3"/>
  <c r="N127" i="3"/>
  <c r="AD127" i="3"/>
  <c r="AD186" i="3"/>
  <c r="O186" i="3"/>
  <c r="N186" i="3"/>
  <c r="AH181" i="3"/>
  <c r="AG182" i="3"/>
  <c r="AH138" i="3"/>
  <c r="AG139" i="3"/>
  <c r="AD192" i="3"/>
  <c r="O192" i="3"/>
  <c r="N192" i="3"/>
  <c r="AG188" i="3"/>
  <c r="AH187" i="3"/>
  <c r="AH145" i="3"/>
  <c r="AI145" i="3" s="1"/>
  <c r="AG146" i="3"/>
  <c r="N153" i="3"/>
  <c r="AD153" i="3"/>
  <c r="O153" i="3"/>
  <c r="AH148" i="3"/>
  <c r="AG149" i="3"/>
  <c r="O154" i="3"/>
  <c r="AD154" i="3"/>
  <c r="N154" i="3"/>
  <c r="AH149" i="3"/>
  <c r="AG150" i="3"/>
  <c r="AD110" i="3"/>
  <c r="N110" i="3"/>
  <c r="O110" i="3"/>
  <c r="AH118" i="3"/>
  <c r="AG119" i="3"/>
  <c r="AG94" i="3"/>
  <c r="AH93" i="3"/>
  <c r="AD152" i="3"/>
  <c r="N152" i="3"/>
  <c r="O152" i="3"/>
  <c r="AH147" i="3"/>
  <c r="AG148" i="3"/>
  <c r="O60" i="3"/>
  <c r="AD60" i="3"/>
  <c r="N60" i="3"/>
  <c r="N91" i="3"/>
  <c r="AD91" i="3"/>
  <c r="O91" i="3"/>
  <c r="AG87" i="3"/>
  <c r="AH86" i="3"/>
  <c r="N79" i="3"/>
  <c r="O79" i="3"/>
  <c r="AD79" i="3"/>
  <c r="AD89" i="3"/>
  <c r="O89" i="3"/>
  <c r="N89" i="3"/>
  <c r="AH84" i="3"/>
  <c r="AG85" i="3"/>
  <c r="AH75" i="3"/>
  <c r="AG76" i="3"/>
  <c r="AH71" i="3"/>
  <c r="AG72" i="3"/>
  <c r="AH38" i="3"/>
  <c r="AG39" i="3"/>
  <c r="AH80" i="3"/>
  <c r="AG81" i="3"/>
  <c r="AH34" i="3"/>
  <c r="AG35" i="3"/>
  <c r="AH40" i="3"/>
  <c r="AG41" i="3"/>
  <c r="AG47" i="3"/>
  <c r="AH46" i="3"/>
  <c r="AD52" i="3"/>
  <c r="N52" i="3"/>
  <c r="O52" i="3"/>
  <c r="AD30" i="3"/>
  <c r="N30" i="3"/>
  <c r="O30" i="3"/>
  <c r="AH25" i="3"/>
  <c r="AG26" i="3"/>
  <c r="O33" i="3"/>
  <c r="AD33" i="3"/>
  <c r="N33" i="3"/>
  <c r="AH28" i="3"/>
  <c r="AG29" i="3"/>
  <c r="O26" i="3"/>
  <c r="N26" i="3"/>
  <c r="AD26" i="3"/>
  <c r="AG22" i="3"/>
  <c r="AH21" i="3"/>
  <c r="N24" i="3"/>
  <c r="O24" i="3"/>
  <c r="AD24" i="3"/>
  <c r="AG20" i="3"/>
  <c r="AH19" i="3"/>
  <c r="AG971" i="3"/>
  <c r="AH970" i="3"/>
  <c r="AD998" i="3"/>
  <c r="O998" i="3"/>
  <c r="N998" i="3"/>
  <c r="AD924" i="3"/>
  <c r="O924" i="3"/>
  <c r="N924" i="3"/>
  <c r="AD875" i="3"/>
  <c r="O875" i="3"/>
  <c r="N875" i="3"/>
  <c r="AG914" i="3"/>
  <c r="AH913" i="3"/>
  <c r="AD979" i="3"/>
  <c r="O979" i="3"/>
  <c r="N979" i="3"/>
  <c r="AD959" i="3"/>
  <c r="O959" i="3"/>
  <c r="N959" i="3"/>
  <c r="AH918" i="3"/>
  <c r="AG919" i="3"/>
  <c r="AD971" i="3"/>
  <c r="N971" i="3"/>
  <c r="O971" i="3"/>
  <c r="AH926" i="3"/>
  <c r="AG927" i="3"/>
  <c r="AD899" i="3"/>
  <c r="O899" i="3"/>
  <c r="N899" i="3"/>
  <c r="AD974" i="3"/>
  <c r="N974" i="3"/>
  <c r="O974" i="3"/>
  <c r="AG970" i="3"/>
  <c r="AH969" i="3"/>
  <c r="AD910" i="3"/>
  <c r="N910" i="3"/>
  <c r="O910" i="3"/>
  <c r="AG906" i="3"/>
  <c r="AH905" i="3"/>
  <c r="AH774" i="3"/>
  <c r="AG775" i="3"/>
  <c r="AD715" i="3"/>
  <c r="N715" i="3"/>
  <c r="O715" i="3"/>
  <c r="AD961" i="3"/>
  <c r="N961" i="3"/>
  <c r="O961" i="3"/>
  <c r="AG957" i="3"/>
  <c r="AH956" i="3"/>
  <c r="AD897" i="3"/>
  <c r="N897" i="3"/>
  <c r="O897" i="3"/>
  <c r="AG893" i="3"/>
  <c r="AH892" i="3"/>
  <c r="AH722" i="3"/>
  <c r="AI722" i="3" s="1"/>
  <c r="AG723" i="3"/>
  <c r="AG911" i="3"/>
  <c r="AH910" i="3"/>
  <c r="AI910" i="3" s="1"/>
  <c r="AD964" i="3"/>
  <c r="O964" i="3"/>
  <c r="N964" i="3"/>
  <c r="AG960" i="3"/>
  <c r="AH959" i="3"/>
  <c r="AI959" i="3" s="1"/>
  <c r="AD900" i="3"/>
  <c r="N900" i="3"/>
  <c r="O900" i="3"/>
  <c r="AG896" i="3"/>
  <c r="AH895" i="3"/>
  <c r="AH734" i="3"/>
  <c r="AG735" i="3"/>
  <c r="AD657" i="3"/>
  <c r="N657" i="3"/>
  <c r="O657" i="3"/>
  <c r="AH842" i="3"/>
  <c r="AG843" i="3"/>
  <c r="AD783" i="3"/>
  <c r="N783" i="3"/>
  <c r="O783" i="3"/>
  <c r="AD962" i="3"/>
  <c r="N962" i="3"/>
  <c r="O962" i="3"/>
  <c r="AG958" i="3"/>
  <c r="AH957" i="3"/>
  <c r="AD898" i="3"/>
  <c r="N898" i="3"/>
  <c r="O898" i="3"/>
  <c r="AG894" i="3"/>
  <c r="AH893" i="3"/>
  <c r="AH726" i="3"/>
  <c r="AG727" i="3"/>
  <c r="AD949" i="3"/>
  <c r="N949" i="3"/>
  <c r="O949" i="3"/>
  <c r="AG945" i="3"/>
  <c r="AH944" i="3"/>
  <c r="AD885" i="3"/>
  <c r="N885" i="3"/>
  <c r="O885" i="3"/>
  <c r="AH880" i="3"/>
  <c r="AG881" i="3"/>
  <c r="AH995" i="3"/>
  <c r="AG996" i="3"/>
  <c r="AD936" i="3"/>
  <c r="O936" i="3"/>
  <c r="N936" i="3"/>
  <c r="AG932" i="3"/>
  <c r="AH931" i="3"/>
  <c r="AD872" i="3"/>
  <c r="O872" i="3"/>
  <c r="N872" i="3"/>
  <c r="AG868" i="3"/>
  <c r="AH867" i="3"/>
  <c r="AD819" i="3"/>
  <c r="O819" i="3"/>
  <c r="N819" i="3"/>
  <c r="AG681" i="3"/>
  <c r="AH680" i="3"/>
  <c r="AH858" i="3"/>
  <c r="AG859" i="3"/>
  <c r="AH794" i="3"/>
  <c r="AG795" i="3"/>
  <c r="AH730" i="3"/>
  <c r="AG731" i="3"/>
  <c r="AD838" i="3"/>
  <c r="N838" i="3"/>
  <c r="O838" i="3"/>
  <c r="AH833" i="3"/>
  <c r="AG834" i="3"/>
  <c r="AD774" i="3"/>
  <c r="N774" i="3"/>
  <c r="O774" i="3"/>
  <c r="AH769" i="3"/>
  <c r="AG770" i="3"/>
  <c r="AD710" i="3"/>
  <c r="N710" i="3"/>
  <c r="O710" i="3"/>
  <c r="AH705" i="3"/>
  <c r="AG706" i="3"/>
  <c r="AG601" i="3"/>
  <c r="AH600" i="3"/>
  <c r="AH523" i="3"/>
  <c r="AG524" i="3"/>
  <c r="AD841" i="3"/>
  <c r="N841" i="3"/>
  <c r="O841" i="3"/>
  <c r="AH836" i="3"/>
  <c r="AG837" i="3"/>
  <c r="AD777" i="3"/>
  <c r="O777" i="3"/>
  <c r="N777" i="3"/>
  <c r="AG773" i="3"/>
  <c r="AH772" i="3"/>
  <c r="AD713" i="3"/>
  <c r="N713" i="3"/>
  <c r="O713" i="3"/>
  <c r="AH708" i="3"/>
  <c r="AG709" i="3"/>
  <c r="AG613" i="3"/>
  <c r="AH612" i="3"/>
  <c r="AD852" i="3"/>
  <c r="O852" i="3"/>
  <c r="N852" i="3"/>
  <c r="AG848" i="3"/>
  <c r="AH847" i="3"/>
  <c r="AD788" i="3"/>
  <c r="O788" i="3"/>
  <c r="N788" i="3"/>
  <c r="AG784" i="3"/>
  <c r="AH783" i="3"/>
  <c r="AD724" i="3"/>
  <c r="N724" i="3"/>
  <c r="O724" i="3"/>
  <c r="AH719" i="3"/>
  <c r="AG720" i="3"/>
  <c r="AH656" i="3"/>
  <c r="AG657" i="3"/>
  <c r="AH483" i="3"/>
  <c r="AG484" i="3"/>
  <c r="AD810" i="3"/>
  <c r="O810" i="3"/>
  <c r="N810" i="3"/>
  <c r="AH805" i="3"/>
  <c r="AG806" i="3"/>
  <c r="AD746" i="3"/>
  <c r="N746" i="3"/>
  <c r="O746" i="3"/>
  <c r="AH741" i="3"/>
  <c r="AG742" i="3"/>
  <c r="AD548" i="3"/>
  <c r="O548" i="3"/>
  <c r="N548" i="3"/>
  <c r="AD813" i="3"/>
  <c r="N813" i="3"/>
  <c r="O813" i="3"/>
  <c r="AH808" i="3"/>
  <c r="AG809" i="3"/>
  <c r="AD749" i="3"/>
  <c r="N749" i="3"/>
  <c r="O749" i="3"/>
  <c r="AH744" i="3"/>
  <c r="AG745" i="3"/>
  <c r="AD685" i="3"/>
  <c r="O685" i="3"/>
  <c r="N685" i="3"/>
  <c r="AD596" i="3"/>
  <c r="N596" i="3"/>
  <c r="O596" i="3"/>
  <c r="AD816" i="3"/>
  <c r="O816" i="3"/>
  <c r="N816" i="3"/>
  <c r="AG812" i="3"/>
  <c r="AH811" i="3"/>
  <c r="AD752" i="3"/>
  <c r="N752" i="3"/>
  <c r="O752" i="3"/>
  <c r="AH747" i="3"/>
  <c r="AG748" i="3"/>
  <c r="AD688" i="3"/>
  <c r="N688" i="3"/>
  <c r="O688" i="3"/>
  <c r="AH683" i="3"/>
  <c r="AG684" i="3"/>
  <c r="AD564" i="3"/>
  <c r="O564" i="3"/>
  <c r="N564" i="3"/>
  <c r="AD668" i="3"/>
  <c r="N668" i="3"/>
  <c r="O668" i="3"/>
  <c r="AH663" i="3"/>
  <c r="AG664" i="3"/>
  <c r="AD604" i="3"/>
  <c r="N604" i="3"/>
  <c r="O604" i="3"/>
  <c r="AH539" i="3"/>
  <c r="AG540" i="3"/>
  <c r="AG516" i="3"/>
  <c r="AH515" i="3"/>
  <c r="AD639" i="3"/>
  <c r="O639" i="3"/>
  <c r="N639" i="3"/>
  <c r="AH634" i="3"/>
  <c r="AG635" i="3"/>
  <c r="AD626" i="3"/>
  <c r="O626" i="3"/>
  <c r="N626" i="3"/>
  <c r="AG622" i="3"/>
  <c r="AH621" i="3"/>
  <c r="AD568" i="3"/>
  <c r="N568" i="3"/>
  <c r="O568" i="3"/>
  <c r="AD656" i="3"/>
  <c r="N656" i="3"/>
  <c r="O656" i="3"/>
  <c r="AG652" i="3"/>
  <c r="AH651" i="3"/>
  <c r="AD667" i="3"/>
  <c r="O667" i="3"/>
  <c r="N667" i="3"/>
  <c r="AH662" i="3"/>
  <c r="AG663" i="3"/>
  <c r="AD603" i="3"/>
  <c r="N603" i="3"/>
  <c r="O603" i="3"/>
  <c r="AG536" i="3"/>
  <c r="AH535" i="3"/>
  <c r="AD638" i="3"/>
  <c r="O638" i="3"/>
  <c r="N638" i="3"/>
  <c r="AG634" i="3"/>
  <c r="AH633" i="3"/>
  <c r="AD575" i="3"/>
  <c r="O575" i="3"/>
  <c r="N575" i="3"/>
  <c r="AG571" i="3"/>
  <c r="AH570" i="3"/>
  <c r="AH518" i="3"/>
  <c r="AG519" i="3"/>
  <c r="AH463" i="3"/>
  <c r="AG464" i="3"/>
  <c r="AD546" i="3"/>
  <c r="N546" i="3"/>
  <c r="O546" i="3"/>
  <c r="AG542" i="3"/>
  <c r="AH541" i="3"/>
  <c r="AD581" i="3"/>
  <c r="O581" i="3"/>
  <c r="N581" i="3"/>
  <c r="AG577" i="3"/>
  <c r="AH576" i="3"/>
  <c r="AI576" i="3" s="1"/>
  <c r="AG488" i="3"/>
  <c r="AH487" i="3"/>
  <c r="AD587" i="3"/>
  <c r="O587" i="3"/>
  <c r="N587" i="3"/>
  <c r="AH582" i="3"/>
  <c r="AG583" i="3"/>
  <c r="AH511" i="3"/>
  <c r="AG512" i="3"/>
  <c r="AD452" i="3"/>
  <c r="O452" i="3"/>
  <c r="N452" i="3"/>
  <c r="AD574" i="3"/>
  <c r="O574" i="3"/>
  <c r="N574" i="3"/>
  <c r="AH569" i="3"/>
  <c r="AG570" i="3"/>
  <c r="AH516" i="3"/>
  <c r="AG517" i="3"/>
  <c r="AG460" i="3"/>
  <c r="AH459" i="3"/>
  <c r="AD585" i="3"/>
  <c r="N585" i="3"/>
  <c r="O585" i="3"/>
  <c r="AG581" i="3"/>
  <c r="AH580" i="3"/>
  <c r="AH503" i="3"/>
  <c r="AI503" i="3" s="1"/>
  <c r="AG504" i="3"/>
  <c r="N491" i="3"/>
  <c r="O491" i="3"/>
  <c r="AD491" i="3"/>
  <c r="AG487" i="3"/>
  <c r="AH486" i="3"/>
  <c r="AD311" i="3"/>
  <c r="N311" i="3"/>
  <c r="O311" i="3"/>
  <c r="AD502" i="3"/>
  <c r="N502" i="3"/>
  <c r="O502" i="3"/>
  <c r="AH497" i="3"/>
  <c r="AG498" i="3"/>
  <c r="AD513" i="3"/>
  <c r="N513" i="3"/>
  <c r="O513" i="3"/>
  <c r="AH508" i="3"/>
  <c r="AG509" i="3"/>
  <c r="AD449" i="3"/>
  <c r="O449" i="3"/>
  <c r="N449" i="3"/>
  <c r="AD519" i="3"/>
  <c r="N519" i="3"/>
  <c r="O519" i="3"/>
  <c r="AH514" i="3"/>
  <c r="AG515" i="3"/>
  <c r="N455" i="3"/>
  <c r="AD455" i="3"/>
  <c r="O455" i="3"/>
  <c r="AG451" i="3"/>
  <c r="AH450" i="3"/>
  <c r="N466" i="3"/>
  <c r="O466" i="3"/>
  <c r="AD466" i="3"/>
  <c r="AH461" i="3"/>
  <c r="AI461" i="3" s="1"/>
  <c r="AG462" i="3"/>
  <c r="AH410" i="3"/>
  <c r="AG411" i="3"/>
  <c r="O477" i="3"/>
  <c r="AD477" i="3"/>
  <c r="N477" i="3"/>
  <c r="AH472" i="3"/>
  <c r="AG473" i="3"/>
  <c r="AD395" i="3"/>
  <c r="N395" i="3"/>
  <c r="O395" i="3"/>
  <c r="AD410" i="3"/>
  <c r="N410" i="3"/>
  <c r="O410" i="3"/>
  <c r="AG406" i="3"/>
  <c r="AH405" i="3"/>
  <c r="N421" i="3"/>
  <c r="AD421" i="3"/>
  <c r="O421" i="3"/>
  <c r="AH416" i="3"/>
  <c r="AG417" i="3"/>
  <c r="AG367" i="3"/>
  <c r="AH366" i="3"/>
  <c r="N215" i="3"/>
  <c r="O215" i="3"/>
  <c r="AD215" i="3"/>
  <c r="O432" i="3"/>
  <c r="AD432" i="3"/>
  <c r="N432" i="3"/>
  <c r="AG428" i="3"/>
  <c r="AH427" i="3"/>
  <c r="O368" i="3"/>
  <c r="AD368" i="3"/>
  <c r="N368" i="3"/>
  <c r="AH294" i="3"/>
  <c r="AG295" i="3"/>
  <c r="N438" i="3"/>
  <c r="AD438" i="3"/>
  <c r="O438" i="3"/>
  <c r="AG434" i="3"/>
  <c r="AH433" i="3"/>
  <c r="N374" i="3"/>
  <c r="AD374" i="3"/>
  <c r="O374" i="3"/>
  <c r="AG370" i="3"/>
  <c r="AH369" i="3"/>
  <c r="AI369" i="3" s="1"/>
  <c r="AH318" i="3"/>
  <c r="AG319" i="3"/>
  <c r="AH444" i="3"/>
  <c r="AG445" i="3"/>
  <c r="N385" i="3"/>
  <c r="O385" i="3"/>
  <c r="AD385" i="3"/>
  <c r="AG381" i="3"/>
  <c r="AH380" i="3"/>
  <c r="AI380" i="3" s="1"/>
  <c r="AG363" i="3"/>
  <c r="AH362" i="3"/>
  <c r="AI362" i="3" s="1"/>
  <c r="N303" i="3"/>
  <c r="AD303" i="3"/>
  <c r="O303" i="3"/>
  <c r="AG143" i="3"/>
  <c r="AH142" i="3"/>
  <c r="AD436" i="3"/>
  <c r="N436" i="3"/>
  <c r="O436" i="3"/>
  <c r="AH431" i="3"/>
  <c r="AG432" i="3"/>
  <c r="O372" i="3"/>
  <c r="AD372" i="3"/>
  <c r="N372" i="3"/>
  <c r="AH310" i="3"/>
  <c r="AG311" i="3"/>
  <c r="AD322" i="3"/>
  <c r="N322" i="3"/>
  <c r="O322" i="3"/>
  <c r="AH317" i="3"/>
  <c r="AG318" i="3"/>
  <c r="AD227" i="3"/>
  <c r="N227" i="3"/>
  <c r="O227" i="3"/>
  <c r="AD333" i="3"/>
  <c r="O333" i="3"/>
  <c r="N333" i="3"/>
  <c r="AH328" i="3"/>
  <c r="AG329" i="3"/>
  <c r="N271" i="3"/>
  <c r="O271" i="3"/>
  <c r="AD271" i="3"/>
  <c r="O320" i="3"/>
  <c r="N320" i="3"/>
  <c r="AD320" i="3"/>
  <c r="AG316" i="3"/>
  <c r="AH315" i="3"/>
  <c r="AH278" i="3"/>
  <c r="AG279" i="3"/>
  <c r="N219" i="3"/>
  <c r="AD219" i="3"/>
  <c r="O219" i="3"/>
  <c r="AD326" i="3"/>
  <c r="N326" i="3"/>
  <c r="O326" i="3"/>
  <c r="AG322" i="3"/>
  <c r="AH321" i="3"/>
  <c r="AH291" i="3"/>
  <c r="AG292" i="3"/>
  <c r="N243" i="3"/>
  <c r="O243" i="3"/>
  <c r="AD243" i="3"/>
  <c r="O337" i="3"/>
  <c r="N337" i="3"/>
  <c r="AD337" i="3"/>
  <c r="AH332" i="3"/>
  <c r="AG333" i="3"/>
  <c r="AD324" i="3"/>
  <c r="N324" i="3"/>
  <c r="O324" i="3"/>
  <c r="AG320" i="3"/>
  <c r="AH319" i="3"/>
  <c r="O235" i="3"/>
  <c r="N235" i="3"/>
  <c r="AD235" i="3"/>
  <c r="O234" i="3"/>
  <c r="N234" i="3"/>
  <c r="AD234" i="3"/>
  <c r="AG230" i="3"/>
  <c r="AH229" i="3"/>
  <c r="AG203" i="3"/>
  <c r="AH202" i="3"/>
  <c r="AD131" i="3"/>
  <c r="O131" i="3"/>
  <c r="N131" i="3"/>
  <c r="O261" i="3"/>
  <c r="AD261" i="3"/>
  <c r="N261" i="3"/>
  <c r="AH256" i="3"/>
  <c r="AG257" i="3"/>
  <c r="N179" i="3"/>
  <c r="AD179" i="3"/>
  <c r="O179" i="3"/>
  <c r="O280" i="3"/>
  <c r="N280" i="3"/>
  <c r="AD280" i="3"/>
  <c r="AH275" i="3"/>
  <c r="AG276" i="3"/>
  <c r="N216" i="3"/>
  <c r="O216" i="3"/>
  <c r="AD216" i="3"/>
  <c r="AG212" i="3"/>
  <c r="AH211" i="3"/>
  <c r="N286" i="3"/>
  <c r="O286" i="3"/>
  <c r="AD286" i="3"/>
  <c r="AH281" i="3"/>
  <c r="AG282" i="3"/>
  <c r="O222" i="3"/>
  <c r="AD222" i="3"/>
  <c r="N222" i="3"/>
  <c r="AG218" i="3"/>
  <c r="AH217" i="3"/>
  <c r="AH292" i="3"/>
  <c r="AG293" i="3"/>
  <c r="N233" i="3"/>
  <c r="O233" i="3"/>
  <c r="AD233" i="3"/>
  <c r="AH228" i="3"/>
  <c r="AI228" i="3" s="1"/>
  <c r="AG229" i="3"/>
  <c r="AD244" i="3"/>
  <c r="N244" i="3"/>
  <c r="O244" i="3"/>
  <c r="AH239" i="3"/>
  <c r="AG240" i="3"/>
  <c r="AH170" i="3"/>
  <c r="AG171" i="3"/>
  <c r="N177" i="3"/>
  <c r="AD177" i="3"/>
  <c r="O177" i="3"/>
  <c r="AH172" i="3"/>
  <c r="AG173" i="3"/>
  <c r="O180" i="3"/>
  <c r="N180" i="3"/>
  <c r="AD180" i="3"/>
  <c r="AH175" i="3"/>
  <c r="AG176" i="3"/>
  <c r="AG206" i="3"/>
  <c r="AH205" i="3"/>
  <c r="N181" i="3"/>
  <c r="O181" i="3"/>
  <c r="AD181" i="3"/>
  <c r="AH176" i="3"/>
  <c r="AG177" i="3"/>
  <c r="AH97" i="3"/>
  <c r="AG98" i="3"/>
  <c r="N140" i="3"/>
  <c r="O140" i="3"/>
  <c r="AD140" i="3"/>
  <c r="AG136" i="3"/>
  <c r="AH135" i="3"/>
  <c r="O133" i="3"/>
  <c r="AD133" i="3"/>
  <c r="N133" i="3"/>
  <c r="AH128" i="3"/>
  <c r="AG129" i="3"/>
  <c r="O117" i="3"/>
  <c r="AD117" i="3"/>
  <c r="N117" i="3"/>
  <c r="AD85" i="3"/>
  <c r="O85" i="3"/>
  <c r="N85" i="3"/>
  <c r="AD104" i="3"/>
  <c r="O104" i="3"/>
  <c r="N104" i="3"/>
  <c r="AH99" i="3"/>
  <c r="AG100" i="3"/>
  <c r="O28" i="3"/>
  <c r="N28" i="3"/>
  <c r="AD28" i="3"/>
  <c r="N113" i="3"/>
  <c r="AD113" i="3"/>
  <c r="O113" i="3"/>
  <c r="AH108" i="3"/>
  <c r="AG109" i="3"/>
  <c r="AD12" i="3"/>
  <c r="N12" i="3"/>
  <c r="O12" i="3"/>
  <c r="O92" i="3"/>
  <c r="AD92" i="3"/>
  <c r="N92" i="3"/>
  <c r="AG88" i="3"/>
  <c r="AH87" i="3"/>
  <c r="AD95" i="3"/>
  <c r="N95" i="3"/>
  <c r="O95" i="3"/>
  <c r="AH90" i="3"/>
  <c r="AG91" i="3"/>
  <c r="AH61" i="3"/>
  <c r="AG62" i="3"/>
  <c r="O27" i="3"/>
  <c r="AD27" i="3"/>
  <c r="N27" i="3"/>
  <c r="N23" i="3"/>
  <c r="O23" i="3"/>
  <c r="AD23" i="3"/>
  <c r="N29" i="3"/>
  <c r="O29" i="3"/>
  <c r="AD29" i="3"/>
  <c r="O35" i="3"/>
  <c r="N35" i="3"/>
  <c r="AD35" i="3"/>
  <c r="AG32" i="3"/>
  <c r="AH31" i="3"/>
  <c r="AD47" i="3"/>
  <c r="N47" i="3"/>
  <c r="O47" i="3"/>
  <c r="O54" i="3"/>
  <c r="AD54" i="3"/>
  <c r="N54" i="3"/>
  <c r="AH49" i="3"/>
  <c r="AG50" i="3"/>
  <c r="N57" i="3"/>
  <c r="O57" i="3"/>
  <c r="AD57" i="3"/>
  <c r="AG53" i="3"/>
  <c r="AH52" i="3"/>
  <c r="AD50" i="3"/>
  <c r="N50" i="3"/>
  <c r="O50" i="3"/>
  <c r="AG46" i="3"/>
  <c r="AH45" i="3"/>
  <c r="N48" i="3"/>
  <c r="O48" i="3"/>
  <c r="AD48" i="3"/>
  <c r="AH43" i="3"/>
  <c r="AG44" i="3"/>
  <c r="AH974" i="3"/>
  <c r="AG975" i="3"/>
  <c r="AD963" i="3"/>
  <c r="N963" i="3"/>
  <c r="O963" i="3"/>
  <c r="AH962" i="3"/>
  <c r="AG963" i="3"/>
  <c r="AH929" i="3"/>
  <c r="AG930" i="3"/>
  <c r="AH865" i="3"/>
  <c r="AG866" i="3"/>
  <c r="AD811" i="3"/>
  <c r="N811" i="3"/>
  <c r="O811" i="3"/>
  <c r="AD985" i="3"/>
  <c r="N985" i="3"/>
  <c r="O985" i="3"/>
  <c r="AD921" i="3"/>
  <c r="N921" i="3"/>
  <c r="O921" i="3"/>
  <c r="AH818" i="3"/>
  <c r="AG819" i="3"/>
  <c r="AD988" i="3"/>
  <c r="N988" i="3"/>
  <c r="O988" i="3"/>
  <c r="AH714" i="3"/>
  <c r="AG715" i="3"/>
  <c r="AD986" i="3"/>
  <c r="N986" i="3"/>
  <c r="O986" i="3"/>
  <c r="AH917" i="3"/>
  <c r="AG918" i="3"/>
  <c r="AH822" i="3"/>
  <c r="AG823" i="3"/>
  <c r="AD763" i="3"/>
  <c r="O763" i="3"/>
  <c r="N763" i="3"/>
  <c r="AD887" i="3"/>
  <c r="N887" i="3"/>
  <c r="O887" i="3"/>
  <c r="AG867" i="3"/>
  <c r="AH866" i="3"/>
  <c r="AD973" i="3"/>
  <c r="N973" i="3"/>
  <c r="O973" i="3"/>
  <c r="AH968" i="3"/>
  <c r="AG969" i="3"/>
  <c r="AD909" i="3"/>
  <c r="N909" i="3"/>
  <c r="O909" i="3"/>
  <c r="AG905" i="3"/>
  <c r="AH904" i="3"/>
  <c r="AH770" i="3"/>
  <c r="AG771" i="3"/>
  <c r="AD711" i="3"/>
  <c r="N711" i="3"/>
  <c r="O711" i="3"/>
  <c r="AD960" i="3"/>
  <c r="O960" i="3"/>
  <c r="N960" i="3"/>
  <c r="AG956" i="3"/>
  <c r="AH955" i="3"/>
  <c r="AD896" i="3"/>
  <c r="N896" i="3"/>
  <c r="O896" i="3"/>
  <c r="AG892" i="3"/>
  <c r="AH891" i="3"/>
  <c r="AI891" i="3" s="1"/>
  <c r="AH718" i="3"/>
  <c r="AG719" i="3"/>
  <c r="AD831" i="3"/>
  <c r="O831" i="3"/>
  <c r="N831" i="3"/>
  <c r="AD862" i="3"/>
  <c r="O862" i="3"/>
  <c r="N862" i="3"/>
  <c r="AG858" i="3"/>
  <c r="AH857" i="3"/>
  <c r="AD798" i="3"/>
  <c r="N798" i="3"/>
  <c r="O798" i="3"/>
  <c r="AG794" i="3"/>
  <c r="AH793" i="3"/>
  <c r="AD734" i="3"/>
  <c r="N734" i="3"/>
  <c r="O734" i="3"/>
  <c r="AG730" i="3"/>
  <c r="AH729" i="3"/>
  <c r="AD637" i="3"/>
  <c r="N637" i="3"/>
  <c r="O637" i="3"/>
  <c r="AG861" i="3"/>
  <c r="AH860" i="3"/>
  <c r="AD801" i="3"/>
  <c r="O801" i="3"/>
  <c r="N801" i="3"/>
  <c r="AG797" i="3"/>
  <c r="AH796" i="3"/>
  <c r="AH732" i="3"/>
  <c r="AG733" i="3"/>
  <c r="AD649" i="3"/>
  <c r="N649" i="3"/>
  <c r="O649" i="3"/>
  <c r="AD812" i="3"/>
  <c r="N812" i="3"/>
  <c r="O812" i="3"/>
  <c r="AG808" i="3"/>
  <c r="AH807" i="3"/>
  <c r="AD748" i="3"/>
  <c r="O748" i="3"/>
  <c r="N748" i="3"/>
  <c r="AH743" i="3"/>
  <c r="AG744" i="3"/>
  <c r="AD684" i="3"/>
  <c r="O684" i="3"/>
  <c r="N684" i="3"/>
  <c r="AD580" i="3"/>
  <c r="N580" i="3"/>
  <c r="O580" i="3"/>
  <c r="N439" i="3"/>
  <c r="AD439" i="3"/>
  <c r="O439" i="3"/>
  <c r="AD834" i="3"/>
  <c r="O834" i="3"/>
  <c r="N834" i="3"/>
  <c r="AH829" i="3"/>
  <c r="AG830" i="3"/>
  <c r="AD770" i="3"/>
  <c r="N770" i="3"/>
  <c r="O770" i="3"/>
  <c r="AH765" i="3"/>
  <c r="AG766" i="3"/>
  <c r="AD706" i="3"/>
  <c r="N706" i="3"/>
  <c r="O706" i="3"/>
  <c r="AH701" i="3"/>
  <c r="AG702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G705" i="3"/>
  <c r="AH704" i="3"/>
  <c r="AD840" i="3"/>
  <c r="O840" i="3"/>
  <c r="N840" i="3"/>
  <c r="AG836" i="3"/>
  <c r="AH835" i="3"/>
  <c r="AD776" i="3"/>
  <c r="N776" i="3"/>
  <c r="O776" i="3"/>
  <c r="AG772" i="3"/>
  <c r="AH771" i="3"/>
  <c r="AD712" i="3"/>
  <c r="N712" i="3"/>
  <c r="O712" i="3"/>
  <c r="AG708" i="3"/>
  <c r="AH707" i="3"/>
  <c r="AH608" i="3"/>
  <c r="AG609" i="3"/>
  <c r="AD628" i="3"/>
  <c r="N628" i="3"/>
  <c r="O628" i="3"/>
  <c r="AH623" i="3"/>
  <c r="AG624" i="3"/>
  <c r="AD576" i="3"/>
  <c r="N576" i="3"/>
  <c r="O576" i="3"/>
  <c r="N375" i="3"/>
  <c r="O375" i="3"/>
  <c r="AD375" i="3"/>
  <c r="AD663" i="3"/>
  <c r="O663" i="3"/>
  <c r="N663" i="3"/>
  <c r="AG659" i="3"/>
  <c r="AH658" i="3"/>
  <c r="AD650" i="3"/>
  <c r="O650" i="3"/>
  <c r="N650" i="3"/>
  <c r="AG646" i="3"/>
  <c r="AH645" i="3"/>
  <c r="AD680" i="3"/>
  <c r="N680" i="3"/>
  <c r="O680" i="3"/>
  <c r="AH675" i="3"/>
  <c r="AG676" i="3"/>
  <c r="AD616" i="3"/>
  <c r="N616" i="3"/>
  <c r="O616" i="3"/>
  <c r="AH611" i="3"/>
  <c r="AG612" i="3"/>
  <c r="AH587" i="3"/>
  <c r="AG588" i="3"/>
  <c r="AD528" i="3"/>
  <c r="N528" i="3"/>
  <c r="O528" i="3"/>
  <c r="O472" i="3"/>
  <c r="N472" i="3"/>
  <c r="AD472" i="3"/>
  <c r="AD627" i="3"/>
  <c r="N627" i="3"/>
  <c r="O627" i="3"/>
  <c r="AG623" i="3"/>
  <c r="AH622" i="3"/>
  <c r="AD572" i="3"/>
  <c r="N572" i="3"/>
  <c r="O572" i="3"/>
  <c r="AD662" i="3"/>
  <c r="N662" i="3"/>
  <c r="O662" i="3"/>
  <c r="AH657" i="3"/>
  <c r="AG658" i="3"/>
  <c r="AH499" i="3"/>
  <c r="AG500" i="3"/>
  <c r="AH594" i="3"/>
  <c r="AG595" i="3"/>
  <c r="AD535" i="3"/>
  <c r="O535" i="3"/>
  <c r="N535" i="3"/>
  <c r="AH530" i="3"/>
  <c r="AG531" i="3"/>
  <c r="AD500" i="3"/>
  <c r="N500" i="3"/>
  <c r="O500" i="3"/>
  <c r="AD570" i="3"/>
  <c r="O570" i="3"/>
  <c r="N570" i="3"/>
  <c r="AH565" i="3"/>
  <c r="AG566" i="3"/>
  <c r="AD541" i="3"/>
  <c r="N541" i="3"/>
  <c r="O541" i="3"/>
  <c r="AG537" i="3"/>
  <c r="AH536" i="3"/>
  <c r="AH519" i="3"/>
  <c r="AG520" i="3"/>
  <c r="AH365" i="3"/>
  <c r="AG366" i="3"/>
  <c r="AD547" i="3"/>
  <c r="N547" i="3"/>
  <c r="O547" i="3"/>
  <c r="AG543" i="3"/>
  <c r="AH542" i="3"/>
  <c r="AI542" i="3" s="1"/>
  <c r="AD598" i="3"/>
  <c r="O598" i="3"/>
  <c r="N598" i="3"/>
  <c r="AG594" i="3"/>
  <c r="AH593" i="3"/>
  <c r="AD534" i="3"/>
  <c r="N534" i="3"/>
  <c r="O534" i="3"/>
  <c r="AH529" i="3"/>
  <c r="AG530" i="3"/>
  <c r="AD496" i="3"/>
  <c r="N496" i="3"/>
  <c r="O496" i="3"/>
  <c r="AD545" i="3"/>
  <c r="O545" i="3"/>
  <c r="N545" i="3"/>
  <c r="AH540" i="3"/>
  <c r="AG541" i="3"/>
  <c r="AH510" i="3"/>
  <c r="AG511" i="3"/>
  <c r="AD451" i="3"/>
  <c r="N451" i="3"/>
  <c r="O451" i="3"/>
  <c r="AG447" i="3"/>
  <c r="AH446" i="3"/>
  <c r="AH521" i="3"/>
  <c r="AG522" i="3"/>
  <c r="N462" i="3"/>
  <c r="AD462" i="3"/>
  <c r="O462" i="3"/>
  <c r="AH457" i="3"/>
  <c r="AG458" i="3"/>
  <c r="AH394" i="3"/>
  <c r="AG395" i="3"/>
  <c r="AD473" i="3"/>
  <c r="O473" i="3"/>
  <c r="N473" i="3"/>
  <c r="AG469" i="3"/>
  <c r="AH468" i="3"/>
  <c r="AH438" i="3"/>
  <c r="AG439" i="3"/>
  <c r="O379" i="3"/>
  <c r="N379" i="3"/>
  <c r="AD379" i="3"/>
  <c r="AG339" i="3"/>
  <c r="AH338" i="3"/>
  <c r="O479" i="3"/>
  <c r="AD479" i="3"/>
  <c r="N479" i="3"/>
  <c r="AH474" i="3"/>
  <c r="AG475" i="3"/>
  <c r="AD403" i="3"/>
  <c r="O403" i="3"/>
  <c r="N403" i="3"/>
  <c r="AH242" i="3"/>
  <c r="AG243" i="3"/>
  <c r="O490" i="3"/>
  <c r="N490" i="3"/>
  <c r="AD490" i="3"/>
  <c r="AH485" i="3"/>
  <c r="AI485" i="3" s="1"/>
  <c r="AG486" i="3"/>
  <c r="AD295" i="3"/>
  <c r="O295" i="3"/>
  <c r="N295" i="3"/>
  <c r="AD501" i="3"/>
  <c r="N501" i="3"/>
  <c r="O501" i="3"/>
  <c r="AG497" i="3"/>
  <c r="AH496" i="3"/>
  <c r="N434" i="3"/>
  <c r="AD434" i="3"/>
  <c r="O434" i="3"/>
  <c r="AG430" i="3"/>
  <c r="AH429" i="3"/>
  <c r="N370" i="3"/>
  <c r="AD370" i="3"/>
  <c r="O370" i="3"/>
  <c r="AG303" i="3"/>
  <c r="AH302" i="3"/>
  <c r="O445" i="3"/>
  <c r="AD445" i="3"/>
  <c r="N445" i="3"/>
  <c r="AG441" i="3"/>
  <c r="AH440" i="3"/>
  <c r="N381" i="3"/>
  <c r="AD381" i="3"/>
  <c r="O381" i="3"/>
  <c r="AG377" i="3"/>
  <c r="AH376" i="3"/>
  <c r="AH346" i="3"/>
  <c r="AG347" i="3"/>
  <c r="N392" i="3"/>
  <c r="O392" i="3"/>
  <c r="AD392" i="3"/>
  <c r="AH387" i="3"/>
  <c r="AI387" i="3" s="1"/>
  <c r="AG388" i="3"/>
  <c r="N367" i="3"/>
  <c r="O367" i="3"/>
  <c r="AD367" i="3"/>
  <c r="AD331" i="3"/>
  <c r="N331" i="3"/>
  <c r="O331" i="3"/>
  <c r="O398" i="3"/>
  <c r="N398" i="3"/>
  <c r="AD398" i="3"/>
  <c r="AH393" i="3"/>
  <c r="AI393" i="3" s="1"/>
  <c r="AG394" i="3"/>
  <c r="O355" i="3"/>
  <c r="N355" i="3"/>
  <c r="AD355" i="3"/>
  <c r="O409" i="3"/>
  <c r="AD409" i="3"/>
  <c r="N409" i="3"/>
  <c r="AH404" i="3"/>
  <c r="AG405" i="3"/>
  <c r="O396" i="3"/>
  <c r="AD396" i="3"/>
  <c r="N396" i="3"/>
  <c r="AH391" i="3"/>
  <c r="AG392" i="3"/>
  <c r="N347" i="3"/>
  <c r="AD347" i="3"/>
  <c r="O347" i="3"/>
  <c r="N346" i="3"/>
  <c r="O346" i="3"/>
  <c r="AD346" i="3"/>
  <c r="AG342" i="3"/>
  <c r="AH341" i="3"/>
  <c r="N357" i="3"/>
  <c r="O357" i="3"/>
  <c r="AD357" i="3"/>
  <c r="AH352" i="3"/>
  <c r="AG353" i="3"/>
  <c r="AD293" i="3"/>
  <c r="O293" i="3"/>
  <c r="N293" i="3"/>
  <c r="O344" i="3"/>
  <c r="N344" i="3"/>
  <c r="AD344" i="3"/>
  <c r="AH339" i="3"/>
  <c r="AG340" i="3"/>
  <c r="O350" i="3"/>
  <c r="N350" i="3"/>
  <c r="AD350" i="3"/>
  <c r="AG346" i="3"/>
  <c r="AH345" i="3"/>
  <c r="AI345" i="3" s="1"/>
  <c r="AD290" i="3"/>
  <c r="N290" i="3"/>
  <c r="O290" i="3"/>
  <c r="AD361" i="3"/>
  <c r="O361" i="3"/>
  <c r="N361" i="3"/>
  <c r="AH356" i="3"/>
  <c r="AG357" i="3"/>
  <c r="N297" i="3"/>
  <c r="AD297" i="3"/>
  <c r="O297" i="3"/>
  <c r="N348" i="3"/>
  <c r="AD348" i="3"/>
  <c r="O348" i="3"/>
  <c r="AH343" i="3"/>
  <c r="AG344" i="3"/>
  <c r="N258" i="3"/>
  <c r="O258" i="3"/>
  <c r="AD258" i="3"/>
  <c r="AG254" i="3"/>
  <c r="AH253" i="3"/>
  <c r="O167" i="3"/>
  <c r="N167" i="3"/>
  <c r="AD167" i="3"/>
  <c r="O285" i="3"/>
  <c r="N285" i="3"/>
  <c r="AD285" i="3"/>
  <c r="AG281" i="3"/>
  <c r="AH280" i="3"/>
  <c r="O221" i="3"/>
  <c r="AD221" i="3"/>
  <c r="N221" i="3"/>
  <c r="AG217" i="3"/>
  <c r="AH216" i="3"/>
  <c r="AD240" i="3"/>
  <c r="N240" i="3"/>
  <c r="O240" i="3"/>
  <c r="AH235" i="3"/>
  <c r="AG236" i="3"/>
  <c r="N246" i="3"/>
  <c r="AD246" i="3"/>
  <c r="O246" i="3"/>
  <c r="AG242" i="3"/>
  <c r="AH241" i="3"/>
  <c r="AH178" i="3"/>
  <c r="AG179" i="3"/>
  <c r="N257" i="3"/>
  <c r="O257" i="3"/>
  <c r="AD257" i="3"/>
  <c r="AH252" i="3"/>
  <c r="AG253" i="3"/>
  <c r="N163" i="3"/>
  <c r="AD163" i="3"/>
  <c r="O163" i="3"/>
  <c r="AD268" i="3"/>
  <c r="O268" i="3"/>
  <c r="N268" i="3"/>
  <c r="AH263" i="3"/>
  <c r="AG264" i="3"/>
  <c r="AH201" i="3"/>
  <c r="AG202" i="3"/>
  <c r="N182" i="3"/>
  <c r="AD182" i="3"/>
  <c r="O182" i="3"/>
  <c r="AH177" i="3"/>
  <c r="AG178" i="3"/>
  <c r="AH122" i="3"/>
  <c r="AG123" i="3"/>
  <c r="N201" i="3"/>
  <c r="O201" i="3"/>
  <c r="AD201" i="3"/>
  <c r="AH196" i="3"/>
  <c r="AG197" i="3"/>
  <c r="AD139" i="3"/>
  <c r="O139" i="3"/>
  <c r="N139" i="3"/>
  <c r="N170" i="3"/>
  <c r="AD170" i="3"/>
  <c r="O170" i="3"/>
  <c r="AG166" i="3"/>
  <c r="AH165" i="3"/>
  <c r="O205" i="3"/>
  <c r="N205" i="3"/>
  <c r="AD205" i="3"/>
  <c r="AG201" i="3"/>
  <c r="AH200" i="3"/>
  <c r="O176" i="3"/>
  <c r="AD176" i="3"/>
  <c r="N176" i="3"/>
  <c r="AH171" i="3"/>
  <c r="AG172" i="3"/>
  <c r="AD134" i="3"/>
  <c r="N134" i="3"/>
  <c r="O134" i="3"/>
  <c r="AG130" i="3"/>
  <c r="AH129" i="3"/>
  <c r="N137" i="3"/>
  <c r="O137" i="3"/>
  <c r="AD137" i="3"/>
  <c r="AG133" i="3"/>
  <c r="AH132" i="3"/>
  <c r="O138" i="3"/>
  <c r="AD138" i="3"/>
  <c r="N138" i="3"/>
  <c r="AG134" i="3"/>
  <c r="AH133" i="3"/>
  <c r="AH117" i="3"/>
  <c r="AG118" i="3"/>
  <c r="AG33" i="3"/>
  <c r="AH32" i="3"/>
  <c r="AD157" i="3"/>
  <c r="O157" i="3"/>
  <c r="N157" i="3"/>
  <c r="AG153" i="3"/>
  <c r="AH152" i="3"/>
  <c r="AD106" i="3"/>
  <c r="N106" i="3"/>
  <c r="O106" i="3"/>
  <c r="N136" i="3"/>
  <c r="AD136" i="3"/>
  <c r="O136" i="3"/>
  <c r="AG132" i="3"/>
  <c r="AH131" i="3"/>
  <c r="AH104" i="3"/>
  <c r="AG105" i="3"/>
  <c r="O58" i="3"/>
  <c r="AD58" i="3"/>
  <c r="N58" i="3"/>
  <c r="N53" i="3"/>
  <c r="O53" i="3"/>
  <c r="AD53" i="3"/>
  <c r="AH23" i="3"/>
  <c r="AG24" i="3"/>
  <c r="AH7" i="3"/>
  <c r="AI7" i="3" s="1"/>
  <c r="AG8" i="3"/>
  <c r="AD116" i="3"/>
  <c r="N116" i="3"/>
  <c r="O116" i="3"/>
  <c r="AG112" i="3"/>
  <c r="AH111" i="3"/>
  <c r="AD119" i="3"/>
  <c r="N119" i="3"/>
  <c r="O119" i="3"/>
  <c r="AH114" i="3"/>
  <c r="AG115" i="3"/>
  <c r="O71" i="3"/>
  <c r="AD71" i="3"/>
  <c r="N71" i="3"/>
  <c r="AH66" i="3"/>
  <c r="AG67" i="3"/>
  <c r="N69" i="3"/>
  <c r="AD69" i="3"/>
  <c r="O69" i="3"/>
  <c r="AH64" i="3"/>
  <c r="AI64" i="3" s="1"/>
  <c r="AG65" i="3"/>
  <c r="N72" i="3"/>
  <c r="AD72" i="3"/>
  <c r="O72" i="3"/>
  <c r="AH67" i="3"/>
  <c r="AG68" i="3"/>
  <c r="AH8" i="3"/>
  <c r="AG9" i="3"/>
  <c r="O75" i="3"/>
  <c r="AD75" i="3"/>
  <c r="N75" i="3"/>
  <c r="AH70" i="3"/>
  <c r="AG71" i="3"/>
  <c r="AH14" i="3"/>
  <c r="AG15" i="3"/>
  <c r="N78" i="3"/>
  <c r="AD78" i="3"/>
  <c r="O78" i="3"/>
  <c r="AG74" i="3"/>
  <c r="AH73" i="3"/>
  <c r="O20" i="3"/>
  <c r="N20" i="3"/>
  <c r="AD20" i="3"/>
  <c r="N81" i="3"/>
  <c r="AD81" i="3"/>
  <c r="O81" i="3"/>
  <c r="AH76" i="3"/>
  <c r="AG77" i="3"/>
  <c r="AH26" i="3"/>
  <c r="AG27" i="3"/>
  <c r="O14" i="3"/>
  <c r="N14" i="3"/>
  <c r="AD14" i="3"/>
  <c r="AG10" i="3"/>
  <c r="AH9" i="3"/>
  <c r="AD17" i="3"/>
  <c r="N17" i="3"/>
  <c r="O17" i="3"/>
  <c r="AH12" i="3"/>
  <c r="AG13" i="3"/>
  <c r="AD10" i="3"/>
  <c r="N10" i="3"/>
  <c r="O10" i="3"/>
  <c r="O8" i="3"/>
  <c r="AD8" i="3"/>
  <c r="N8" i="3"/>
  <c r="AH954" i="3"/>
  <c r="AG955" i="3"/>
  <c r="AG967" i="3"/>
  <c r="AH966" i="3"/>
  <c r="AD951" i="3"/>
  <c r="N951" i="3"/>
  <c r="O951" i="3"/>
  <c r="AD999" i="3"/>
  <c r="O999" i="3"/>
  <c r="N999" i="3"/>
  <c r="AD958" i="3"/>
  <c r="O958" i="3"/>
  <c r="N958" i="3"/>
  <c r="AH953" i="3"/>
  <c r="AG954" i="3"/>
  <c r="AD894" i="3"/>
  <c r="O894" i="3"/>
  <c r="N894" i="3"/>
  <c r="AH889" i="3"/>
  <c r="AG890" i="3"/>
  <c r="AH710" i="3"/>
  <c r="AG711" i="3"/>
  <c r="AD945" i="3"/>
  <c r="N945" i="3"/>
  <c r="O945" i="3"/>
  <c r="AH940" i="3"/>
  <c r="AG941" i="3"/>
  <c r="AD881" i="3"/>
  <c r="N881" i="3"/>
  <c r="O881" i="3"/>
  <c r="AH876" i="3"/>
  <c r="AG877" i="3"/>
  <c r="AD855" i="3"/>
  <c r="N855" i="3"/>
  <c r="O855" i="3"/>
  <c r="AH668" i="3"/>
  <c r="AG669" i="3"/>
  <c r="AD948" i="3"/>
  <c r="N948" i="3"/>
  <c r="O948" i="3"/>
  <c r="AG944" i="3"/>
  <c r="AH943" i="3"/>
  <c r="AI943" i="3" s="1"/>
  <c r="AD884" i="3"/>
  <c r="O884" i="3"/>
  <c r="N884" i="3"/>
  <c r="AH879" i="3"/>
  <c r="AI879" i="3" s="1"/>
  <c r="AG880" i="3"/>
  <c r="AG779" i="3"/>
  <c r="AH778" i="3"/>
  <c r="AD751" i="3"/>
  <c r="O751" i="3"/>
  <c r="N751" i="3"/>
  <c r="AH906" i="3"/>
  <c r="AG907" i="3"/>
  <c r="AD946" i="3"/>
  <c r="O946" i="3"/>
  <c r="N946" i="3"/>
  <c r="AH941" i="3"/>
  <c r="AG942" i="3"/>
  <c r="AD882" i="3"/>
  <c r="O882" i="3"/>
  <c r="N882" i="3"/>
  <c r="AH877" i="3"/>
  <c r="AG878" i="3"/>
  <c r="AI878" i="3" s="1"/>
  <c r="AD859" i="3"/>
  <c r="N859" i="3"/>
  <c r="O859" i="3"/>
  <c r="AD997" i="3"/>
  <c r="N997" i="3"/>
  <c r="O997" i="3"/>
  <c r="AH992" i="3"/>
  <c r="AG993" i="3"/>
  <c r="AD933" i="3"/>
  <c r="O933" i="3"/>
  <c r="N933" i="3"/>
  <c r="AH928" i="3"/>
  <c r="AG929" i="3"/>
  <c r="AD869" i="3"/>
  <c r="O869" i="3"/>
  <c r="N869" i="3"/>
  <c r="AH864" i="3"/>
  <c r="AG865" i="3"/>
  <c r="AD807" i="3"/>
  <c r="N807" i="3"/>
  <c r="O807" i="3"/>
  <c r="AD984" i="3"/>
  <c r="N984" i="3"/>
  <c r="O984" i="3"/>
  <c r="AH979" i="3"/>
  <c r="AG980" i="3"/>
  <c r="AD920" i="3"/>
  <c r="N920" i="3"/>
  <c r="O920" i="3"/>
  <c r="AH915" i="3"/>
  <c r="AG916" i="3"/>
  <c r="AG815" i="3"/>
  <c r="AH814" i="3"/>
  <c r="AD755" i="3"/>
  <c r="N755" i="3"/>
  <c r="O755" i="3"/>
  <c r="AD767" i="3"/>
  <c r="O767" i="3"/>
  <c r="N767" i="3"/>
  <c r="AD822" i="3"/>
  <c r="N822" i="3"/>
  <c r="O822" i="3"/>
  <c r="AH817" i="3"/>
  <c r="AG818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H692" i="3"/>
  <c r="AG693" i="3"/>
  <c r="AD836" i="3"/>
  <c r="O836" i="3"/>
  <c r="N836" i="3"/>
  <c r="AG832" i="3"/>
  <c r="AH831" i="3"/>
  <c r="AD772" i="3"/>
  <c r="N772" i="3"/>
  <c r="O772" i="3"/>
  <c r="AG768" i="3"/>
  <c r="AH767" i="3"/>
  <c r="AD708" i="3"/>
  <c r="N708" i="3"/>
  <c r="O708" i="3"/>
  <c r="AH703" i="3"/>
  <c r="AG704" i="3"/>
  <c r="AD609" i="3"/>
  <c r="O609" i="3"/>
  <c r="N609" i="3"/>
  <c r="AG560" i="3"/>
  <c r="AH559" i="3"/>
  <c r="AD858" i="3"/>
  <c r="N858" i="3"/>
  <c r="O858" i="3"/>
  <c r="AH853" i="3"/>
  <c r="AI853" i="3" s="1"/>
  <c r="AG854" i="3"/>
  <c r="AD794" i="3"/>
  <c r="N794" i="3"/>
  <c r="O794" i="3"/>
  <c r="AH789" i="3"/>
  <c r="AG790" i="3"/>
  <c r="AD730" i="3"/>
  <c r="N730" i="3"/>
  <c r="O730" i="3"/>
  <c r="AH725" i="3"/>
  <c r="AI725" i="3" s="1"/>
  <c r="AG726" i="3"/>
  <c r="AD621" i="3"/>
  <c r="O621" i="3"/>
  <c r="N621" i="3"/>
  <c r="AD861" i="3"/>
  <c r="N861" i="3"/>
  <c r="O861" i="3"/>
  <c r="AH856" i="3"/>
  <c r="AG857" i="3"/>
  <c r="AD797" i="3"/>
  <c r="O797" i="3"/>
  <c r="N797" i="3"/>
  <c r="AG793" i="3"/>
  <c r="AH792" i="3"/>
  <c r="AD733" i="3"/>
  <c r="O733" i="3"/>
  <c r="N733" i="3"/>
  <c r="AH728" i="3"/>
  <c r="AG729" i="3"/>
  <c r="AD633" i="3"/>
  <c r="O633" i="3"/>
  <c r="N633" i="3"/>
  <c r="AH859" i="3"/>
  <c r="AG860" i="3"/>
  <c r="AD800" i="3"/>
  <c r="N800" i="3"/>
  <c r="O800" i="3"/>
  <c r="AH795" i="3"/>
  <c r="AI795" i="3" s="1"/>
  <c r="AG796" i="3"/>
  <c r="AD736" i="3"/>
  <c r="N736" i="3"/>
  <c r="O736" i="3"/>
  <c r="AH731" i="3"/>
  <c r="AG732" i="3"/>
  <c r="AD645" i="3"/>
  <c r="O645" i="3"/>
  <c r="N645" i="3"/>
  <c r="AD625" i="3"/>
  <c r="N625" i="3"/>
  <c r="O625" i="3"/>
  <c r="AD652" i="3"/>
  <c r="N652" i="3"/>
  <c r="O652" i="3"/>
  <c r="AH647" i="3"/>
  <c r="AG648" i="3"/>
  <c r="AI648" i="3" s="1"/>
  <c r="AG683" i="3"/>
  <c r="AH682" i="3"/>
  <c r="AD623" i="3"/>
  <c r="O623" i="3"/>
  <c r="N623" i="3"/>
  <c r="AH618" i="3"/>
  <c r="AG619" i="3"/>
  <c r="AD556" i="3"/>
  <c r="N556" i="3"/>
  <c r="O556" i="3"/>
  <c r="AH370" i="3"/>
  <c r="AI370" i="3" s="1"/>
  <c r="AG371" i="3"/>
  <c r="AD674" i="3"/>
  <c r="N674" i="3"/>
  <c r="O674" i="3"/>
  <c r="AG670" i="3"/>
  <c r="AH669" i="3"/>
  <c r="AD610" i="3"/>
  <c r="O610" i="3"/>
  <c r="N610" i="3"/>
  <c r="AG606" i="3"/>
  <c r="AH605" i="3"/>
  <c r="AH563" i="3"/>
  <c r="AG564" i="3"/>
  <c r="AD640" i="3"/>
  <c r="N640" i="3"/>
  <c r="O640" i="3"/>
  <c r="AH635" i="3"/>
  <c r="AG636" i="3"/>
  <c r="AD651" i="3"/>
  <c r="O651" i="3"/>
  <c r="N651" i="3"/>
  <c r="AH646" i="3"/>
  <c r="AG647" i="3"/>
  <c r="AH681" i="3"/>
  <c r="AG682" i="3"/>
  <c r="AD622" i="3"/>
  <c r="O622" i="3"/>
  <c r="N622" i="3"/>
  <c r="AH617" i="3"/>
  <c r="AG618" i="3"/>
  <c r="AD552" i="3"/>
  <c r="O552" i="3"/>
  <c r="N552" i="3"/>
  <c r="AD559" i="3"/>
  <c r="O559" i="3"/>
  <c r="N559" i="3"/>
  <c r="AG555" i="3"/>
  <c r="AH554" i="3"/>
  <c r="AH418" i="3"/>
  <c r="AG419" i="3"/>
  <c r="AD594" i="3"/>
  <c r="O594" i="3"/>
  <c r="N594" i="3"/>
  <c r="AG590" i="3"/>
  <c r="AH589" i="3"/>
  <c r="AD530" i="3"/>
  <c r="N530" i="3"/>
  <c r="O530" i="3"/>
  <c r="AH525" i="3"/>
  <c r="AG526" i="3"/>
  <c r="AD480" i="3"/>
  <c r="N480" i="3"/>
  <c r="O480" i="3"/>
  <c r="AD565" i="3"/>
  <c r="N565" i="3"/>
  <c r="O565" i="3"/>
  <c r="AH560" i="3"/>
  <c r="AI560" i="3" s="1"/>
  <c r="AG561" i="3"/>
  <c r="O327" i="3"/>
  <c r="N327" i="3"/>
  <c r="AD327" i="3"/>
  <c r="AD571" i="3"/>
  <c r="O571" i="3"/>
  <c r="N571" i="3"/>
  <c r="AH566" i="3"/>
  <c r="AI566" i="3" s="1"/>
  <c r="AG567" i="3"/>
  <c r="AG448" i="3"/>
  <c r="AH447" i="3"/>
  <c r="AD558" i="3"/>
  <c r="O558" i="3"/>
  <c r="N558" i="3"/>
  <c r="AG554" i="3"/>
  <c r="AH553" i="3"/>
  <c r="AH402" i="3"/>
  <c r="AG403" i="3"/>
  <c r="AD569" i="3"/>
  <c r="O569" i="3"/>
  <c r="N569" i="3"/>
  <c r="AG565" i="3"/>
  <c r="AH564" i="3"/>
  <c r="AD516" i="3"/>
  <c r="N516" i="3"/>
  <c r="O516" i="3"/>
  <c r="AD475" i="3"/>
  <c r="O475" i="3"/>
  <c r="N475" i="3"/>
  <c r="AH470" i="3"/>
  <c r="AG471" i="3"/>
  <c r="AD387" i="3"/>
  <c r="N387" i="3"/>
  <c r="O387" i="3"/>
  <c r="N486" i="3"/>
  <c r="O486" i="3"/>
  <c r="AD486" i="3"/>
  <c r="AH481" i="3"/>
  <c r="AG482" i="3"/>
  <c r="AD431" i="3"/>
  <c r="O431" i="3"/>
  <c r="N431" i="3"/>
  <c r="AD497" i="3"/>
  <c r="O497" i="3"/>
  <c r="N497" i="3"/>
  <c r="AG493" i="3"/>
  <c r="AH492" i="3"/>
  <c r="AD503" i="3"/>
  <c r="O503" i="3"/>
  <c r="N503" i="3"/>
  <c r="AG499" i="3"/>
  <c r="AH498" i="3"/>
  <c r="AI498" i="3" s="1"/>
  <c r="AD514" i="3"/>
  <c r="O514" i="3"/>
  <c r="N514" i="3"/>
  <c r="AG510" i="3"/>
  <c r="AH509" i="3"/>
  <c r="AI509" i="3" s="1"/>
  <c r="N450" i="3"/>
  <c r="O450" i="3"/>
  <c r="AD450" i="3"/>
  <c r="AH520" i="3"/>
  <c r="AG521" i="3"/>
  <c r="O461" i="3"/>
  <c r="N461" i="3"/>
  <c r="AD461" i="3"/>
  <c r="AG457" i="3"/>
  <c r="AH456" i="3"/>
  <c r="AH390" i="3"/>
  <c r="AG391" i="3"/>
  <c r="AD394" i="3"/>
  <c r="N394" i="3"/>
  <c r="O394" i="3"/>
  <c r="AH389" i="3"/>
  <c r="AG390" i="3"/>
  <c r="N339" i="3"/>
  <c r="AD339" i="3"/>
  <c r="O339" i="3"/>
  <c r="AD405" i="3"/>
  <c r="N405" i="3"/>
  <c r="O405" i="3"/>
  <c r="AH400" i="3"/>
  <c r="AG401" i="3"/>
  <c r="AG275" i="3"/>
  <c r="AH274" i="3"/>
  <c r="N416" i="3"/>
  <c r="O416" i="3"/>
  <c r="AD416" i="3"/>
  <c r="AH411" i="3"/>
  <c r="AG412" i="3"/>
  <c r="N422" i="3"/>
  <c r="O422" i="3"/>
  <c r="AD422" i="3"/>
  <c r="AH417" i="3"/>
  <c r="AG418" i="3"/>
  <c r="AD231" i="3"/>
  <c r="N231" i="3"/>
  <c r="O231" i="3"/>
  <c r="AD433" i="3"/>
  <c r="N433" i="3"/>
  <c r="O433" i="3"/>
  <c r="AH428" i="3"/>
  <c r="AG429" i="3"/>
  <c r="O369" i="3"/>
  <c r="N369" i="3"/>
  <c r="AD369" i="3"/>
  <c r="AG299" i="3"/>
  <c r="AH298" i="3"/>
  <c r="N420" i="3"/>
  <c r="AD420" i="3"/>
  <c r="O420" i="3"/>
  <c r="AH415" i="3"/>
  <c r="AG416" i="3"/>
  <c r="O187" i="3"/>
  <c r="AD187" i="3"/>
  <c r="N187" i="3"/>
  <c r="N306" i="3"/>
  <c r="O306" i="3"/>
  <c r="AD306" i="3"/>
  <c r="AG302" i="3"/>
  <c r="AH301" i="3"/>
  <c r="AH222" i="3"/>
  <c r="AG223" i="3"/>
  <c r="N317" i="3"/>
  <c r="AD317" i="3"/>
  <c r="O317" i="3"/>
  <c r="AG313" i="3"/>
  <c r="AH312" i="3"/>
  <c r="AH266" i="3"/>
  <c r="AG267" i="3"/>
  <c r="N207" i="3"/>
  <c r="AD207" i="3"/>
  <c r="O207" i="3"/>
  <c r="AG364" i="3"/>
  <c r="AH363" i="3"/>
  <c r="N304" i="3"/>
  <c r="AD304" i="3"/>
  <c r="O304" i="3"/>
  <c r="AG300" i="3"/>
  <c r="AH299" i="3"/>
  <c r="AG215" i="3"/>
  <c r="AH214" i="3"/>
  <c r="O310" i="3"/>
  <c r="N310" i="3"/>
  <c r="AD310" i="3"/>
  <c r="AG306" i="3"/>
  <c r="AH305" i="3"/>
  <c r="AH238" i="3"/>
  <c r="AG239" i="3"/>
  <c r="N321" i="3"/>
  <c r="O321" i="3"/>
  <c r="AD321" i="3"/>
  <c r="AH316" i="3"/>
  <c r="AG317" i="3"/>
  <c r="N291" i="3"/>
  <c r="O291" i="3"/>
  <c r="AD291" i="3"/>
  <c r="O223" i="3"/>
  <c r="AD223" i="3"/>
  <c r="N223" i="3"/>
  <c r="AH367" i="3"/>
  <c r="AI367" i="3" s="1"/>
  <c r="AG368" i="3"/>
  <c r="N308" i="3"/>
  <c r="AD308" i="3"/>
  <c r="O308" i="3"/>
  <c r="AH303" i="3"/>
  <c r="AG304" i="3"/>
  <c r="AH285" i="3"/>
  <c r="AG286" i="3"/>
  <c r="AG231" i="3"/>
  <c r="AH230" i="3"/>
  <c r="N147" i="3"/>
  <c r="O147" i="3"/>
  <c r="AD147" i="3"/>
  <c r="AH277" i="3"/>
  <c r="AG278" i="3"/>
  <c r="AD218" i="3"/>
  <c r="N218" i="3"/>
  <c r="O218" i="3"/>
  <c r="AG214" i="3"/>
  <c r="AH213" i="3"/>
  <c r="O245" i="3"/>
  <c r="AD245" i="3"/>
  <c r="N245" i="3"/>
  <c r="AH240" i="3"/>
  <c r="AG241" i="3"/>
  <c r="AG175" i="3"/>
  <c r="AH174" i="3"/>
  <c r="AD264" i="3"/>
  <c r="N264" i="3"/>
  <c r="O264" i="3"/>
  <c r="AH259" i="3"/>
  <c r="AG260" i="3"/>
  <c r="O191" i="3"/>
  <c r="N191" i="3"/>
  <c r="AD191" i="3"/>
  <c r="N270" i="3"/>
  <c r="O270" i="3"/>
  <c r="AD270" i="3"/>
  <c r="AG266" i="3"/>
  <c r="AH265" i="3"/>
  <c r="N281" i="3"/>
  <c r="AD281" i="3"/>
  <c r="O281" i="3"/>
  <c r="AG277" i="3"/>
  <c r="AH276" i="3"/>
  <c r="N217" i="3"/>
  <c r="AD217" i="3"/>
  <c r="O217" i="3"/>
  <c r="AG213" i="3"/>
  <c r="AH212" i="3"/>
  <c r="N292" i="3"/>
  <c r="AD292" i="3"/>
  <c r="O292" i="3"/>
  <c r="AG288" i="3"/>
  <c r="AH287" i="3"/>
  <c r="O228" i="3"/>
  <c r="AD228" i="3"/>
  <c r="N228" i="3"/>
  <c r="AG224" i="3"/>
  <c r="AH223" i="3"/>
  <c r="O161" i="3"/>
  <c r="AD161" i="3"/>
  <c r="N161" i="3"/>
  <c r="AD164" i="3"/>
  <c r="N164" i="3"/>
  <c r="O164" i="3"/>
  <c r="AH158" i="3"/>
  <c r="AG159" i="3"/>
  <c r="AD194" i="3"/>
  <c r="N194" i="3"/>
  <c r="O194" i="3"/>
  <c r="AG190" i="3"/>
  <c r="AH189" i="3"/>
  <c r="AI189" i="3" s="1"/>
  <c r="N159" i="3"/>
  <c r="AD159" i="3"/>
  <c r="O159" i="3"/>
  <c r="O150" i="3"/>
  <c r="AD150" i="3"/>
  <c r="N150" i="3"/>
  <c r="AH101" i="3"/>
  <c r="AG102" i="3"/>
  <c r="N165" i="3"/>
  <c r="O165" i="3"/>
  <c r="AD165" i="3"/>
  <c r="AH151" i="3"/>
  <c r="AI151" i="3" s="1"/>
  <c r="AG152" i="3"/>
  <c r="AD107" i="3"/>
  <c r="N107" i="3"/>
  <c r="O107" i="3"/>
  <c r="N200" i="3"/>
  <c r="AD200" i="3"/>
  <c r="O200" i="3"/>
  <c r="AH195" i="3"/>
  <c r="AG196" i="3"/>
  <c r="N135" i="3"/>
  <c r="O135" i="3"/>
  <c r="AD135" i="3"/>
  <c r="N114" i="3"/>
  <c r="O114" i="3"/>
  <c r="AD114" i="3"/>
  <c r="N124" i="3"/>
  <c r="AD124" i="3"/>
  <c r="O124" i="3"/>
  <c r="O109" i="3"/>
  <c r="N109" i="3"/>
  <c r="AD109" i="3"/>
  <c r="O94" i="3"/>
  <c r="AD94" i="3"/>
  <c r="N94" i="3"/>
  <c r="AH157" i="3"/>
  <c r="AG158" i="3"/>
  <c r="O160" i="3"/>
  <c r="AD160" i="3"/>
  <c r="N160" i="3"/>
  <c r="AG156" i="3"/>
  <c r="AH155" i="3"/>
  <c r="AI155" i="3" s="1"/>
  <c r="AH112" i="3"/>
  <c r="AG113" i="3"/>
  <c r="O88" i="3"/>
  <c r="AD88" i="3"/>
  <c r="N88" i="3"/>
  <c r="AH48" i="3"/>
  <c r="AG49" i="3"/>
  <c r="O99" i="3"/>
  <c r="AD99" i="3"/>
  <c r="N99" i="3"/>
  <c r="AH94" i="3"/>
  <c r="AI94" i="3" s="1"/>
  <c r="AG95" i="3"/>
  <c r="O97" i="3"/>
  <c r="AD97" i="3"/>
  <c r="N97" i="3"/>
  <c r="AH92" i="3"/>
  <c r="AG93" i="3"/>
  <c r="AG70" i="3"/>
  <c r="AH69" i="3"/>
  <c r="AI69" i="3" s="1"/>
  <c r="AH55" i="3"/>
  <c r="AG56" i="3"/>
  <c r="AH54" i="3"/>
  <c r="AG55" i="3"/>
  <c r="AH50" i="3"/>
  <c r="AI50" i="3" s="1"/>
  <c r="AG51" i="3"/>
  <c r="AH56" i="3"/>
  <c r="AG57" i="3"/>
  <c r="AD15" i="3"/>
  <c r="N15" i="3"/>
  <c r="O15" i="3"/>
  <c r="N38" i="3"/>
  <c r="O38" i="3"/>
  <c r="AD38" i="3"/>
  <c r="AH33" i="3"/>
  <c r="AG34" i="3"/>
  <c r="N41" i="3"/>
  <c r="AD41" i="3"/>
  <c r="O41" i="3"/>
  <c r="AH36" i="3"/>
  <c r="AG37" i="3"/>
  <c r="AD34" i="3"/>
  <c r="N34" i="3"/>
  <c r="O34" i="3"/>
  <c r="AH29" i="3"/>
  <c r="AI29" i="3" s="1"/>
  <c r="AG30" i="3"/>
  <c r="AD32" i="3"/>
  <c r="N32" i="3"/>
  <c r="O32" i="3"/>
  <c r="AH27" i="3"/>
  <c r="AG28" i="3"/>
  <c r="AD923" i="3"/>
  <c r="O923" i="3"/>
  <c r="N923" i="3"/>
  <c r="AH993" i="3"/>
  <c r="AG994" i="3"/>
  <c r="AD934" i="3"/>
  <c r="O934" i="3"/>
  <c r="N934" i="3"/>
  <c r="AH980" i="3"/>
  <c r="AG981" i="3"/>
  <c r="AG917" i="3"/>
  <c r="AH916" i="3"/>
  <c r="AH983" i="3"/>
  <c r="AG984" i="3"/>
  <c r="AH919" i="3"/>
  <c r="AG920" i="3"/>
  <c r="AG831" i="3"/>
  <c r="AH830" i="3"/>
  <c r="AD771" i="3"/>
  <c r="N771" i="3"/>
  <c r="O771" i="3"/>
  <c r="AH981" i="3"/>
  <c r="AG982" i="3"/>
  <c r="AD922" i="3"/>
  <c r="N922" i="3"/>
  <c r="O922" i="3"/>
  <c r="AD737" i="3"/>
  <c r="O737" i="3"/>
  <c r="N737" i="3"/>
  <c r="AD918" i="3"/>
  <c r="N918" i="3"/>
  <c r="O918" i="3"/>
  <c r="AG807" i="3"/>
  <c r="AH806" i="3"/>
  <c r="AH964" i="3"/>
  <c r="AG965" i="3"/>
  <c r="AG901" i="3"/>
  <c r="AH900" i="3"/>
  <c r="AH754" i="3"/>
  <c r="AG755" i="3"/>
  <c r="AD695" i="3"/>
  <c r="O695" i="3"/>
  <c r="N695" i="3"/>
  <c r="AD907" i="3"/>
  <c r="O907" i="3"/>
  <c r="N907" i="3"/>
  <c r="AD972" i="3"/>
  <c r="O972" i="3"/>
  <c r="N972" i="3"/>
  <c r="AH967" i="3"/>
  <c r="AG968" i="3"/>
  <c r="AD908" i="3"/>
  <c r="N908" i="3"/>
  <c r="O908" i="3"/>
  <c r="AH903" i="3"/>
  <c r="AG904" i="3"/>
  <c r="AD707" i="3"/>
  <c r="N707" i="3"/>
  <c r="O707" i="3"/>
  <c r="AD815" i="3"/>
  <c r="N815" i="3"/>
  <c r="O815" i="3"/>
  <c r="AD919" i="3"/>
  <c r="O919" i="3"/>
  <c r="N919" i="3"/>
  <c r="AD970" i="3"/>
  <c r="N970" i="3"/>
  <c r="O970" i="3"/>
  <c r="AH965" i="3"/>
  <c r="AG966" i="3"/>
  <c r="AD906" i="3"/>
  <c r="O906" i="3"/>
  <c r="N906" i="3"/>
  <c r="AG902" i="3"/>
  <c r="AH901" i="3"/>
  <c r="AH758" i="3"/>
  <c r="AG759" i="3"/>
  <c r="AD699" i="3"/>
  <c r="O699" i="3"/>
  <c r="N699" i="3"/>
  <c r="AD911" i="3"/>
  <c r="N911" i="3"/>
  <c r="O911" i="3"/>
  <c r="AG875" i="3"/>
  <c r="AH874" i="3"/>
  <c r="AD957" i="3"/>
  <c r="O957" i="3"/>
  <c r="N957" i="3"/>
  <c r="AH952" i="3"/>
  <c r="AG953" i="3"/>
  <c r="AD893" i="3"/>
  <c r="O893" i="3"/>
  <c r="N893" i="3"/>
  <c r="AG889" i="3"/>
  <c r="AH888" i="3"/>
  <c r="AG864" i="3"/>
  <c r="AH863" i="3"/>
  <c r="AG707" i="3"/>
  <c r="AH706" i="3"/>
  <c r="AD944" i="3"/>
  <c r="O944" i="3"/>
  <c r="N944" i="3"/>
  <c r="AG940" i="3"/>
  <c r="AH939" i="3"/>
  <c r="AD880" i="3"/>
  <c r="O880" i="3"/>
  <c r="N880" i="3"/>
  <c r="AG876" i="3"/>
  <c r="AH875" i="3"/>
  <c r="AD851" i="3"/>
  <c r="N851" i="3"/>
  <c r="O851" i="3"/>
  <c r="AG653" i="3"/>
  <c r="AH652" i="3"/>
  <c r="AI652" i="3" s="1"/>
  <c r="AH826" i="3"/>
  <c r="AG827" i="3"/>
  <c r="AD703" i="3"/>
  <c r="O703" i="3"/>
  <c r="N703" i="3"/>
  <c r="AD846" i="3"/>
  <c r="O846" i="3"/>
  <c r="N846" i="3"/>
  <c r="AH841" i="3"/>
  <c r="AG842" i="3"/>
  <c r="AD782" i="3"/>
  <c r="N782" i="3"/>
  <c r="O782" i="3"/>
  <c r="AG778" i="3"/>
  <c r="AH777" i="3"/>
  <c r="AD718" i="3"/>
  <c r="N718" i="3"/>
  <c r="O718" i="3"/>
  <c r="AH713" i="3"/>
  <c r="AG714" i="3"/>
  <c r="AH632" i="3"/>
  <c r="AG633" i="3"/>
  <c r="AD849" i="3"/>
  <c r="O849" i="3"/>
  <c r="N849" i="3"/>
  <c r="AH844" i="3"/>
  <c r="AG845" i="3"/>
  <c r="AD785" i="3"/>
  <c r="O785" i="3"/>
  <c r="N785" i="3"/>
  <c r="AH780" i="3"/>
  <c r="AG781" i="3"/>
  <c r="AD721" i="3"/>
  <c r="O721" i="3"/>
  <c r="N721" i="3"/>
  <c r="AG717" i="3"/>
  <c r="AH716" i="3"/>
  <c r="AG645" i="3"/>
  <c r="AH644" i="3"/>
  <c r="AD860" i="3"/>
  <c r="O860" i="3"/>
  <c r="N860" i="3"/>
  <c r="AG856" i="3"/>
  <c r="AH855" i="3"/>
  <c r="AD796" i="3"/>
  <c r="N796" i="3"/>
  <c r="O796" i="3"/>
  <c r="AH791" i="3"/>
  <c r="AG792" i="3"/>
  <c r="AD732" i="3"/>
  <c r="N732" i="3"/>
  <c r="O732" i="3"/>
  <c r="AG728" i="3"/>
  <c r="AH727" i="3"/>
  <c r="AD629" i="3"/>
  <c r="N629" i="3"/>
  <c r="O629" i="3"/>
  <c r="AD818" i="3"/>
  <c r="N818" i="3"/>
  <c r="O818" i="3"/>
  <c r="AG814" i="3"/>
  <c r="AH813" i="3"/>
  <c r="AI813" i="3" s="1"/>
  <c r="AD754" i="3"/>
  <c r="O754" i="3"/>
  <c r="N754" i="3"/>
  <c r="AH749" i="3"/>
  <c r="AG750" i="3"/>
  <c r="AD690" i="3"/>
  <c r="O690" i="3"/>
  <c r="N690" i="3"/>
  <c r="AG686" i="3"/>
  <c r="AH685" i="3"/>
  <c r="AD821" i="3"/>
  <c r="O821" i="3"/>
  <c r="N821" i="3"/>
  <c r="AG817" i="3"/>
  <c r="AH816" i="3"/>
  <c r="AD757" i="3"/>
  <c r="N757" i="3"/>
  <c r="O757" i="3"/>
  <c r="AG753" i="3"/>
  <c r="AH752" i="3"/>
  <c r="AD693" i="3"/>
  <c r="N693" i="3"/>
  <c r="O693" i="3"/>
  <c r="AG689" i="3"/>
  <c r="AH688" i="3"/>
  <c r="AD824" i="3"/>
  <c r="N824" i="3"/>
  <c r="O824" i="3"/>
  <c r="AH819" i="3"/>
  <c r="AG820" i="3"/>
  <c r="AD760" i="3"/>
  <c r="N760" i="3"/>
  <c r="O760" i="3"/>
  <c r="AG756" i="3"/>
  <c r="AH755" i="3"/>
  <c r="AD696" i="3"/>
  <c r="N696" i="3"/>
  <c r="O696" i="3"/>
  <c r="AG692" i="3"/>
  <c r="AH691" i="3"/>
  <c r="AD676" i="3"/>
  <c r="N676" i="3"/>
  <c r="O676" i="3"/>
  <c r="AH671" i="3"/>
  <c r="AG672" i="3"/>
  <c r="AD612" i="3"/>
  <c r="N612" i="3"/>
  <c r="O612" i="3"/>
  <c r="AH607" i="3"/>
  <c r="AG608" i="3"/>
  <c r="AG572" i="3"/>
  <c r="AH571" i="3"/>
  <c r="AD647" i="3"/>
  <c r="N647" i="3"/>
  <c r="O647" i="3"/>
  <c r="AH642" i="3"/>
  <c r="AG643" i="3"/>
  <c r="AD634" i="3"/>
  <c r="O634" i="3"/>
  <c r="N634" i="3"/>
  <c r="AH629" i="3"/>
  <c r="AG630" i="3"/>
  <c r="AD664" i="3"/>
  <c r="N664" i="3"/>
  <c r="O664" i="3"/>
  <c r="AH659" i="3"/>
  <c r="AG660" i="3"/>
  <c r="AD600" i="3"/>
  <c r="N600" i="3"/>
  <c r="O600" i="3"/>
  <c r="AD675" i="3"/>
  <c r="O675" i="3"/>
  <c r="N675" i="3"/>
  <c r="AH670" i="3"/>
  <c r="AG671" i="3"/>
  <c r="AD611" i="3"/>
  <c r="O611" i="3"/>
  <c r="N611" i="3"/>
  <c r="AH606" i="3"/>
  <c r="AG607" i="3"/>
  <c r="AH567" i="3"/>
  <c r="AG568" i="3"/>
  <c r="AD646" i="3"/>
  <c r="O646" i="3"/>
  <c r="N646" i="3"/>
  <c r="AH641" i="3"/>
  <c r="AG642" i="3"/>
  <c r="AD583" i="3"/>
  <c r="O583" i="3"/>
  <c r="N583" i="3"/>
  <c r="AH578" i="3"/>
  <c r="AG579" i="3"/>
  <c r="AG496" i="3"/>
  <c r="AH495" i="3"/>
  <c r="AD554" i="3"/>
  <c r="N554" i="3"/>
  <c r="O554" i="3"/>
  <c r="AG550" i="3"/>
  <c r="AH549" i="3"/>
  <c r="AD589" i="3"/>
  <c r="N589" i="3"/>
  <c r="O589" i="3"/>
  <c r="AH584" i="3"/>
  <c r="AG585" i="3"/>
  <c r="AD525" i="3"/>
  <c r="N525" i="3"/>
  <c r="O525" i="3"/>
  <c r="N460" i="3"/>
  <c r="AD460" i="3"/>
  <c r="O460" i="3"/>
  <c r="AD595" i="3"/>
  <c r="N595" i="3"/>
  <c r="O595" i="3"/>
  <c r="AH590" i="3"/>
  <c r="AG591" i="3"/>
  <c r="AI591" i="3" s="1"/>
  <c r="AD531" i="3"/>
  <c r="N531" i="3"/>
  <c r="O531" i="3"/>
  <c r="AH526" i="3"/>
  <c r="AG527" i="3"/>
  <c r="AD484" i="3"/>
  <c r="O484" i="3"/>
  <c r="N484" i="3"/>
  <c r="AD582" i="3"/>
  <c r="N582" i="3"/>
  <c r="O582" i="3"/>
  <c r="AH577" i="3"/>
  <c r="AG578" i="3"/>
  <c r="AH491" i="3"/>
  <c r="AG492" i="3"/>
  <c r="AD593" i="3"/>
  <c r="O593" i="3"/>
  <c r="N593" i="3"/>
  <c r="AG589" i="3"/>
  <c r="AH588" i="3"/>
  <c r="AD529" i="3"/>
  <c r="O529" i="3"/>
  <c r="N529" i="3"/>
  <c r="AG525" i="3"/>
  <c r="AH524" i="3"/>
  <c r="AI524" i="3" s="1"/>
  <c r="AD476" i="3"/>
  <c r="O476" i="3"/>
  <c r="N476" i="3"/>
  <c r="AD499" i="3"/>
  <c r="N499" i="3"/>
  <c r="O499" i="3"/>
  <c r="AG495" i="3"/>
  <c r="AH494" i="3"/>
  <c r="AD510" i="3"/>
  <c r="N510" i="3"/>
  <c r="O510" i="3"/>
  <c r="AG506" i="3"/>
  <c r="AH505" i="3"/>
  <c r="O446" i="3"/>
  <c r="N446" i="3"/>
  <c r="AD446" i="3"/>
  <c r="N457" i="3"/>
  <c r="O457" i="3"/>
  <c r="AD457" i="3"/>
  <c r="AH452" i="3"/>
  <c r="AG453" i="3"/>
  <c r="AH374" i="3"/>
  <c r="AG375" i="3"/>
  <c r="AG523" i="3"/>
  <c r="AH522" i="3"/>
  <c r="O463" i="3"/>
  <c r="AD463" i="3"/>
  <c r="N463" i="3"/>
  <c r="AH458" i="3"/>
  <c r="AG459" i="3"/>
  <c r="AG399" i="3"/>
  <c r="AH398" i="3"/>
  <c r="AD474" i="3"/>
  <c r="N474" i="3"/>
  <c r="O474" i="3"/>
  <c r="AH469" i="3"/>
  <c r="AG470" i="3"/>
  <c r="AG443" i="3"/>
  <c r="AH442" i="3"/>
  <c r="AD383" i="3"/>
  <c r="N383" i="3"/>
  <c r="O383" i="3"/>
  <c r="AH354" i="3"/>
  <c r="AG355" i="3"/>
  <c r="AD485" i="3"/>
  <c r="O485" i="3"/>
  <c r="N485" i="3"/>
  <c r="AH480" i="3"/>
  <c r="AG481" i="3"/>
  <c r="O427" i="3"/>
  <c r="N427" i="3"/>
  <c r="AD427" i="3"/>
  <c r="N418" i="3"/>
  <c r="O418" i="3"/>
  <c r="AD418" i="3"/>
  <c r="AG414" i="3"/>
  <c r="AH413" i="3"/>
  <c r="O429" i="3"/>
  <c r="AD429" i="3"/>
  <c r="N429" i="3"/>
  <c r="AG425" i="3"/>
  <c r="AH424" i="3"/>
  <c r="AD440" i="3"/>
  <c r="O440" i="3"/>
  <c r="N440" i="3"/>
  <c r="AG436" i="3"/>
  <c r="AH435" i="3"/>
  <c r="N376" i="3"/>
  <c r="O376" i="3"/>
  <c r="AD376" i="3"/>
  <c r="AH371" i="3"/>
  <c r="AG372" i="3"/>
  <c r="AH326" i="3"/>
  <c r="AG327" i="3"/>
  <c r="AH441" i="3"/>
  <c r="AG442" i="3"/>
  <c r="N382" i="3"/>
  <c r="AD382" i="3"/>
  <c r="O382" i="3"/>
  <c r="AG378" i="3"/>
  <c r="AH377" i="3"/>
  <c r="AG351" i="3"/>
  <c r="AH350" i="3"/>
  <c r="AG291" i="3"/>
  <c r="AH290" i="3"/>
  <c r="N393" i="3"/>
  <c r="O393" i="3"/>
  <c r="AD393" i="3"/>
  <c r="AH388" i="3"/>
  <c r="AG389" i="3"/>
  <c r="N335" i="3"/>
  <c r="O335" i="3"/>
  <c r="AD335" i="3"/>
  <c r="N444" i="3"/>
  <c r="AD444" i="3"/>
  <c r="O444" i="3"/>
  <c r="AG440" i="3"/>
  <c r="AH439" i="3"/>
  <c r="N380" i="3"/>
  <c r="O380" i="3"/>
  <c r="AD380" i="3"/>
  <c r="AH375" i="3"/>
  <c r="AG376" i="3"/>
  <c r="AG343" i="3"/>
  <c r="AH342" i="3"/>
  <c r="O330" i="3"/>
  <c r="N330" i="3"/>
  <c r="AD330" i="3"/>
  <c r="AH325" i="3"/>
  <c r="AG326" i="3"/>
  <c r="AD259" i="3"/>
  <c r="O259" i="3"/>
  <c r="N259" i="3"/>
  <c r="AD341" i="3"/>
  <c r="O341" i="3"/>
  <c r="N341" i="3"/>
  <c r="AG337" i="3"/>
  <c r="AH336" i="3"/>
  <c r="AI336" i="3" s="1"/>
  <c r="AG283" i="3"/>
  <c r="AH282" i="3"/>
  <c r="N328" i="3"/>
  <c r="AD328" i="3"/>
  <c r="O328" i="3"/>
  <c r="AG324" i="3"/>
  <c r="AH323" i="3"/>
  <c r="N251" i="3"/>
  <c r="AD251" i="3"/>
  <c r="O251" i="3"/>
  <c r="N334" i="3"/>
  <c r="AD334" i="3"/>
  <c r="O334" i="3"/>
  <c r="AH329" i="3"/>
  <c r="AG330" i="3"/>
  <c r="O275" i="3"/>
  <c r="AD275" i="3"/>
  <c r="N275" i="3"/>
  <c r="N345" i="3"/>
  <c r="O345" i="3"/>
  <c r="AD345" i="3"/>
  <c r="AG341" i="3"/>
  <c r="AH340" i="3"/>
  <c r="AD332" i="3"/>
  <c r="N332" i="3"/>
  <c r="O332" i="3"/>
  <c r="AH327" i="3"/>
  <c r="AG328" i="3"/>
  <c r="AD267" i="3"/>
  <c r="N267" i="3"/>
  <c r="O267" i="3"/>
  <c r="N242" i="3"/>
  <c r="O242" i="3"/>
  <c r="AD242" i="3"/>
  <c r="AG238" i="3"/>
  <c r="AH237" i="3"/>
  <c r="AH162" i="3"/>
  <c r="AG163" i="3"/>
  <c r="O269" i="3"/>
  <c r="N269" i="3"/>
  <c r="AD269" i="3"/>
  <c r="AG265" i="3"/>
  <c r="AH264" i="3"/>
  <c r="AD203" i="3"/>
  <c r="N203" i="3"/>
  <c r="O203" i="3"/>
  <c r="N224" i="3"/>
  <c r="O224" i="3"/>
  <c r="AD224" i="3"/>
  <c r="AH219" i="3"/>
  <c r="AG220" i="3"/>
  <c r="AG290" i="3"/>
  <c r="AH289" i="3"/>
  <c r="AD230" i="3"/>
  <c r="N230" i="3"/>
  <c r="O230" i="3"/>
  <c r="AH225" i="3"/>
  <c r="AG226" i="3"/>
  <c r="N241" i="3"/>
  <c r="O241" i="3"/>
  <c r="AD241" i="3"/>
  <c r="AH236" i="3"/>
  <c r="AG237" i="3"/>
  <c r="AH206" i="3"/>
  <c r="AG207" i="3"/>
  <c r="AD252" i="3"/>
  <c r="N252" i="3"/>
  <c r="O252" i="3"/>
  <c r="AG248" i="3"/>
  <c r="AH247" i="3"/>
  <c r="N166" i="3"/>
  <c r="O166" i="3"/>
  <c r="AD166" i="3"/>
  <c r="AH161" i="3"/>
  <c r="AG162" i="3"/>
  <c r="AH153" i="3"/>
  <c r="AG154" i="3"/>
  <c r="AD115" i="3"/>
  <c r="N115" i="3"/>
  <c r="O115" i="3"/>
  <c r="O185" i="3"/>
  <c r="N185" i="3"/>
  <c r="AD185" i="3"/>
  <c r="AH180" i="3"/>
  <c r="AG181" i="3"/>
  <c r="AG135" i="3"/>
  <c r="AH134" i="3"/>
  <c r="O188" i="3"/>
  <c r="AD188" i="3"/>
  <c r="N188" i="3"/>
  <c r="AH183" i="3"/>
  <c r="AG184" i="3"/>
  <c r="AG147" i="3"/>
  <c r="AH146" i="3"/>
  <c r="N189" i="3"/>
  <c r="AD189" i="3"/>
  <c r="O189" i="3"/>
  <c r="AH184" i="3"/>
  <c r="AG185" i="3"/>
  <c r="N151" i="3"/>
  <c r="O151" i="3"/>
  <c r="AD151" i="3"/>
  <c r="O121" i="3"/>
  <c r="AD121" i="3"/>
  <c r="N121" i="3"/>
  <c r="O148" i="3"/>
  <c r="N148" i="3"/>
  <c r="AD148" i="3"/>
  <c r="AH143" i="3"/>
  <c r="AG144" i="3"/>
  <c r="AD37" i="3"/>
  <c r="N37" i="3"/>
  <c r="O37" i="3"/>
  <c r="N122" i="3"/>
  <c r="O122" i="3"/>
  <c r="AD122" i="3"/>
  <c r="AG106" i="3"/>
  <c r="AH105" i="3"/>
  <c r="O86" i="3"/>
  <c r="AD86" i="3"/>
  <c r="N86" i="3"/>
  <c r="O141" i="3"/>
  <c r="AD141" i="3"/>
  <c r="N141" i="3"/>
  <c r="AH136" i="3"/>
  <c r="AG137" i="3"/>
  <c r="N93" i="3"/>
  <c r="AD93" i="3"/>
  <c r="O93" i="3"/>
  <c r="AG89" i="3"/>
  <c r="AH88" i="3"/>
  <c r="AG84" i="3"/>
  <c r="AH83" i="3"/>
  <c r="N112" i="3"/>
  <c r="AD112" i="3"/>
  <c r="O112" i="3"/>
  <c r="AH107" i="3"/>
  <c r="AI107" i="3" s="1"/>
  <c r="AG108" i="3"/>
  <c r="AG75" i="3"/>
  <c r="AH74" i="3"/>
  <c r="AH116" i="3"/>
  <c r="AG117" i="3"/>
  <c r="O80" i="3"/>
  <c r="AD80" i="3"/>
  <c r="N80" i="3"/>
  <c r="O100" i="3"/>
  <c r="N100" i="3"/>
  <c r="AD100" i="3"/>
  <c r="AH95" i="3"/>
  <c r="AG96" i="3"/>
  <c r="AD103" i="3"/>
  <c r="O103" i="3"/>
  <c r="N103" i="3"/>
  <c r="AG99" i="3"/>
  <c r="AH98" i="3"/>
  <c r="O43" i="3"/>
  <c r="AD43" i="3"/>
  <c r="N43" i="3"/>
  <c r="AD39" i="3"/>
  <c r="N39" i="3"/>
  <c r="O39" i="3"/>
  <c r="AD45" i="3"/>
  <c r="N45" i="3"/>
  <c r="O45" i="3"/>
  <c r="N59" i="3"/>
  <c r="O59" i="3"/>
  <c r="AD59" i="3"/>
  <c r="O51" i="3"/>
  <c r="N51" i="3"/>
  <c r="AD51" i="3"/>
  <c r="O62" i="3"/>
  <c r="AD62" i="3"/>
  <c r="N62" i="3"/>
  <c r="AG48" i="3"/>
  <c r="AH47" i="3"/>
  <c r="AD65" i="3"/>
  <c r="N65" i="3"/>
  <c r="O65" i="3"/>
  <c r="AH60" i="3"/>
  <c r="AI60" i="3" s="1"/>
  <c r="AG61" i="3"/>
  <c r="AG58" i="3"/>
  <c r="AH57" i="3"/>
  <c r="AG54" i="3"/>
  <c r="AH53" i="3"/>
  <c r="AI53" i="3" s="1"/>
  <c r="AD56" i="3"/>
  <c r="O56" i="3"/>
  <c r="N56" i="3"/>
  <c r="AG52" i="3"/>
  <c r="AH51" i="3"/>
  <c r="AI51" i="3" s="1"/>
  <c r="AD870" i="3"/>
  <c r="N870" i="3"/>
  <c r="O870" i="3"/>
  <c r="AD905" i="3"/>
  <c r="N905" i="3"/>
  <c r="O905" i="3"/>
  <c r="AH946" i="3"/>
  <c r="AG947" i="3"/>
  <c r="AD955" i="3"/>
  <c r="O955" i="3"/>
  <c r="N955" i="3"/>
  <c r="AD935" i="3"/>
  <c r="O935" i="3"/>
  <c r="N935" i="3"/>
  <c r="AD942" i="3"/>
  <c r="O942" i="3"/>
  <c r="N942" i="3"/>
  <c r="AD878" i="3"/>
  <c r="N878" i="3"/>
  <c r="O878" i="3"/>
  <c r="AG874" i="3"/>
  <c r="AH873" i="3"/>
  <c r="AD843" i="3"/>
  <c r="N843" i="3"/>
  <c r="O843" i="3"/>
  <c r="AD993" i="3"/>
  <c r="O993" i="3"/>
  <c r="N993" i="3"/>
  <c r="AG925" i="3"/>
  <c r="AH924" i="3"/>
  <c r="AD865" i="3"/>
  <c r="O865" i="3"/>
  <c r="N865" i="3"/>
  <c r="AH850" i="3"/>
  <c r="AI850" i="3" s="1"/>
  <c r="AG851" i="3"/>
  <c r="AD791" i="3"/>
  <c r="O791" i="3"/>
  <c r="N791" i="3"/>
  <c r="AD915" i="3"/>
  <c r="N915" i="3"/>
  <c r="O915" i="3"/>
  <c r="AD996" i="3"/>
  <c r="O996" i="3"/>
  <c r="N996" i="3"/>
  <c r="AH991" i="3"/>
  <c r="AG992" i="3"/>
  <c r="AD932" i="3"/>
  <c r="O932" i="3"/>
  <c r="N932" i="3"/>
  <c r="AH927" i="3"/>
  <c r="AG928" i="3"/>
  <c r="AD868" i="3"/>
  <c r="O868" i="3"/>
  <c r="N868" i="3"/>
  <c r="AH862" i="3"/>
  <c r="AG863" i="3"/>
  <c r="AD803" i="3"/>
  <c r="O803" i="3"/>
  <c r="N803" i="3"/>
  <c r="AH746" i="3"/>
  <c r="AG747" i="3"/>
  <c r="AD687" i="3"/>
  <c r="O687" i="3"/>
  <c r="N687" i="3"/>
  <c r="AD903" i="3"/>
  <c r="N903" i="3"/>
  <c r="O903" i="3"/>
  <c r="N994" i="3"/>
  <c r="AD994" i="3"/>
  <c r="O994" i="3"/>
  <c r="AH989" i="3"/>
  <c r="AG990" i="3"/>
  <c r="AD930" i="3"/>
  <c r="N930" i="3"/>
  <c r="O930" i="3"/>
  <c r="AH925" i="3"/>
  <c r="AG926" i="3"/>
  <c r="AD866" i="3"/>
  <c r="O866" i="3"/>
  <c r="N866" i="3"/>
  <c r="AH854" i="3"/>
  <c r="AI854" i="3" s="1"/>
  <c r="AG855" i="3"/>
  <c r="AD795" i="3"/>
  <c r="O795" i="3"/>
  <c r="N795" i="3"/>
  <c r="AD895" i="3"/>
  <c r="O895" i="3"/>
  <c r="N895" i="3"/>
  <c r="AD981" i="3"/>
  <c r="O981" i="3"/>
  <c r="N981" i="3"/>
  <c r="AH976" i="3"/>
  <c r="AI976" i="3" s="1"/>
  <c r="AG977" i="3"/>
  <c r="AD917" i="3"/>
  <c r="N917" i="3"/>
  <c r="O917" i="3"/>
  <c r="AH912" i="3"/>
  <c r="AI912" i="3" s="1"/>
  <c r="AG913" i="3"/>
  <c r="AG803" i="3"/>
  <c r="AH802" i="3"/>
  <c r="AD743" i="3"/>
  <c r="O743" i="3"/>
  <c r="N743" i="3"/>
  <c r="AH914" i="3"/>
  <c r="AG915" i="3"/>
  <c r="AD968" i="3"/>
  <c r="N968" i="3"/>
  <c r="O968" i="3"/>
  <c r="AG964" i="3"/>
  <c r="AH963" i="3"/>
  <c r="AD904" i="3"/>
  <c r="O904" i="3"/>
  <c r="N904" i="3"/>
  <c r="AH899" i="3"/>
  <c r="AG900" i="3"/>
  <c r="AG751" i="3"/>
  <c r="AH750" i="3"/>
  <c r="AD691" i="3"/>
  <c r="N691" i="3"/>
  <c r="O691" i="3"/>
  <c r="AG887" i="3"/>
  <c r="AH886" i="3"/>
  <c r="AD806" i="3"/>
  <c r="O806" i="3"/>
  <c r="N806" i="3"/>
  <c r="AG802" i="3"/>
  <c r="AH801" i="3"/>
  <c r="AD742" i="3"/>
  <c r="N742" i="3"/>
  <c r="O742" i="3"/>
  <c r="AH737" i="3"/>
  <c r="AG738" i="3"/>
  <c r="AD669" i="3"/>
  <c r="N669" i="3"/>
  <c r="O669" i="3"/>
  <c r="AD809" i="3"/>
  <c r="N809" i="3"/>
  <c r="O809" i="3"/>
  <c r="AH804" i="3"/>
  <c r="AG805" i="3"/>
  <c r="AD745" i="3"/>
  <c r="O745" i="3"/>
  <c r="N745" i="3"/>
  <c r="AG741" i="3"/>
  <c r="AH740" i="3"/>
  <c r="AD532" i="3"/>
  <c r="N532" i="3"/>
  <c r="O532" i="3"/>
  <c r="AD820" i="3"/>
  <c r="N820" i="3"/>
  <c r="O820" i="3"/>
  <c r="AG816" i="3"/>
  <c r="AH815" i="3"/>
  <c r="AD756" i="3"/>
  <c r="N756" i="3"/>
  <c r="O756" i="3"/>
  <c r="AG752" i="3"/>
  <c r="AH751" i="3"/>
  <c r="AD692" i="3"/>
  <c r="N692" i="3"/>
  <c r="O692" i="3"/>
  <c r="AG688" i="3"/>
  <c r="AI688" i="3" s="1"/>
  <c r="AH687" i="3"/>
  <c r="AD682" i="3"/>
  <c r="N682" i="3"/>
  <c r="O682" i="3"/>
  <c r="AG605" i="3"/>
  <c r="AH604" i="3"/>
  <c r="AD842" i="3"/>
  <c r="O842" i="3"/>
  <c r="N842" i="3"/>
  <c r="AH837" i="3"/>
  <c r="AG838" i="3"/>
  <c r="AD778" i="3"/>
  <c r="O778" i="3"/>
  <c r="N778" i="3"/>
  <c r="AH773" i="3"/>
  <c r="AI773" i="3" s="1"/>
  <c r="AG774" i="3"/>
  <c r="AD714" i="3"/>
  <c r="N714" i="3"/>
  <c r="O714" i="3"/>
  <c r="AG710" i="3"/>
  <c r="AH709" i="3"/>
  <c r="AH616" i="3"/>
  <c r="AG617" i="3"/>
  <c r="AD845" i="3"/>
  <c r="N845" i="3"/>
  <c r="O845" i="3"/>
  <c r="AG841" i="3"/>
  <c r="AH840" i="3"/>
  <c r="AD781" i="3"/>
  <c r="N781" i="3"/>
  <c r="O781" i="3"/>
  <c r="AG777" i="3"/>
  <c r="AH776" i="3"/>
  <c r="AD717" i="3"/>
  <c r="O717" i="3"/>
  <c r="N717" i="3"/>
  <c r="AG713" i="3"/>
  <c r="AH712" i="3"/>
  <c r="AG629" i="3"/>
  <c r="AH628" i="3"/>
  <c r="AD848" i="3"/>
  <c r="O848" i="3"/>
  <c r="N848" i="3"/>
  <c r="AG844" i="3"/>
  <c r="AH843" i="3"/>
  <c r="AD784" i="3"/>
  <c r="N784" i="3"/>
  <c r="O784" i="3"/>
  <c r="AG780" i="3"/>
  <c r="AH779" i="3"/>
  <c r="AD720" i="3"/>
  <c r="O720" i="3"/>
  <c r="N720" i="3"/>
  <c r="AG716" i="3"/>
  <c r="AH715" i="3"/>
  <c r="AI715" i="3" s="1"/>
  <c r="AG641" i="3"/>
  <c r="AH640" i="3"/>
  <c r="AH620" i="3"/>
  <c r="AG621" i="3"/>
  <c r="AD636" i="3"/>
  <c r="N636" i="3"/>
  <c r="O636" i="3"/>
  <c r="AH631" i="3"/>
  <c r="AG632" i="3"/>
  <c r="AD671" i="3"/>
  <c r="N671" i="3"/>
  <c r="O671" i="3"/>
  <c r="AH666" i="3"/>
  <c r="AG667" i="3"/>
  <c r="AD607" i="3"/>
  <c r="O607" i="3"/>
  <c r="N607" i="3"/>
  <c r="AH602" i="3"/>
  <c r="AG603" i="3"/>
  <c r="AI603" i="3" s="1"/>
  <c r="AH551" i="3"/>
  <c r="AG552" i="3"/>
  <c r="AD658" i="3"/>
  <c r="O658" i="3"/>
  <c r="N658" i="3"/>
  <c r="AH653" i="3"/>
  <c r="AG654" i="3"/>
  <c r="AD624" i="3"/>
  <c r="O624" i="3"/>
  <c r="N624" i="3"/>
  <c r="AG620" i="3"/>
  <c r="AH619" i="3"/>
  <c r="AH599" i="3"/>
  <c r="AI599" i="3" s="1"/>
  <c r="AG600" i="3"/>
  <c r="AD560" i="3"/>
  <c r="N560" i="3"/>
  <c r="O560" i="3"/>
  <c r="AH434" i="3"/>
  <c r="AG435" i="3"/>
  <c r="AD635" i="3"/>
  <c r="O635" i="3"/>
  <c r="N635" i="3"/>
  <c r="AG631" i="3"/>
  <c r="AH630" i="3"/>
  <c r="AD670" i="3"/>
  <c r="O670" i="3"/>
  <c r="N670" i="3"/>
  <c r="AG666" i="3"/>
  <c r="AH665" i="3"/>
  <c r="AI665" i="3" s="1"/>
  <c r="AD606" i="3"/>
  <c r="O606" i="3"/>
  <c r="N606" i="3"/>
  <c r="AH601" i="3"/>
  <c r="AG602" i="3"/>
  <c r="AH547" i="3"/>
  <c r="AI547" i="3" s="1"/>
  <c r="AG548" i="3"/>
  <c r="AD543" i="3"/>
  <c r="O543" i="3"/>
  <c r="N543" i="3"/>
  <c r="AG539" i="3"/>
  <c r="AH538" i="3"/>
  <c r="AD523" i="3"/>
  <c r="O523" i="3"/>
  <c r="N523" i="3"/>
  <c r="AD578" i="3"/>
  <c r="N578" i="3"/>
  <c r="O578" i="3"/>
  <c r="AG574" i="3"/>
  <c r="AH573" i="3"/>
  <c r="AG476" i="3"/>
  <c r="AH475" i="3"/>
  <c r="N407" i="3"/>
  <c r="AD407" i="3"/>
  <c r="O407" i="3"/>
  <c r="AD549" i="3"/>
  <c r="O549" i="3"/>
  <c r="N549" i="3"/>
  <c r="AG545" i="3"/>
  <c r="AH544" i="3"/>
  <c r="AI544" i="3" s="1"/>
  <c r="AD555" i="3"/>
  <c r="O555" i="3"/>
  <c r="N555" i="3"/>
  <c r="AG551" i="3"/>
  <c r="AH550" i="3"/>
  <c r="AD542" i="3"/>
  <c r="N542" i="3"/>
  <c r="O542" i="3"/>
  <c r="AG538" i="3"/>
  <c r="AH537" i="3"/>
  <c r="AD521" i="3"/>
  <c r="N521" i="3"/>
  <c r="O521" i="3"/>
  <c r="AD553" i="3"/>
  <c r="N553" i="3"/>
  <c r="O553" i="3"/>
  <c r="AG549" i="3"/>
  <c r="AH548" i="3"/>
  <c r="O459" i="3"/>
  <c r="N459" i="3"/>
  <c r="AD459" i="3"/>
  <c r="AH454" i="3"/>
  <c r="AG455" i="3"/>
  <c r="AG383" i="3"/>
  <c r="AH382" i="3"/>
  <c r="N470" i="3"/>
  <c r="O470" i="3"/>
  <c r="AD470" i="3"/>
  <c r="AH465" i="3"/>
  <c r="AG466" i="3"/>
  <c r="AH426" i="3"/>
  <c r="AG427" i="3"/>
  <c r="O481" i="3"/>
  <c r="AD481" i="3"/>
  <c r="N481" i="3"/>
  <c r="AH476" i="3"/>
  <c r="AG477" i="3"/>
  <c r="N411" i="3"/>
  <c r="AD411" i="3"/>
  <c r="O411" i="3"/>
  <c r="N487" i="3"/>
  <c r="O487" i="3"/>
  <c r="AD487" i="3"/>
  <c r="AH482" i="3"/>
  <c r="AG483" i="3"/>
  <c r="O435" i="3"/>
  <c r="N435" i="3"/>
  <c r="AD435" i="3"/>
  <c r="AD498" i="3"/>
  <c r="N498" i="3"/>
  <c r="O498" i="3"/>
  <c r="AG494" i="3"/>
  <c r="AH493" i="3"/>
  <c r="AH182" i="3"/>
  <c r="AG183" i="3"/>
  <c r="AD509" i="3"/>
  <c r="N509" i="3"/>
  <c r="O509" i="3"/>
  <c r="AH504" i="3"/>
  <c r="AI504" i="3" s="1"/>
  <c r="AG505" i="3"/>
  <c r="N442" i="3"/>
  <c r="O442" i="3"/>
  <c r="AD442" i="3"/>
  <c r="AH437" i="3"/>
  <c r="AG438" i="3"/>
  <c r="AD378" i="3"/>
  <c r="N378" i="3"/>
  <c r="O378" i="3"/>
  <c r="AG374" i="3"/>
  <c r="AH373" i="3"/>
  <c r="AG335" i="3"/>
  <c r="AH334" i="3"/>
  <c r="AI334" i="3" s="1"/>
  <c r="N389" i="3"/>
  <c r="AD389" i="3"/>
  <c r="O389" i="3"/>
  <c r="AG385" i="3"/>
  <c r="AH384" i="3"/>
  <c r="N319" i="3"/>
  <c r="O319" i="3"/>
  <c r="AD319" i="3"/>
  <c r="AD400" i="3"/>
  <c r="O400" i="3"/>
  <c r="N400" i="3"/>
  <c r="AH395" i="3"/>
  <c r="AI395" i="3" s="1"/>
  <c r="AG396" i="3"/>
  <c r="N363" i="3"/>
  <c r="O363" i="3"/>
  <c r="AD363" i="3"/>
  <c r="N406" i="3"/>
  <c r="O406" i="3"/>
  <c r="AD406" i="3"/>
  <c r="AG402" i="3"/>
  <c r="AH401" i="3"/>
  <c r="AD417" i="3"/>
  <c r="N417" i="3"/>
  <c r="O417" i="3"/>
  <c r="AG413" i="3"/>
  <c r="AH412" i="3"/>
  <c r="O404" i="3"/>
  <c r="N404" i="3"/>
  <c r="AD404" i="3"/>
  <c r="AG400" i="3"/>
  <c r="AH399" i="3"/>
  <c r="AG259" i="3"/>
  <c r="AH258" i="3"/>
  <c r="O354" i="3"/>
  <c r="N354" i="3"/>
  <c r="AD354" i="3"/>
  <c r="AG350" i="3"/>
  <c r="AH349" i="3"/>
  <c r="O365" i="3"/>
  <c r="N365" i="3"/>
  <c r="AD365" i="3"/>
  <c r="AG361" i="3"/>
  <c r="AH360" i="3"/>
  <c r="O301" i="3"/>
  <c r="AD301" i="3"/>
  <c r="N301" i="3"/>
  <c r="AH296" i="3"/>
  <c r="AG297" i="3"/>
  <c r="N352" i="3"/>
  <c r="O352" i="3"/>
  <c r="AD352" i="3"/>
  <c r="AH347" i="3"/>
  <c r="AG348" i="3"/>
  <c r="O358" i="3"/>
  <c r="AD358" i="3"/>
  <c r="N358" i="3"/>
  <c r="AH353" i="3"/>
  <c r="AG354" i="3"/>
  <c r="O294" i="3"/>
  <c r="N294" i="3"/>
  <c r="AD294" i="3"/>
  <c r="AH166" i="3"/>
  <c r="AI166" i="3" s="1"/>
  <c r="AG167" i="3"/>
  <c r="AH364" i="3"/>
  <c r="AG365" i="3"/>
  <c r="N305" i="3"/>
  <c r="O305" i="3"/>
  <c r="AD305" i="3"/>
  <c r="AH300" i="3"/>
  <c r="AG301" i="3"/>
  <c r="AH218" i="3"/>
  <c r="AG219" i="3"/>
  <c r="O356" i="3"/>
  <c r="AD356" i="3"/>
  <c r="N356" i="3"/>
  <c r="AH351" i="3"/>
  <c r="AG352" i="3"/>
  <c r="O204" i="3"/>
  <c r="AD204" i="3"/>
  <c r="N204" i="3"/>
  <c r="AD266" i="3"/>
  <c r="O266" i="3"/>
  <c r="N266" i="3"/>
  <c r="AH261" i="3"/>
  <c r="AG262" i="3"/>
  <c r="AH159" i="3"/>
  <c r="AG160" i="3"/>
  <c r="AG289" i="3"/>
  <c r="AH288" i="3"/>
  <c r="AD229" i="3"/>
  <c r="N229" i="3"/>
  <c r="O229" i="3"/>
  <c r="AH224" i="3"/>
  <c r="AG225" i="3"/>
  <c r="O248" i="3"/>
  <c r="N248" i="3"/>
  <c r="AD248" i="3"/>
  <c r="AG244" i="3"/>
  <c r="AH243" i="3"/>
  <c r="AG187" i="3"/>
  <c r="AH186" i="3"/>
  <c r="N254" i="3"/>
  <c r="AD254" i="3"/>
  <c r="O254" i="3"/>
  <c r="AG250" i="3"/>
  <c r="AH249" i="3"/>
  <c r="AD265" i="3"/>
  <c r="O265" i="3"/>
  <c r="N265" i="3"/>
  <c r="AG261" i="3"/>
  <c r="AH260" i="3"/>
  <c r="N195" i="3"/>
  <c r="AD195" i="3"/>
  <c r="O195" i="3"/>
  <c r="N276" i="3"/>
  <c r="O276" i="3"/>
  <c r="AD276" i="3"/>
  <c r="AG272" i="3"/>
  <c r="AH271" i="3"/>
  <c r="AD212" i="3"/>
  <c r="O212" i="3"/>
  <c r="N212" i="3"/>
  <c r="AH207" i="3"/>
  <c r="AG208" i="3"/>
  <c r="O190" i="3"/>
  <c r="N190" i="3"/>
  <c r="AD190" i="3"/>
  <c r="AG186" i="3"/>
  <c r="AH185" i="3"/>
  <c r="AH110" i="3"/>
  <c r="AI110" i="3" s="1"/>
  <c r="AG111" i="3"/>
  <c r="AH204" i="3"/>
  <c r="AG205" i="3"/>
  <c r="AD178" i="3"/>
  <c r="N178" i="3"/>
  <c r="O178" i="3"/>
  <c r="AG174" i="3"/>
  <c r="AH173" i="3"/>
  <c r="N90" i="3"/>
  <c r="O90" i="3"/>
  <c r="AD90" i="3"/>
  <c r="N184" i="3"/>
  <c r="O184" i="3"/>
  <c r="AD184" i="3"/>
  <c r="AH179" i="3"/>
  <c r="AG180" i="3"/>
  <c r="AH130" i="3"/>
  <c r="AI130" i="3" s="1"/>
  <c r="AG131" i="3"/>
  <c r="AD142" i="3"/>
  <c r="N142" i="3"/>
  <c r="O142" i="3"/>
  <c r="AH137" i="3"/>
  <c r="AG138" i="3"/>
  <c r="N145" i="3"/>
  <c r="AD145" i="3"/>
  <c r="O145" i="3"/>
  <c r="AH140" i="3"/>
  <c r="AG141" i="3"/>
  <c r="AH89" i="3"/>
  <c r="AG90" i="3"/>
  <c r="N146" i="3"/>
  <c r="O146" i="3"/>
  <c r="AD146" i="3"/>
  <c r="AH141" i="3"/>
  <c r="AG142" i="3"/>
  <c r="AH160" i="3"/>
  <c r="AG161" i="3"/>
  <c r="AD144" i="3"/>
  <c r="N144" i="3"/>
  <c r="O144" i="3"/>
  <c r="AH139" i="3"/>
  <c r="AG140" i="3"/>
  <c r="AD44" i="3"/>
  <c r="O44" i="3"/>
  <c r="N44" i="3"/>
  <c r="AH119" i="3"/>
  <c r="AG120" i="3"/>
  <c r="O76" i="3"/>
  <c r="AD76" i="3"/>
  <c r="N76" i="3"/>
  <c r="N21" i="3"/>
  <c r="AD21" i="3"/>
  <c r="O21" i="3"/>
  <c r="AG83" i="3"/>
  <c r="AH82" i="3"/>
  <c r="AH22" i="3"/>
  <c r="AG23" i="3"/>
  <c r="AD77" i="3"/>
  <c r="N77" i="3"/>
  <c r="O77" i="3"/>
  <c r="AG73" i="3"/>
  <c r="AH72" i="3"/>
  <c r="AH18" i="3"/>
  <c r="AG19" i="3"/>
  <c r="AH24" i="3"/>
  <c r="AG25" i="3"/>
  <c r="AD83" i="3"/>
  <c r="N83" i="3"/>
  <c r="O83" i="3"/>
  <c r="AH78" i="3"/>
  <c r="AG79" i="3"/>
  <c r="AG31" i="3"/>
  <c r="AH30" i="3"/>
  <c r="AG82" i="3"/>
  <c r="AH81" i="3"/>
  <c r="AD36" i="3"/>
  <c r="N36" i="3"/>
  <c r="O36" i="3"/>
  <c r="AG43" i="3"/>
  <c r="AH42" i="3"/>
  <c r="N22" i="3"/>
  <c r="O22" i="3"/>
  <c r="AD22" i="3"/>
  <c r="AH17" i="3"/>
  <c r="AG18" i="3"/>
  <c r="N25" i="3"/>
  <c r="AD25" i="3"/>
  <c r="O25" i="3"/>
  <c r="AH20" i="3"/>
  <c r="AG21" i="3"/>
  <c r="O18" i="3"/>
  <c r="AD18" i="3"/>
  <c r="N18" i="3"/>
  <c r="AG14" i="3"/>
  <c r="AH13" i="3"/>
  <c r="N16" i="3"/>
  <c r="AD16" i="3"/>
  <c r="O16" i="3"/>
  <c r="AH11" i="3"/>
  <c r="AG12" i="3"/>
  <c r="AH982" i="3"/>
  <c r="AG983" i="3"/>
  <c r="AH990" i="3"/>
  <c r="AG991" i="3"/>
  <c r="AH977" i="3"/>
  <c r="AG978" i="3"/>
  <c r="AD747" i="3"/>
  <c r="O747" i="3"/>
  <c r="N747" i="3"/>
  <c r="AD943" i="3"/>
  <c r="O943" i="3"/>
  <c r="N943" i="3"/>
  <c r="AG995" i="3"/>
  <c r="AH994" i="3"/>
  <c r="AG989" i="3"/>
  <c r="AH988" i="3"/>
  <c r="AD947" i="3"/>
  <c r="O947" i="3"/>
  <c r="N947" i="3"/>
  <c r="AD883" i="3"/>
  <c r="N883" i="3"/>
  <c r="O883" i="3"/>
  <c r="AG763" i="3"/>
  <c r="AH762" i="3"/>
  <c r="AD966" i="3"/>
  <c r="O966" i="3"/>
  <c r="N966" i="3"/>
  <c r="AH961" i="3"/>
  <c r="AG962" i="3"/>
  <c r="AD902" i="3"/>
  <c r="N902" i="3"/>
  <c r="O902" i="3"/>
  <c r="AG898" i="3"/>
  <c r="AH897" i="3"/>
  <c r="AI897" i="3" s="1"/>
  <c r="AG743" i="3"/>
  <c r="AH742" i="3"/>
  <c r="AD683" i="3"/>
  <c r="O683" i="3"/>
  <c r="N683" i="3"/>
  <c r="AD953" i="3"/>
  <c r="O953" i="3"/>
  <c r="N953" i="3"/>
  <c r="AG949" i="3"/>
  <c r="AH948" i="3"/>
  <c r="AD889" i="3"/>
  <c r="O889" i="3"/>
  <c r="N889" i="3"/>
  <c r="AG885" i="3"/>
  <c r="AH884" i="3"/>
  <c r="AH690" i="3"/>
  <c r="AG691" i="3"/>
  <c r="AD956" i="3"/>
  <c r="O956" i="3"/>
  <c r="N956" i="3"/>
  <c r="AH951" i="3"/>
  <c r="AG952" i="3"/>
  <c r="AD892" i="3"/>
  <c r="O892" i="3"/>
  <c r="N892" i="3"/>
  <c r="AH887" i="3"/>
  <c r="AI887" i="3" s="1"/>
  <c r="AG888" i="3"/>
  <c r="AH702" i="3"/>
  <c r="AG703" i="3"/>
  <c r="AH810" i="3"/>
  <c r="AG811" i="3"/>
  <c r="AD954" i="3"/>
  <c r="O954" i="3"/>
  <c r="N954" i="3"/>
  <c r="AH949" i="3"/>
  <c r="AG950" i="3"/>
  <c r="AD890" i="3"/>
  <c r="O890" i="3"/>
  <c r="N890" i="3"/>
  <c r="AH885" i="3"/>
  <c r="AG886" i="3"/>
  <c r="AH694" i="3"/>
  <c r="AI694" i="3" s="1"/>
  <c r="AG695" i="3"/>
  <c r="AH882" i="3"/>
  <c r="AG883" i="3"/>
  <c r="AD871" i="3"/>
  <c r="N871" i="3"/>
  <c r="O871" i="3"/>
  <c r="AD941" i="3"/>
  <c r="N941" i="3"/>
  <c r="O941" i="3"/>
  <c r="AH936" i="3"/>
  <c r="AI936" i="3" s="1"/>
  <c r="AG937" i="3"/>
  <c r="AD877" i="3"/>
  <c r="N877" i="3"/>
  <c r="O877" i="3"/>
  <c r="AH872" i="3"/>
  <c r="AI872" i="3" s="1"/>
  <c r="AG873" i="3"/>
  <c r="AD839" i="3"/>
  <c r="O839" i="3"/>
  <c r="N839" i="3"/>
  <c r="AD992" i="3"/>
  <c r="O992" i="3"/>
  <c r="N992" i="3"/>
  <c r="AG988" i="3"/>
  <c r="AH987" i="3"/>
  <c r="AD928" i="3"/>
  <c r="O928" i="3"/>
  <c r="N928" i="3"/>
  <c r="AG924" i="3"/>
  <c r="AH923" i="3"/>
  <c r="AD864" i="3"/>
  <c r="O864" i="3"/>
  <c r="N864" i="3"/>
  <c r="AH846" i="3"/>
  <c r="AG847" i="3"/>
  <c r="AD787" i="3"/>
  <c r="O787" i="3"/>
  <c r="N787" i="3"/>
  <c r="AH698" i="3"/>
  <c r="AG699" i="3"/>
  <c r="AD830" i="3"/>
  <c r="N830" i="3"/>
  <c r="O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I697" i="3" s="1"/>
  <c r="AD833" i="3"/>
  <c r="N833" i="3"/>
  <c r="O833" i="3"/>
  <c r="AG829" i="3"/>
  <c r="AH828" i="3"/>
  <c r="AD769" i="3"/>
  <c r="N769" i="3"/>
  <c r="O769" i="3"/>
  <c r="AG765" i="3"/>
  <c r="AH764" i="3"/>
  <c r="AI764" i="3" s="1"/>
  <c r="AD705" i="3"/>
  <c r="O705" i="3"/>
  <c r="N705" i="3"/>
  <c r="AH700" i="3"/>
  <c r="AI700" i="3" s="1"/>
  <c r="AG701" i="3"/>
  <c r="AD844" i="3"/>
  <c r="N844" i="3"/>
  <c r="O844" i="3"/>
  <c r="AH839" i="3"/>
  <c r="AG840" i="3"/>
  <c r="AD780" i="3"/>
  <c r="O780" i="3"/>
  <c r="N780" i="3"/>
  <c r="AH775" i="3"/>
  <c r="AI775" i="3" s="1"/>
  <c r="AG776" i="3"/>
  <c r="AD716" i="3"/>
  <c r="O716" i="3"/>
  <c r="N716" i="3"/>
  <c r="AH711" i="3"/>
  <c r="AG712" i="3"/>
  <c r="AG625" i="3"/>
  <c r="AH624" i="3"/>
  <c r="AD641" i="3"/>
  <c r="O641" i="3"/>
  <c r="N641" i="3"/>
  <c r="AH861" i="3"/>
  <c r="AG862" i="3"/>
  <c r="AD802" i="3"/>
  <c r="N802" i="3"/>
  <c r="O802" i="3"/>
  <c r="AH797" i="3"/>
  <c r="AG798" i="3"/>
  <c r="AD738" i="3"/>
  <c r="N738" i="3"/>
  <c r="O738" i="3"/>
  <c r="AH733" i="3"/>
  <c r="AG734" i="3"/>
  <c r="AD653" i="3"/>
  <c r="O653" i="3"/>
  <c r="N653" i="3"/>
  <c r="AD805" i="3"/>
  <c r="N805" i="3"/>
  <c r="O805" i="3"/>
  <c r="AG801" i="3"/>
  <c r="AH800" i="3"/>
  <c r="AI800" i="3" s="1"/>
  <c r="AD741" i="3"/>
  <c r="O741" i="3"/>
  <c r="N741" i="3"/>
  <c r="AH736" i="3"/>
  <c r="AG737" i="3"/>
  <c r="AI737" i="3" s="1"/>
  <c r="AD665" i="3"/>
  <c r="O665" i="3"/>
  <c r="N665" i="3"/>
  <c r="AD808" i="3"/>
  <c r="O808" i="3"/>
  <c r="N808" i="3"/>
  <c r="AH803" i="3"/>
  <c r="AG804" i="3"/>
  <c r="AD744" i="3"/>
  <c r="O744" i="3"/>
  <c r="N744" i="3"/>
  <c r="AG740" i="3"/>
  <c r="AH739" i="3"/>
  <c r="AI739" i="3" s="1"/>
  <c r="AD677" i="3"/>
  <c r="N677" i="3"/>
  <c r="O677" i="3"/>
  <c r="AD660" i="3"/>
  <c r="N660" i="3"/>
  <c r="O660" i="3"/>
  <c r="AH655" i="3"/>
  <c r="AG656" i="3"/>
  <c r="AH467" i="3"/>
  <c r="AI467" i="3" s="1"/>
  <c r="AG468" i="3"/>
  <c r="AD631" i="3"/>
  <c r="O631" i="3"/>
  <c r="N631" i="3"/>
  <c r="AG627" i="3"/>
  <c r="AH626" i="3"/>
  <c r="AD588" i="3"/>
  <c r="O588" i="3"/>
  <c r="N588" i="3"/>
  <c r="AG678" i="3"/>
  <c r="AI678" i="3" s="1"/>
  <c r="AH677" i="3"/>
  <c r="AD618" i="3"/>
  <c r="N618" i="3"/>
  <c r="O618" i="3"/>
  <c r="AH613" i="3"/>
  <c r="AG614" i="3"/>
  <c r="AH595" i="3"/>
  <c r="AG596" i="3"/>
  <c r="AD536" i="3"/>
  <c r="O536" i="3"/>
  <c r="N536" i="3"/>
  <c r="AD504" i="3"/>
  <c r="N504" i="3"/>
  <c r="O504" i="3"/>
  <c r="AD648" i="3"/>
  <c r="N648" i="3"/>
  <c r="O648" i="3"/>
  <c r="AH643" i="3"/>
  <c r="AG644" i="3"/>
  <c r="AD659" i="3"/>
  <c r="N659" i="3"/>
  <c r="O659" i="3"/>
  <c r="AH654" i="3"/>
  <c r="AG655" i="3"/>
  <c r="AH451" i="3"/>
  <c r="AG452" i="3"/>
  <c r="AD630" i="3"/>
  <c r="O630" i="3"/>
  <c r="N630" i="3"/>
  <c r="AH625" i="3"/>
  <c r="AG626" i="3"/>
  <c r="AD584" i="3"/>
  <c r="O584" i="3"/>
  <c r="N584" i="3"/>
  <c r="AD567" i="3"/>
  <c r="O567" i="3"/>
  <c r="N567" i="3"/>
  <c r="AH562" i="3"/>
  <c r="AG563" i="3"/>
  <c r="AH597" i="3"/>
  <c r="AG598" i="3"/>
  <c r="AD538" i="3"/>
  <c r="N538" i="3"/>
  <c r="O538" i="3"/>
  <c r="AH533" i="3"/>
  <c r="AI533" i="3" s="1"/>
  <c r="AG534" i="3"/>
  <c r="AD512" i="3"/>
  <c r="N512" i="3"/>
  <c r="O512" i="3"/>
  <c r="AD573" i="3"/>
  <c r="N573" i="3"/>
  <c r="O573" i="3"/>
  <c r="AH568" i="3"/>
  <c r="AG569" i="3"/>
  <c r="AG456" i="3"/>
  <c r="AH455" i="3"/>
  <c r="AD579" i="3"/>
  <c r="N579" i="3"/>
  <c r="O579" i="3"/>
  <c r="AH574" i="3"/>
  <c r="AG575" i="3"/>
  <c r="AG480" i="3"/>
  <c r="AH479" i="3"/>
  <c r="N423" i="3"/>
  <c r="O423" i="3"/>
  <c r="AD423" i="3"/>
  <c r="N247" i="3"/>
  <c r="O247" i="3"/>
  <c r="AD247" i="3"/>
  <c r="AD566" i="3"/>
  <c r="O566" i="3"/>
  <c r="N566" i="3"/>
  <c r="AG562" i="3"/>
  <c r="AH561" i="3"/>
  <c r="AD577" i="3"/>
  <c r="O577" i="3"/>
  <c r="N577" i="3"/>
  <c r="AG573" i="3"/>
  <c r="AH572" i="3"/>
  <c r="AG472" i="3"/>
  <c r="AH471" i="3"/>
  <c r="O391" i="3"/>
  <c r="N391" i="3"/>
  <c r="AD391" i="3"/>
  <c r="AD483" i="3"/>
  <c r="O483" i="3"/>
  <c r="N483" i="3"/>
  <c r="AH478" i="3"/>
  <c r="AG479" i="3"/>
  <c r="O419" i="3"/>
  <c r="N419" i="3"/>
  <c r="AD419" i="3"/>
  <c r="N494" i="3"/>
  <c r="O494" i="3"/>
  <c r="AD494" i="3"/>
  <c r="AH489" i="3"/>
  <c r="AG490" i="3"/>
  <c r="AD359" i="3"/>
  <c r="O359" i="3"/>
  <c r="N359" i="3"/>
  <c r="O505" i="3"/>
  <c r="AD505" i="3"/>
  <c r="N505" i="3"/>
  <c r="AH500" i="3"/>
  <c r="AG501" i="3"/>
  <c r="AD511" i="3"/>
  <c r="O511" i="3"/>
  <c r="N511" i="3"/>
  <c r="AH506" i="3"/>
  <c r="AG507" i="3"/>
  <c r="AD447" i="3"/>
  <c r="N447" i="3"/>
  <c r="O447" i="3"/>
  <c r="AD522" i="3"/>
  <c r="O522" i="3"/>
  <c r="N522" i="3"/>
  <c r="AG518" i="3"/>
  <c r="AH517" i="3"/>
  <c r="AI517" i="3" s="1"/>
  <c r="O458" i="3"/>
  <c r="N458" i="3"/>
  <c r="AD458" i="3"/>
  <c r="AH453" i="3"/>
  <c r="AG454" i="3"/>
  <c r="AG379" i="3"/>
  <c r="AH378" i="3"/>
  <c r="N469" i="3"/>
  <c r="O469" i="3"/>
  <c r="AD469" i="3"/>
  <c r="AH464" i="3"/>
  <c r="AI464" i="3" s="1"/>
  <c r="AG465" i="3"/>
  <c r="AH422" i="3"/>
  <c r="AI422" i="3" s="1"/>
  <c r="AG423" i="3"/>
  <c r="O402" i="3"/>
  <c r="N402" i="3"/>
  <c r="AD402" i="3"/>
  <c r="AG398" i="3"/>
  <c r="AH397" i="3"/>
  <c r="AH226" i="3"/>
  <c r="AI226" i="3" s="1"/>
  <c r="AG227" i="3"/>
  <c r="O413" i="3"/>
  <c r="N413" i="3"/>
  <c r="AD413" i="3"/>
  <c r="AH408" i="3"/>
  <c r="AG409" i="3"/>
  <c r="O424" i="3"/>
  <c r="AD424" i="3"/>
  <c r="N424" i="3"/>
  <c r="AG420" i="3"/>
  <c r="AH419" i="3"/>
  <c r="O263" i="3"/>
  <c r="AD263" i="3"/>
  <c r="N263" i="3"/>
  <c r="N430" i="3"/>
  <c r="AD430" i="3"/>
  <c r="O430" i="3"/>
  <c r="AH425" i="3"/>
  <c r="AG426" i="3"/>
  <c r="O196" i="3"/>
  <c r="N196" i="3"/>
  <c r="AD196" i="3"/>
  <c r="AD441" i="3"/>
  <c r="O441" i="3"/>
  <c r="N441" i="3"/>
  <c r="AH436" i="3"/>
  <c r="AI436" i="3" s="1"/>
  <c r="AG437" i="3"/>
  <c r="O377" i="3"/>
  <c r="N377" i="3"/>
  <c r="AD377" i="3"/>
  <c r="AH372" i="3"/>
  <c r="AG373" i="3"/>
  <c r="AG331" i="3"/>
  <c r="AH330" i="3"/>
  <c r="AD428" i="3"/>
  <c r="N428" i="3"/>
  <c r="O428" i="3"/>
  <c r="AG424" i="3"/>
  <c r="AH423" i="3"/>
  <c r="N314" i="3"/>
  <c r="AD314" i="3"/>
  <c r="O314" i="3"/>
  <c r="AH309" i="3"/>
  <c r="AG310" i="3"/>
  <c r="AH254" i="3"/>
  <c r="AG255" i="3"/>
  <c r="N171" i="3"/>
  <c r="O171" i="3"/>
  <c r="AD171" i="3"/>
  <c r="O325" i="3"/>
  <c r="N325" i="3"/>
  <c r="AD325" i="3"/>
  <c r="AH320" i="3"/>
  <c r="AI320" i="3" s="1"/>
  <c r="AG321" i="3"/>
  <c r="O239" i="3"/>
  <c r="N239" i="3"/>
  <c r="AD239" i="3"/>
  <c r="O312" i="3"/>
  <c r="N312" i="3"/>
  <c r="AD312" i="3"/>
  <c r="AH307" i="3"/>
  <c r="AG308" i="3"/>
  <c r="AH246" i="3"/>
  <c r="AG247" i="3"/>
  <c r="N318" i="3"/>
  <c r="O318" i="3"/>
  <c r="AD318" i="3"/>
  <c r="AH313" i="3"/>
  <c r="AG314" i="3"/>
  <c r="AH270" i="3"/>
  <c r="AG271" i="3"/>
  <c r="N211" i="3"/>
  <c r="AD211" i="3"/>
  <c r="O211" i="3"/>
  <c r="N329" i="3"/>
  <c r="O329" i="3"/>
  <c r="AD329" i="3"/>
  <c r="AH324" i="3"/>
  <c r="AG325" i="3"/>
  <c r="N255" i="3"/>
  <c r="AD255" i="3"/>
  <c r="O255" i="3"/>
  <c r="AD316" i="3"/>
  <c r="O316" i="3"/>
  <c r="N316" i="3"/>
  <c r="AG312" i="3"/>
  <c r="AH311" i="3"/>
  <c r="AG263" i="3"/>
  <c r="AH262" i="3"/>
  <c r="AG200" i="3"/>
  <c r="AH199" i="3"/>
  <c r="N226" i="3"/>
  <c r="O226" i="3"/>
  <c r="AD226" i="3"/>
  <c r="AH221" i="3"/>
  <c r="AG222" i="3"/>
  <c r="AD155" i="3"/>
  <c r="O155" i="3"/>
  <c r="N155" i="3"/>
  <c r="N253" i="3"/>
  <c r="O253" i="3"/>
  <c r="AD253" i="3"/>
  <c r="AG249" i="3"/>
  <c r="AH248" i="3"/>
  <c r="AD272" i="3"/>
  <c r="O272" i="3"/>
  <c r="N272" i="3"/>
  <c r="AG268" i="3"/>
  <c r="AH267" i="3"/>
  <c r="N208" i="3"/>
  <c r="O208" i="3"/>
  <c r="AD208" i="3"/>
  <c r="N278" i="3"/>
  <c r="O278" i="3"/>
  <c r="AD278" i="3"/>
  <c r="AG274" i="3"/>
  <c r="AH273" i="3"/>
  <c r="AI273" i="3" s="1"/>
  <c r="N214" i="3"/>
  <c r="O214" i="3"/>
  <c r="AD214" i="3"/>
  <c r="AG210" i="3"/>
  <c r="AH209" i="3"/>
  <c r="AI209" i="3" s="1"/>
  <c r="AG127" i="3"/>
  <c r="AH126" i="3"/>
  <c r="AI126" i="3" s="1"/>
  <c r="N289" i="3"/>
  <c r="AD289" i="3"/>
  <c r="O289" i="3"/>
  <c r="AH284" i="3"/>
  <c r="AG285" i="3"/>
  <c r="AD225" i="3"/>
  <c r="N225" i="3"/>
  <c r="O225" i="3"/>
  <c r="AH220" i="3"/>
  <c r="AG221" i="3"/>
  <c r="O236" i="3"/>
  <c r="AD236" i="3"/>
  <c r="N236" i="3"/>
  <c r="AG232" i="3"/>
  <c r="AH231" i="3"/>
  <c r="AD206" i="3"/>
  <c r="O206" i="3"/>
  <c r="N206" i="3"/>
  <c r="AG157" i="3"/>
  <c r="AH156" i="3"/>
  <c r="N169" i="3"/>
  <c r="AD169" i="3"/>
  <c r="O169" i="3"/>
  <c r="AG165" i="3"/>
  <c r="AH164" i="3"/>
  <c r="AI164" i="3" s="1"/>
  <c r="N172" i="3"/>
  <c r="O172" i="3"/>
  <c r="AD172" i="3"/>
  <c r="AG168" i="3"/>
  <c r="AH167" i="3"/>
  <c r="N202" i="3"/>
  <c r="O202" i="3"/>
  <c r="AD202" i="3"/>
  <c r="AG198" i="3"/>
  <c r="AH197" i="3"/>
  <c r="AI197" i="3" s="1"/>
  <c r="N156" i="3"/>
  <c r="O156" i="3"/>
  <c r="AD156" i="3"/>
  <c r="N143" i="3"/>
  <c r="AD143" i="3"/>
  <c r="O143" i="3"/>
  <c r="O173" i="3"/>
  <c r="AD173" i="3"/>
  <c r="N173" i="3"/>
  <c r="AH168" i="3"/>
  <c r="AG169" i="3"/>
  <c r="AG78" i="3"/>
  <c r="AH77" i="3"/>
  <c r="AI77" i="3" s="1"/>
  <c r="AG204" i="3"/>
  <c r="AH203" i="3"/>
  <c r="N68" i="3"/>
  <c r="O68" i="3"/>
  <c r="AD68" i="3"/>
  <c r="AD132" i="3"/>
  <c r="N132" i="3"/>
  <c r="O132" i="3"/>
  <c r="AH127" i="3"/>
  <c r="AG128" i="3"/>
  <c r="AD125" i="3"/>
  <c r="N125" i="3"/>
  <c r="O125" i="3"/>
  <c r="N120" i="3"/>
  <c r="O120" i="3"/>
  <c r="AD120" i="3"/>
  <c r="AD98" i="3"/>
  <c r="N98" i="3"/>
  <c r="O98" i="3"/>
  <c r="N118" i="3"/>
  <c r="O118" i="3"/>
  <c r="AD118" i="3"/>
  <c r="AG40" i="3"/>
  <c r="AH39" i="3"/>
  <c r="AD96" i="3"/>
  <c r="O96" i="3"/>
  <c r="N96" i="3"/>
  <c r="AH91" i="3"/>
  <c r="AG92" i="3"/>
  <c r="AH79" i="3"/>
  <c r="AG80" i="3"/>
  <c r="AH102" i="3"/>
  <c r="AG103" i="3"/>
  <c r="N105" i="3"/>
  <c r="AD105" i="3"/>
  <c r="O105" i="3"/>
  <c r="AG101" i="3"/>
  <c r="AH100" i="3"/>
  <c r="O84" i="3"/>
  <c r="N84" i="3"/>
  <c r="AD84" i="3"/>
  <c r="AH16" i="3"/>
  <c r="AG17" i="3"/>
  <c r="O87" i="3"/>
  <c r="AD87" i="3"/>
  <c r="N87" i="3"/>
  <c r="N11" i="3"/>
  <c r="O11" i="3"/>
  <c r="AD11" i="3"/>
  <c r="O7" i="3"/>
  <c r="N7" i="3"/>
  <c r="AD7" i="3"/>
  <c r="AD13" i="3"/>
  <c r="N13" i="3"/>
  <c r="O13" i="3"/>
  <c r="O19" i="3"/>
  <c r="N19" i="3"/>
  <c r="AD19" i="3"/>
  <c r="AG16" i="3"/>
  <c r="AH15" i="3"/>
  <c r="AD31" i="3"/>
  <c r="O31" i="3"/>
  <c r="N31" i="3"/>
  <c r="O46" i="3"/>
  <c r="AD46" i="3"/>
  <c r="N46" i="3"/>
  <c r="AG42" i="3"/>
  <c r="AH41" i="3"/>
  <c r="N49" i="3"/>
  <c r="AD49" i="3"/>
  <c r="O49" i="3"/>
  <c r="AG45" i="3"/>
  <c r="AH44" i="3"/>
  <c r="O42" i="3"/>
  <c r="AD42" i="3"/>
  <c r="N42" i="3"/>
  <c r="AH37" i="3"/>
  <c r="AG38" i="3"/>
  <c r="AD40" i="3"/>
  <c r="N40" i="3"/>
  <c r="O40" i="3"/>
  <c r="AH35" i="3"/>
  <c r="AG36" i="3"/>
  <c r="AI931" i="3" l="1"/>
  <c r="AI817" i="3"/>
  <c r="AI104" i="3"/>
  <c r="AI431" i="3"/>
  <c r="AI68" i="3"/>
  <c r="AI529" i="3"/>
  <c r="AI258" i="3"/>
  <c r="AI72" i="3"/>
  <c r="AI41" i="3"/>
  <c r="AI270" i="3"/>
  <c r="AI267" i="3"/>
  <c r="AI572" i="3"/>
  <c r="AI846" i="3"/>
  <c r="AI20" i="3"/>
  <c r="AI30" i="3"/>
  <c r="AI207" i="3"/>
  <c r="AI134" i="3"/>
  <c r="AI491" i="3"/>
  <c r="AI843" i="3"/>
  <c r="AI984" i="3"/>
  <c r="AI974" i="3"/>
  <c r="AI587" i="3"/>
  <c r="AI789" i="3"/>
  <c r="AI246" i="3"/>
  <c r="AI451" i="3"/>
  <c r="AI677" i="3"/>
  <c r="AI81" i="3"/>
  <c r="AI837" i="3"/>
  <c r="AI687" i="3"/>
  <c r="AI193" i="3"/>
  <c r="AI567" i="3"/>
  <c r="R18" i="1" a="1"/>
  <c r="AI568" i="3"/>
  <c r="AI613" i="3"/>
  <c r="AI95" i="3"/>
  <c r="AI754" i="3"/>
  <c r="AI27" i="3"/>
  <c r="AI428" i="3"/>
  <c r="AI906" i="3"/>
  <c r="AI580" i="3"/>
  <c r="AI624" i="3"/>
  <c r="AI260" i="3"/>
  <c r="AI298" i="3"/>
  <c r="AA18" i="1" a="1"/>
  <c r="AI550" i="3"/>
  <c r="AI779" i="3"/>
  <c r="AI805" i="3"/>
  <c r="AI371" i="3"/>
  <c r="AI177" i="3"/>
  <c r="AI803" i="3"/>
  <c r="AI139" i="3"/>
  <c r="AI360" i="3"/>
  <c r="AI622" i="3"/>
  <c r="AI231" i="3"/>
  <c r="AI419" i="3"/>
  <c r="AI382" i="3"/>
  <c r="AI143" i="3"/>
  <c r="AI441" i="3"/>
  <c r="AI526" i="3"/>
  <c r="AI606" i="3"/>
  <c r="AI919" i="3"/>
  <c r="AI195" i="3"/>
  <c r="AI662" i="3"/>
  <c r="AI102" i="3"/>
  <c r="AI329" i="3"/>
  <c r="AI574" i="3"/>
  <c r="AI475" i="3"/>
  <c r="AI709" i="3"/>
  <c r="AI439" i="3"/>
  <c r="AI412" i="3"/>
  <c r="AI734" i="3"/>
  <c r="AI923" i="3"/>
  <c r="AI399" i="3"/>
  <c r="AI522" i="3"/>
  <c r="AI819" i="3"/>
  <c r="AI146" i="3"/>
  <c r="AI15" i="3"/>
  <c r="AI561" i="3"/>
  <c r="AI826" i="3"/>
  <c r="AI466" i="3"/>
  <c r="AI305" i="3"/>
  <c r="AI252" i="3"/>
  <c r="AI35" i="3"/>
  <c r="AI203" i="3"/>
  <c r="AI347" i="3"/>
  <c r="AI640" i="3"/>
  <c r="AI375" i="3"/>
  <c r="AI806" i="3"/>
  <c r="AI830" i="3"/>
  <c r="AI114" i="3"/>
  <c r="AI404" i="3"/>
  <c r="AI474" i="3"/>
  <c r="AI463" i="3"/>
  <c r="AI48" i="3"/>
  <c r="AI920" i="3"/>
  <c r="AI363" i="3"/>
  <c r="AI657" i="3"/>
  <c r="AI378" i="3"/>
  <c r="AI13" i="3"/>
  <c r="AI577" i="3"/>
  <c r="AI276" i="3"/>
  <c r="AI536" i="3"/>
  <c r="AI957" i="3"/>
  <c r="AI153" i="3"/>
  <c r="AI89" i="3"/>
  <c r="AI434" i="3"/>
  <c r="AI844" i="3"/>
  <c r="AI963" i="3"/>
  <c r="AI98" i="3"/>
  <c r="A29" i="1" a="1"/>
  <c r="A36" i="1" s="1"/>
  <c r="AI311" i="3"/>
  <c r="AI372" i="3"/>
  <c r="AI300" i="3"/>
  <c r="AI401" i="3"/>
  <c r="AI979" i="3"/>
  <c r="AI582" i="3"/>
  <c r="AI882" i="3"/>
  <c r="AI206" i="3"/>
  <c r="AI659" i="3"/>
  <c r="AI774" i="3"/>
  <c r="AI47" i="3"/>
  <c r="AI446" i="3"/>
  <c r="X3" i="3"/>
  <c r="AD3" i="3" s="1"/>
  <c r="U2" i="3"/>
  <c r="T2" i="3"/>
  <c r="F19" i="1" s="1"/>
  <c r="S2" i="3"/>
  <c r="S4" i="3"/>
  <c r="D56" i="1" s="1"/>
  <c r="AI890" i="3"/>
  <c r="AI444" i="3"/>
  <c r="AI535" i="3"/>
  <c r="R4" i="3"/>
  <c r="D67" i="1" s="1"/>
  <c r="AI167" i="3"/>
  <c r="AI119" i="3"/>
  <c r="AI946" i="3"/>
  <c r="AI668" i="3"/>
  <c r="AI338" i="3"/>
  <c r="AI822" i="3"/>
  <c r="AI331" i="3"/>
  <c r="AI307" i="3"/>
  <c r="AI736" i="3"/>
  <c r="AI223" i="3"/>
  <c r="AI977" i="3"/>
  <c r="AI980" i="3"/>
  <c r="AI105" i="3"/>
  <c r="AI690" i="3"/>
  <c r="AI364" i="3"/>
  <c r="AI74" i="3"/>
  <c r="AI875" i="3"/>
  <c r="AI965" i="3"/>
  <c r="AI299" i="3"/>
  <c r="AI24" i="3"/>
  <c r="AI168" i="3"/>
  <c r="AI408" i="3"/>
  <c r="AI628" i="3"/>
  <c r="AI987" i="3"/>
  <c r="AI948" i="3"/>
  <c r="AI961" i="3"/>
  <c r="AI31" i="3"/>
  <c r="AI173" i="3"/>
  <c r="AI537" i="3"/>
  <c r="AI236" i="3"/>
  <c r="AI355" i="3"/>
  <c r="AI469" i="3"/>
  <c r="AI727" i="3"/>
  <c r="AI939" i="3"/>
  <c r="AI152" i="3"/>
  <c r="AI32" i="3"/>
  <c r="AI235" i="3"/>
  <c r="AI519" i="3"/>
  <c r="AI170" i="3"/>
  <c r="AI450" i="3"/>
  <c r="AI663" i="3"/>
  <c r="AI895" i="3"/>
  <c r="AI44" i="3"/>
  <c r="AI797" i="3"/>
  <c r="AI604" i="3"/>
  <c r="AI417" i="3"/>
  <c r="AI520" i="3"/>
  <c r="AI646" i="3"/>
  <c r="AI76" i="3"/>
  <c r="AI280" i="3"/>
  <c r="AI86" i="3"/>
  <c r="AI782" i="3"/>
  <c r="AI125" i="3"/>
  <c r="AI191" i="3"/>
  <c r="AI156" i="3"/>
  <c r="AI810" i="3"/>
  <c r="AI349" i="3"/>
  <c r="AI332" i="3"/>
  <c r="AI407" i="3"/>
  <c r="AI909" i="3"/>
  <c r="AI384" i="3"/>
  <c r="AI559" i="3"/>
  <c r="AI651" i="3"/>
  <c r="AI685" i="3"/>
  <c r="AI553" i="3"/>
  <c r="AI508" i="3"/>
  <c r="AI220" i="3"/>
  <c r="AI595" i="3"/>
  <c r="AI415" i="3"/>
  <c r="AI315" i="3"/>
  <c r="AI359" i="3"/>
  <c r="AI386" i="3"/>
  <c r="AI199" i="3"/>
  <c r="AI179" i="3"/>
  <c r="AI185" i="3"/>
  <c r="AI353" i="3"/>
  <c r="AI619" i="3"/>
  <c r="AI616" i="3"/>
  <c r="AI914" i="3"/>
  <c r="AI136" i="3"/>
  <c r="AI588" i="3"/>
  <c r="AI584" i="3"/>
  <c r="AI903" i="3"/>
  <c r="AI112" i="3"/>
  <c r="AI303" i="3"/>
  <c r="AI66" i="3"/>
  <c r="AI294" i="3"/>
  <c r="AI122" i="3"/>
  <c r="AI593" i="3"/>
  <c r="AI433" i="3"/>
  <c r="AI999" i="3"/>
  <c r="AI282" i="3"/>
  <c r="AI571" i="3"/>
  <c r="AI749" i="3"/>
  <c r="AI842" i="3"/>
  <c r="AI758" i="3"/>
  <c r="AI941" i="3"/>
  <c r="AI216" i="3"/>
  <c r="AI339" i="3"/>
  <c r="AI511" i="3"/>
  <c r="AI292" i="3"/>
  <c r="AI296" i="3"/>
  <c r="AI750" i="3"/>
  <c r="AI397" i="3"/>
  <c r="AI828" i="3"/>
  <c r="AI825" i="3"/>
  <c r="AI703" i="3"/>
  <c r="AI951" i="3"/>
  <c r="AI11" i="3"/>
  <c r="AI224" i="3"/>
  <c r="AI539" i="3"/>
  <c r="AI925" i="3"/>
  <c r="AI706" i="3"/>
  <c r="AI901" i="3"/>
  <c r="AI97" i="3"/>
  <c r="AI256" i="3"/>
  <c r="AI88" i="3"/>
  <c r="AI91" i="3"/>
  <c r="AI284" i="3"/>
  <c r="AI182" i="3"/>
  <c r="AI489" i="3"/>
  <c r="AI478" i="3"/>
  <c r="AI994" i="3"/>
  <c r="AI141" i="3"/>
  <c r="AI443" i="3"/>
  <c r="AI590" i="3"/>
  <c r="AI55" i="3"/>
  <c r="AI726" i="3"/>
  <c r="AI319" i="3"/>
  <c r="AI514" i="3"/>
  <c r="AI251" i="3"/>
  <c r="AI254" i="3"/>
  <c r="AI243" i="3"/>
  <c r="AI899" i="3"/>
  <c r="AI927" i="3"/>
  <c r="AI340" i="3"/>
  <c r="AI323" i="3"/>
  <c r="AI458" i="3"/>
  <c r="AI287" i="3"/>
  <c r="AI681" i="3"/>
  <c r="AI767" i="3"/>
  <c r="AI26" i="3"/>
  <c r="AI356" i="3"/>
  <c r="AI835" i="3"/>
  <c r="AI87" i="3"/>
  <c r="AI211" i="3"/>
  <c r="AI330" i="3"/>
  <c r="AI37" i="3"/>
  <c r="AI982" i="3"/>
  <c r="AI342" i="3"/>
  <c r="AI388" i="3"/>
  <c r="AI377" i="3"/>
  <c r="AI447" i="3"/>
  <c r="AI783" i="3"/>
  <c r="AI506" i="3"/>
  <c r="AI137" i="3"/>
  <c r="AI248" i="3"/>
  <c r="AI453" i="3"/>
  <c r="AI643" i="3"/>
  <c r="AI733" i="3"/>
  <c r="AI159" i="3"/>
  <c r="AI343" i="3"/>
  <c r="AI916" i="3"/>
  <c r="AI212" i="3"/>
  <c r="AI230" i="3"/>
  <c r="AI865" i="3"/>
  <c r="AI171" i="3"/>
  <c r="AI893" i="3"/>
  <c r="AI661" i="3"/>
  <c r="AI79" i="3"/>
  <c r="AI425" i="3"/>
  <c r="AI471" i="3"/>
  <c r="AI862" i="3"/>
  <c r="AI493" i="3"/>
  <c r="AI8" i="3"/>
  <c r="AI998" i="3"/>
  <c r="AI288" i="3"/>
  <c r="AI324" i="3"/>
  <c r="AI861" i="3"/>
  <c r="AI82" i="3"/>
  <c r="AI351" i="3"/>
  <c r="AI631" i="3"/>
  <c r="AI670" i="3"/>
  <c r="AI240" i="3"/>
  <c r="AI316" i="3"/>
  <c r="AI411" i="3"/>
  <c r="AI682" i="3"/>
  <c r="AI635" i="3"/>
  <c r="AI129" i="3"/>
  <c r="AI541" i="3"/>
  <c r="AI530" i="3"/>
  <c r="AI708" i="3"/>
  <c r="AI149" i="3"/>
  <c r="AI639" i="3"/>
  <c r="AI871" i="3"/>
  <c r="AI934" i="3"/>
  <c r="AI592" i="3"/>
  <c r="AI786" i="3"/>
  <c r="AI771" i="3"/>
  <c r="AI973" i="3"/>
  <c r="AI745" i="3"/>
  <c r="AI971" i="3"/>
  <c r="AI638" i="3"/>
  <c r="AI133" i="3"/>
  <c r="AI59" i="3"/>
  <c r="AI799" i="3"/>
  <c r="AI70" i="3"/>
  <c r="AI279" i="3"/>
  <c r="AI18" i="3"/>
  <c r="AI162" i="3"/>
  <c r="AI354" i="3"/>
  <c r="AI214" i="3"/>
  <c r="AI132" i="3"/>
  <c r="AI178" i="3"/>
  <c r="AI253" i="3"/>
  <c r="AI242" i="3"/>
  <c r="AI768" i="3"/>
  <c r="AI487" i="3"/>
  <c r="AI570" i="3"/>
  <c r="AI546" i="3"/>
  <c r="AI121" i="3"/>
  <c r="AI626" i="3"/>
  <c r="AI180" i="3"/>
  <c r="AI237" i="3"/>
  <c r="AI495" i="3"/>
  <c r="AI213" i="3"/>
  <c r="AI390" i="3"/>
  <c r="AI650" i="3"/>
  <c r="AI647" i="3"/>
  <c r="AI658" i="3"/>
  <c r="AI160" i="3"/>
  <c r="AI802" i="3"/>
  <c r="AI442" i="3"/>
  <c r="AI578" i="3"/>
  <c r="AI318" i="3"/>
  <c r="AI63" i="3"/>
  <c r="AI16" i="3"/>
  <c r="AI455" i="3"/>
  <c r="AI204" i="3"/>
  <c r="AI261" i="3"/>
  <c r="AI476" i="3"/>
  <c r="AI602" i="3"/>
  <c r="AI265" i="3"/>
  <c r="AI266" i="3"/>
  <c r="AI525" i="3"/>
  <c r="AI196" i="3"/>
  <c r="AI346" i="3"/>
  <c r="AI607" i="3"/>
  <c r="AI562" i="3"/>
  <c r="AI625" i="3"/>
  <c r="AI42" i="3"/>
  <c r="AI249" i="3"/>
  <c r="AI548" i="3"/>
  <c r="AI815" i="3"/>
  <c r="AI740" i="3"/>
  <c r="AI57" i="3"/>
  <c r="AI247" i="3"/>
  <c r="AI452" i="3"/>
  <c r="AI642" i="3"/>
  <c r="AI691" i="3"/>
  <c r="AI755" i="3"/>
  <c r="AI33" i="3"/>
  <c r="AI56" i="3"/>
  <c r="AI157" i="3"/>
  <c r="AI277" i="3"/>
  <c r="AI313" i="3"/>
  <c r="AI481" i="3"/>
  <c r="AI470" i="3"/>
  <c r="AI418" i="3"/>
  <c r="AI689" i="3"/>
  <c r="AI915" i="3"/>
  <c r="AI711" i="3"/>
  <c r="AI953" i="3"/>
  <c r="AI67" i="3"/>
  <c r="AI376" i="3"/>
  <c r="AI394" i="3"/>
  <c r="AI540" i="3"/>
  <c r="AI565" i="3"/>
  <c r="AI623" i="3"/>
  <c r="AI860" i="3"/>
  <c r="AI904" i="3"/>
  <c r="AI100" i="3"/>
  <c r="AI135" i="3"/>
  <c r="AI176" i="3"/>
  <c r="AI634" i="3"/>
  <c r="AI515" i="3"/>
  <c r="AI683" i="3"/>
  <c r="AI719" i="3"/>
  <c r="AI523" i="3"/>
  <c r="AI770" i="3"/>
  <c r="AI680" i="3"/>
  <c r="AI995" i="3"/>
  <c r="AI913" i="3"/>
  <c r="AI28" i="3"/>
  <c r="AI138" i="3"/>
  <c r="AI268" i="3"/>
  <c r="AI357" i="3"/>
  <c r="AI448" i="3"/>
  <c r="AI579" i="3"/>
  <c r="AI531" i="3"/>
  <c r="AI583" i="3"/>
  <c r="AI674" i="3"/>
  <c r="AI784" i="3"/>
  <c r="AI823" i="3"/>
  <c r="AI935" i="3"/>
  <c r="AI868" i="3"/>
  <c r="AI62" i="3"/>
  <c r="AI58" i="3"/>
  <c r="AI106" i="3"/>
  <c r="AI123" i="3"/>
  <c r="AI144" i="3"/>
  <c r="AI120" i="3"/>
  <c r="AI192" i="3"/>
  <c r="AI154" i="3"/>
  <c r="AI337" i="3"/>
  <c r="AI306" i="3"/>
  <c r="AI513" i="3"/>
  <c r="AI598" i="3"/>
  <c r="AI322" i="3"/>
  <c r="AI821" i="3"/>
  <c r="AI735" i="3"/>
  <c r="AI849" i="3"/>
  <c r="AI883" i="3"/>
  <c r="AI921" i="3"/>
  <c r="AI958" i="3"/>
  <c r="AI712" i="3"/>
  <c r="AI990" i="3"/>
  <c r="AI83" i="3"/>
  <c r="AI289" i="3"/>
  <c r="AI350" i="3"/>
  <c r="AI435" i="3"/>
  <c r="AI816" i="3"/>
  <c r="AI716" i="3"/>
  <c r="AI632" i="3"/>
  <c r="AI888" i="3"/>
  <c r="AI792" i="3"/>
  <c r="AI669" i="3"/>
  <c r="AI710" i="3"/>
  <c r="AI73" i="3"/>
  <c r="AI200" i="3"/>
  <c r="AI341" i="3"/>
  <c r="AI438" i="3"/>
  <c r="AI807" i="3"/>
  <c r="AI45" i="3"/>
  <c r="AI108" i="3"/>
  <c r="AI99" i="3"/>
  <c r="AI328" i="3"/>
  <c r="AI317" i="3"/>
  <c r="AI416" i="3"/>
  <c r="AI518" i="3"/>
  <c r="AI811" i="3"/>
  <c r="AI742" i="3"/>
  <c r="AI847" i="3"/>
  <c r="AI600" i="3"/>
  <c r="AI769" i="3"/>
  <c r="AI918" i="3"/>
  <c r="AI34" i="3"/>
  <c r="AI75" i="3"/>
  <c r="AI381" i="3"/>
  <c r="AI781" i="3"/>
  <c r="AI116" i="3"/>
  <c r="AI124" i="3"/>
  <c r="AI113" i="3"/>
  <c r="AI244" i="3"/>
  <c r="AI272" i="3"/>
  <c r="AI245" i="3"/>
  <c r="AI586" i="3"/>
  <c r="AI699" i="3"/>
  <c r="AI788" i="3"/>
  <c r="AI664" i="3"/>
  <c r="AI908" i="3"/>
  <c r="AI930" i="3"/>
  <c r="AI937" i="3"/>
  <c r="AI655" i="3"/>
  <c r="AI78" i="3"/>
  <c r="AI437" i="3"/>
  <c r="AI801" i="3"/>
  <c r="AI989" i="3"/>
  <c r="AI641" i="3"/>
  <c r="AI630" i="3"/>
  <c r="AI855" i="3"/>
  <c r="AI900" i="3"/>
  <c r="AI981" i="3"/>
  <c r="AI92" i="3"/>
  <c r="AI274" i="3"/>
  <c r="AI589" i="3"/>
  <c r="AI617" i="3"/>
  <c r="AI692" i="3"/>
  <c r="AI928" i="3"/>
  <c r="AI966" i="3"/>
  <c r="AI391" i="3"/>
  <c r="AI302" i="3"/>
  <c r="AI468" i="3"/>
  <c r="AI457" i="3"/>
  <c r="AI765" i="3"/>
  <c r="AI732" i="3"/>
  <c r="AI793" i="3"/>
  <c r="AI866" i="3"/>
  <c r="AI714" i="3"/>
  <c r="AI61" i="3"/>
  <c r="AI516" i="3"/>
  <c r="AI808" i="3"/>
  <c r="AI741" i="3"/>
  <c r="AI601" i="3"/>
  <c r="AI731" i="3"/>
  <c r="AI880" i="3"/>
  <c r="AI21" i="3"/>
  <c r="AI118" i="3"/>
  <c r="AI187" i="3"/>
  <c r="AI181" i="3"/>
  <c r="AI295" i="3"/>
  <c r="AI293" i="3"/>
  <c r="AI409" i="3"/>
  <c r="AI501" i="3"/>
  <c r="AI609" i="3"/>
  <c r="AI611" i="3"/>
  <c r="AI672" i="3"/>
  <c r="AI759" i="3"/>
  <c r="AI748" i="3"/>
  <c r="AI834" i="3"/>
  <c r="AI898" i="3"/>
  <c r="AI997" i="3"/>
  <c r="AI945" i="3"/>
  <c r="AI766" i="3"/>
  <c r="AI65" i="3"/>
  <c r="AI115" i="3"/>
  <c r="AI169" i="3"/>
  <c r="AI286" i="3"/>
  <c r="AI210" i="3"/>
  <c r="AI596" i="3"/>
  <c r="AI614" i="3"/>
  <c r="AI667" i="3"/>
  <c r="AI827" i="3"/>
  <c r="AI824" i="3"/>
  <c r="AI902" i="3"/>
  <c r="AI950" i="3"/>
  <c r="AI698" i="3"/>
  <c r="AI271" i="3"/>
  <c r="AI426" i="3"/>
  <c r="AI666" i="3"/>
  <c r="AI840" i="3"/>
  <c r="AI751" i="3"/>
  <c r="AI924" i="3"/>
  <c r="AI873" i="3"/>
  <c r="AI183" i="3"/>
  <c r="AI327" i="3"/>
  <c r="AI326" i="3"/>
  <c r="AI413" i="3"/>
  <c r="AI629" i="3"/>
  <c r="AI713" i="3"/>
  <c r="AI874" i="3"/>
  <c r="AI983" i="3"/>
  <c r="AI36" i="3"/>
  <c r="AI158" i="3"/>
  <c r="AI174" i="3"/>
  <c r="AI238" i="3"/>
  <c r="AI456" i="3"/>
  <c r="AI563" i="3"/>
  <c r="AI889" i="3"/>
  <c r="AI967" i="3"/>
  <c r="AI111" i="3"/>
  <c r="AI23" i="3"/>
  <c r="AI201" i="3"/>
  <c r="AI241" i="3"/>
  <c r="AI796" i="3"/>
  <c r="AI239" i="3"/>
  <c r="AI410" i="3"/>
  <c r="AI486" i="3"/>
  <c r="AI836" i="3"/>
  <c r="AI730" i="3"/>
  <c r="AI969" i="3"/>
  <c r="AI970" i="3"/>
  <c r="AI22" i="3"/>
  <c r="AI80" i="3"/>
  <c r="AI84" i="3"/>
  <c r="AI147" i="3"/>
  <c r="AI215" i="3"/>
  <c r="AI361" i="3"/>
  <c r="AI414" i="3"/>
  <c r="AI552" i="3"/>
  <c r="AI507" i="3"/>
  <c r="AI627" i="3"/>
  <c r="AI610" i="3"/>
  <c r="AI723" i="3"/>
  <c r="AI527" i="3"/>
  <c r="AI636" i="3"/>
  <c r="AI809" i="3"/>
  <c r="AI996" i="3"/>
  <c r="AI85" i="3"/>
  <c r="AI255" i="3"/>
  <c r="AI208" i="3"/>
  <c r="AI348" i="3"/>
  <c r="AI358" i="3"/>
  <c r="AI421" i="3"/>
  <c r="AI449" i="3"/>
  <c r="AI597" i="3"/>
  <c r="AI585" i="3"/>
  <c r="AI534" i="3"/>
  <c r="AI555" i="3"/>
  <c r="AI676" i="3"/>
  <c r="AI543" i="3"/>
  <c r="AI785" i="3"/>
  <c r="AI686" i="3"/>
  <c r="AI960" i="3"/>
  <c r="AI790" i="3"/>
  <c r="AI938" i="3"/>
  <c r="AI894" i="3"/>
  <c r="AI885" i="3"/>
  <c r="AI762" i="3"/>
  <c r="AI988" i="3"/>
  <c r="AI17" i="3"/>
  <c r="AI373" i="3"/>
  <c r="AI454" i="3"/>
  <c r="AI573" i="3"/>
  <c r="AI538" i="3"/>
  <c r="AI551" i="3"/>
  <c r="AI991" i="3"/>
  <c r="AI184" i="3"/>
  <c r="AI161" i="3"/>
  <c r="AI219" i="3"/>
  <c r="AI480" i="3"/>
  <c r="AI398" i="3"/>
  <c r="AI494" i="3"/>
  <c r="AI671" i="3"/>
  <c r="AI752" i="3"/>
  <c r="AI993" i="3"/>
  <c r="AI54" i="3"/>
  <c r="AI605" i="3"/>
  <c r="AI618" i="3"/>
  <c r="AI831" i="3"/>
  <c r="AI820" i="3"/>
  <c r="AI940" i="3"/>
  <c r="AI131" i="3"/>
  <c r="AI117" i="3"/>
  <c r="AI264" i="3"/>
  <c r="AI496" i="3"/>
  <c r="AI702" i="3"/>
  <c r="AI929" i="3"/>
  <c r="AI49" i="3"/>
  <c r="AI90" i="3"/>
  <c r="AI128" i="3"/>
  <c r="AI205" i="3"/>
  <c r="AI172" i="3"/>
  <c r="AI281" i="3"/>
  <c r="AI497" i="3"/>
  <c r="AI569" i="3"/>
  <c r="AI483" i="3"/>
  <c r="AI705" i="3"/>
  <c r="AI956" i="3"/>
  <c r="AI926" i="3"/>
  <c r="AI46" i="3"/>
  <c r="AI39" i="3"/>
  <c r="AI148" i="3"/>
  <c r="AI198" i="3"/>
  <c r="AI283" i="3"/>
  <c r="AI720" i="3"/>
  <c r="AI718" i="3"/>
  <c r="AI933" i="3"/>
  <c r="AI881" i="3"/>
  <c r="AI978" i="3"/>
  <c r="AI10" i="3"/>
  <c r="AI103" i="3"/>
  <c r="AI96" i="3"/>
  <c r="AI396" i="3"/>
  <c r="AI385" i="3"/>
  <c r="AI432" i="3"/>
  <c r="AI488" i="3"/>
  <c r="AI477" i="3"/>
  <c r="AI528" i="3"/>
  <c r="AI615" i="3"/>
  <c r="AI761" i="3"/>
  <c r="AI757" i="3"/>
  <c r="AI724" i="3"/>
  <c r="AI738" i="3"/>
  <c r="AI791" i="3"/>
  <c r="AI975" i="3"/>
  <c r="AI221" i="3"/>
  <c r="AI423" i="3"/>
  <c r="AI140" i="3"/>
  <c r="AI186" i="3"/>
  <c r="AI262" i="3"/>
  <c r="AI465" i="3"/>
  <c r="AI620" i="3"/>
  <c r="AI225" i="3"/>
  <c r="AI549" i="3"/>
  <c r="AI841" i="3"/>
  <c r="AI964" i="3"/>
  <c r="AI222" i="3"/>
  <c r="AI400" i="3"/>
  <c r="AI389" i="3"/>
  <c r="AI402" i="3"/>
  <c r="AI728" i="3"/>
  <c r="AI753" i="3"/>
  <c r="AI814" i="3"/>
  <c r="AI864" i="3"/>
  <c r="AI778" i="3"/>
  <c r="AI954" i="3"/>
  <c r="AI12" i="3"/>
  <c r="AI9" i="3"/>
  <c r="AI263" i="3"/>
  <c r="AI352" i="3"/>
  <c r="AI440" i="3"/>
  <c r="AI594" i="3"/>
  <c r="AI608" i="3"/>
  <c r="AI704" i="3"/>
  <c r="AI701" i="3"/>
  <c r="AI743" i="3"/>
  <c r="AI729" i="3"/>
  <c r="AI917" i="3"/>
  <c r="AI43" i="3"/>
  <c r="AI202" i="3"/>
  <c r="AI291" i="3"/>
  <c r="AI405" i="3"/>
  <c r="AI747" i="3"/>
  <c r="AI744" i="3"/>
  <c r="AI772" i="3"/>
  <c r="AI794" i="3"/>
  <c r="AI867" i="3"/>
  <c r="AI19" i="3"/>
  <c r="AI25" i="3"/>
  <c r="AI38" i="3"/>
  <c r="AI269" i="3"/>
  <c r="AI250" i="3"/>
  <c r="AI304" i="3"/>
  <c r="AI420" i="3"/>
  <c r="AI512" i="3"/>
  <c r="AI462" i="3"/>
  <c r="AI575" i="3"/>
  <c r="AI851" i="3"/>
  <c r="AI848" i="3"/>
  <c r="AI717" i="3"/>
  <c r="AI695" i="3"/>
  <c r="AI684" i="3"/>
  <c r="AI932" i="3"/>
  <c r="AI188" i="3"/>
  <c r="AI150" i="3"/>
  <c r="AI344" i="3"/>
  <c r="AI333" i="3"/>
  <c r="AI383" i="3"/>
  <c r="AI379" i="3"/>
  <c r="AI314" i="3"/>
  <c r="AI406" i="3"/>
  <c r="AI760" i="3"/>
  <c r="AI721" i="3"/>
  <c r="AI947" i="3"/>
  <c r="AI798" i="3"/>
  <c r="AI972" i="3"/>
  <c r="AI839" i="3"/>
  <c r="AI985" i="3"/>
  <c r="AI942" i="3"/>
  <c r="AI986" i="3"/>
  <c r="AI776" i="3"/>
  <c r="AI804" i="3"/>
  <c r="AI424" i="3"/>
  <c r="AI374" i="3"/>
  <c r="AI101" i="3"/>
  <c r="AI301" i="3"/>
  <c r="AI756" i="3"/>
  <c r="AI165" i="3"/>
  <c r="AI510" i="3"/>
  <c r="AI500" i="3"/>
  <c r="AI707" i="3"/>
  <c r="AI955" i="3"/>
  <c r="AI968" i="3"/>
  <c r="AI962" i="3"/>
  <c r="AI52" i="3"/>
  <c r="AI217" i="3"/>
  <c r="AI275" i="3"/>
  <c r="AI321" i="3"/>
  <c r="AI310" i="3"/>
  <c r="AI427" i="3"/>
  <c r="AI366" i="3"/>
  <c r="AI472" i="3"/>
  <c r="AI621" i="3"/>
  <c r="AI656" i="3"/>
  <c r="AI612" i="3"/>
  <c r="AI833" i="3"/>
  <c r="AI859" i="3"/>
  <c r="AI944" i="3"/>
  <c r="AI905" i="3"/>
  <c r="AI232" i="3"/>
  <c r="AI308" i="3"/>
  <c r="AI297" i="3"/>
  <c r="AI392" i="3"/>
  <c r="AI445" i="3"/>
  <c r="AI484" i="3"/>
  <c r="AI581" i="3"/>
  <c r="AI812" i="3"/>
  <c r="AI746" i="3"/>
  <c r="AI907" i="3"/>
  <c r="AI869" i="3"/>
  <c r="AI870" i="3"/>
  <c r="AI109" i="3"/>
  <c r="AI233" i="3"/>
  <c r="AI430" i="3"/>
  <c r="AI502" i="3"/>
  <c r="AI558" i="3"/>
  <c r="AI649" i="3"/>
  <c r="AI763" i="3"/>
  <c r="AI852" i="3"/>
  <c r="AI838" i="3"/>
  <c r="AI127" i="3"/>
  <c r="AI479" i="3"/>
  <c r="AI654" i="3"/>
  <c r="AI949" i="3"/>
  <c r="AI886" i="3"/>
  <c r="AI325" i="3"/>
  <c r="AI290" i="3"/>
  <c r="AI505" i="3"/>
  <c r="AI644" i="3"/>
  <c r="AI780" i="3"/>
  <c r="AI777" i="3"/>
  <c r="AI653" i="3"/>
  <c r="AI863" i="3"/>
  <c r="AI952" i="3"/>
  <c r="AI259" i="3"/>
  <c r="AI285" i="3"/>
  <c r="AI312" i="3"/>
  <c r="AI492" i="3"/>
  <c r="AI482" i="3"/>
  <c r="AI564" i="3"/>
  <c r="AI554" i="3"/>
  <c r="AI856" i="3"/>
  <c r="AI992" i="3"/>
  <c r="AI877" i="3"/>
  <c r="AI876" i="3"/>
  <c r="AI14" i="3"/>
  <c r="AI429" i="3"/>
  <c r="AI521" i="3"/>
  <c r="AI365" i="3"/>
  <c r="AI499" i="3"/>
  <c r="AI645" i="3"/>
  <c r="AI832" i="3"/>
  <c r="AI829" i="3"/>
  <c r="AI857" i="3"/>
  <c r="AI818" i="3"/>
  <c r="AI175" i="3"/>
  <c r="AI218" i="3"/>
  <c r="AI229" i="3"/>
  <c r="AI278" i="3"/>
  <c r="AI142" i="3"/>
  <c r="AI459" i="3"/>
  <c r="AI633" i="3"/>
  <c r="AI858" i="3"/>
  <c r="AI892" i="3"/>
  <c r="AI40" i="3"/>
  <c r="AI71" i="3"/>
  <c r="AI93" i="3"/>
  <c r="AI257" i="3"/>
  <c r="AI309" i="3"/>
  <c r="AI403" i="3"/>
  <c r="AI490" i="3"/>
  <c r="AI473" i="3"/>
  <c r="AI545" i="3"/>
  <c r="AI673" i="3"/>
  <c r="AI675" i="3"/>
  <c r="AI660" i="3"/>
  <c r="AI845" i="3"/>
  <c r="AI163" i="3"/>
  <c r="AI190" i="3"/>
  <c r="AI227" i="3"/>
  <c r="AI194" i="3"/>
  <c r="AI335" i="3"/>
  <c r="AI368" i="3"/>
  <c r="AI460" i="3"/>
  <c r="AI557" i="3"/>
  <c r="AI637" i="3"/>
  <c r="AI696" i="3"/>
  <c r="AI693" i="3"/>
  <c r="AI884" i="3"/>
  <c r="AI896" i="3"/>
  <c r="AI911" i="3"/>
  <c r="R18" i="1" l="1"/>
  <c r="R26" i="1"/>
  <c r="R34" i="1"/>
  <c r="R42" i="1"/>
  <c r="R50" i="1"/>
  <c r="R58" i="1"/>
  <c r="R66" i="1"/>
  <c r="S66" i="1" s="1"/>
  <c r="R74" i="1"/>
  <c r="S74" i="1" s="1"/>
  <c r="R82" i="1"/>
  <c r="R90" i="1"/>
  <c r="R98" i="1"/>
  <c r="R106" i="1"/>
  <c r="R114" i="1"/>
  <c r="S114" i="1" s="1"/>
  <c r="R122" i="1"/>
  <c r="R130" i="1"/>
  <c r="S130" i="1" s="1"/>
  <c r="R138" i="1"/>
  <c r="S138" i="1" s="1"/>
  <c r="R146" i="1"/>
  <c r="R154" i="1"/>
  <c r="R162" i="1"/>
  <c r="R170" i="1"/>
  <c r="R178" i="1"/>
  <c r="R186" i="1"/>
  <c r="R194" i="1"/>
  <c r="S194" i="1" s="1"/>
  <c r="R202" i="1"/>
  <c r="S202" i="1" s="1"/>
  <c r="R210" i="1"/>
  <c r="R218" i="1"/>
  <c r="R226" i="1"/>
  <c r="R234" i="1"/>
  <c r="R242" i="1"/>
  <c r="R250" i="1"/>
  <c r="R258" i="1"/>
  <c r="S258" i="1" s="1"/>
  <c r="R266" i="1"/>
  <c r="S266" i="1" s="1"/>
  <c r="R274" i="1"/>
  <c r="R282" i="1"/>
  <c r="R290" i="1"/>
  <c r="R298" i="1"/>
  <c r="R306" i="1"/>
  <c r="R314" i="1"/>
  <c r="R322" i="1"/>
  <c r="S322" i="1" s="1"/>
  <c r="R330" i="1"/>
  <c r="S330" i="1" s="1"/>
  <c r="R338" i="1"/>
  <c r="R346" i="1"/>
  <c r="R354" i="1"/>
  <c r="R362" i="1"/>
  <c r="R370" i="1"/>
  <c r="S370" i="1" s="1"/>
  <c r="R378" i="1"/>
  <c r="R386" i="1"/>
  <c r="S386" i="1" s="1"/>
  <c r="R394" i="1"/>
  <c r="S394" i="1" s="1"/>
  <c r="R402" i="1"/>
  <c r="S402" i="1" s="1"/>
  <c r="R410" i="1"/>
  <c r="S410" i="1" s="1"/>
  <c r="R418" i="1"/>
  <c r="S418" i="1" s="1"/>
  <c r="R426" i="1"/>
  <c r="S426" i="1" s="1"/>
  <c r="R434" i="1"/>
  <c r="S434" i="1" s="1"/>
  <c r="R442" i="1"/>
  <c r="S442" i="1" s="1"/>
  <c r="R450" i="1"/>
  <c r="S450" i="1" s="1"/>
  <c r="R458" i="1"/>
  <c r="S458" i="1" s="1"/>
  <c r="R466" i="1"/>
  <c r="S466" i="1" s="1"/>
  <c r="R474" i="1"/>
  <c r="S474" i="1" s="1"/>
  <c r="R482" i="1"/>
  <c r="S482" i="1" s="1"/>
  <c r="R490" i="1"/>
  <c r="S490" i="1" s="1"/>
  <c r="R498" i="1"/>
  <c r="S498" i="1" s="1"/>
  <c r="R506" i="1"/>
  <c r="S506" i="1" s="1"/>
  <c r="R514" i="1"/>
  <c r="S514" i="1" s="1"/>
  <c r="R522" i="1"/>
  <c r="S522" i="1" s="1"/>
  <c r="R530" i="1"/>
  <c r="S530" i="1" s="1"/>
  <c r="R538" i="1"/>
  <c r="S538" i="1" s="1"/>
  <c r="R546" i="1"/>
  <c r="S546" i="1" s="1"/>
  <c r="R554" i="1"/>
  <c r="S554" i="1" s="1"/>
  <c r="R562" i="1"/>
  <c r="S562" i="1" s="1"/>
  <c r="R570" i="1"/>
  <c r="S570" i="1" s="1"/>
  <c r="R578" i="1"/>
  <c r="S578" i="1" s="1"/>
  <c r="R586" i="1"/>
  <c r="S586" i="1" s="1"/>
  <c r="R594" i="1"/>
  <c r="S594" i="1" s="1"/>
  <c r="R602" i="1"/>
  <c r="S602" i="1" s="1"/>
  <c r="R610" i="1"/>
  <c r="S610" i="1" s="1"/>
  <c r="R618" i="1"/>
  <c r="S618" i="1" s="1"/>
  <c r="R626" i="1"/>
  <c r="S626" i="1" s="1"/>
  <c r="R634" i="1"/>
  <c r="S634" i="1" s="1"/>
  <c r="R642" i="1"/>
  <c r="S642" i="1" s="1"/>
  <c r="R650" i="1"/>
  <c r="S650" i="1" s="1"/>
  <c r="R658" i="1"/>
  <c r="S658" i="1" s="1"/>
  <c r="R19" i="1"/>
  <c r="R27" i="1"/>
  <c r="R35" i="1"/>
  <c r="R43" i="1"/>
  <c r="R51" i="1"/>
  <c r="R59" i="1"/>
  <c r="S59" i="1" s="1"/>
  <c r="R67" i="1"/>
  <c r="S67" i="1" s="1"/>
  <c r="R75" i="1"/>
  <c r="R83" i="1"/>
  <c r="R91" i="1"/>
  <c r="R99" i="1"/>
  <c r="R107" i="1"/>
  <c r="R115" i="1"/>
  <c r="R123" i="1"/>
  <c r="S123" i="1" s="1"/>
  <c r="R131" i="1"/>
  <c r="S131" i="1" s="1"/>
  <c r="R139" i="1"/>
  <c r="R147" i="1"/>
  <c r="R155" i="1"/>
  <c r="R163" i="1"/>
  <c r="R171" i="1"/>
  <c r="R179" i="1"/>
  <c r="R187" i="1"/>
  <c r="S187" i="1" s="1"/>
  <c r="R195" i="1"/>
  <c r="S195" i="1" s="1"/>
  <c r="R203" i="1"/>
  <c r="R211" i="1"/>
  <c r="R219" i="1"/>
  <c r="R227" i="1"/>
  <c r="R235" i="1"/>
  <c r="R243" i="1"/>
  <c r="R251" i="1"/>
  <c r="S251" i="1" s="1"/>
  <c r="R259" i="1"/>
  <c r="S259" i="1" s="1"/>
  <c r="R267" i="1"/>
  <c r="R275" i="1"/>
  <c r="R283" i="1"/>
  <c r="R291" i="1"/>
  <c r="R299" i="1"/>
  <c r="S299" i="1" s="1"/>
  <c r="R307" i="1"/>
  <c r="R315" i="1"/>
  <c r="S315" i="1" s="1"/>
  <c r="R323" i="1"/>
  <c r="S323" i="1" s="1"/>
  <c r="R331" i="1"/>
  <c r="R339" i="1"/>
  <c r="R347" i="1"/>
  <c r="R355" i="1"/>
  <c r="R363" i="1"/>
  <c r="R371" i="1"/>
  <c r="R379" i="1"/>
  <c r="S379" i="1" s="1"/>
  <c r="R387" i="1"/>
  <c r="S387" i="1" s="1"/>
  <c r="R395" i="1"/>
  <c r="R403" i="1"/>
  <c r="S403" i="1" s="1"/>
  <c r="R411" i="1"/>
  <c r="S411" i="1" s="1"/>
  <c r="R419" i="1"/>
  <c r="S419" i="1" s="1"/>
  <c r="R427" i="1"/>
  <c r="S427" i="1" s="1"/>
  <c r="R435" i="1"/>
  <c r="S435" i="1" s="1"/>
  <c r="R443" i="1"/>
  <c r="S443" i="1" s="1"/>
  <c r="R451" i="1"/>
  <c r="S451" i="1" s="1"/>
  <c r="R459" i="1"/>
  <c r="S459" i="1" s="1"/>
  <c r="R467" i="1"/>
  <c r="S467" i="1" s="1"/>
  <c r="R475" i="1"/>
  <c r="S475" i="1" s="1"/>
  <c r="R483" i="1"/>
  <c r="S483" i="1" s="1"/>
  <c r="R491" i="1"/>
  <c r="S491" i="1" s="1"/>
  <c r="R499" i="1"/>
  <c r="S499" i="1" s="1"/>
  <c r="R507" i="1"/>
  <c r="S507" i="1" s="1"/>
  <c r="R515" i="1"/>
  <c r="S515" i="1" s="1"/>
  <c r="R523" i="1"/>
  <c r="S523" i="1" s="1"/>
  <c r="R531" i="1"/>
  <c r="S531" i="1" s="1"/>
  <c r="R539" i="1"/>
  <c r="S539" i="1" s="1"/>
  <c r="R547" i="1"/>
  <c r="S547" i="1" s="1"/>
  <c r="R555" i="1"/>
  <c r="S555" i="1" s="1"/>
  <c r="R563" i="1"/>
  <c r="S563" i="1" s="1"/>
  <c r="R571" i="1"/>
  <c r="S571" i="1" s="1"/>
  <c r="R579" i="1"/>
  <c r="S579" i="1" s="1"/>
  <c r="R587" i="1"/>
  <c r="S587" i="1" s="1"/>
  <c r="R595" i="1"/>
  <c r="S595" i="1" s="1"/>
  <c r="R603" i="1"/>
  <c r="S603" i="1" s="1"/>
  <c r="R611" i="1"/>
  <c r="S611" i="1" s="1"/>
  <c r="R619" i="1"/>
  <c r="S619" i="1" s="1"/>
  <c r="R627" i="1"/>
  <c r="S627" i="1" s="1"/>
  <c r="R635" i="1"/>
  <c r="S635" i="1" s="1"/>
  <c r="R643" i="1"/>
  <c r="S643" i="1" s="1"/>
  <c r="R651" i="1"/>
  <c r="S651" i="1" s="1"/>
  <c r="R659" i="1"/>
  <c r="S659" i="1" s="1"/>
  <c r="R20" i="1"/>
  <c r="R28" i="1"/>
  <c r="R36" i="1"/>
  <c r="R44" i="1"/>
  <c r="R52" i="1"/>
  <c r="S52" i="1" s="1"/>
  <c r="R60" i="1"/>
  <c r="S60" i="1" s="1"/>
  <c r="R68" i="1"/>
  <c r="R76" i="1"/>
  <c r="R84" i="1"/>
  <c r="R92" i="1"/>
  <c r="R100" i="1"/>
  <c r="R108" i="1"/>
  <c r="R116" i="1"/>
  <c r="S116" i="1" s="1"/>
  <c r="R124" i="1"/>
  <c r="S124" i="1" s="1"/>
  <c r="R132" i="1"/>
  <c r="R140" i="1"/>
  <c r="R148" i="1"/>
  <c r="R156" i="1"/>
  <c r="R164" i="1"/>
  <c r="R172" i="1"/>
  <c r="R180" i="1"/>
  <c r="S180" i="1" s="1"/>
  <c r="R188" i="1"/>
  <c r="S188" i="1" s="1"/>
  <c r="R196" i="1"/>
  <c r="R204" i="1"/>
  <c r="R212" i="1"/>
  <c r="R220" i="1"/>
  <c r="R228" i="1"/>
  <c r="R236" i="1"/>
  <c r="R244" i="1"/>
  <c r="S244" i="1" s="1"/>
  <c r="R252" i="1"/>
  <c r="S252" i="1" s="1"/>
  <c r="R260" i="1"/>
  <c r="R268" i="1"/>
  <c r="R276" i="1"/>
  <c r="R284" i="1"/>
  <c r="R292" i="1"/>
  <c r="R300" i="1"/>
  <c r="R308" i="1"/>
  <c r="S308" i="1" s="1"/>
  <c r="R316" i="1"/>
  <c r="S316" i="1" s="1"/>
  <c r="R324" i="1"/>
  <c r="R332" i="1"/>
  <c r="R340" i="1"/>
  <c r="R348" i="1"/>
  <c r="R356" i="1"/>
  <c r="R364" i="1"/>
  <c r="R372" i="1"/>
  <c r="S372" i="1" s="1"/>
  <c r="R380" i="1"/>
  <c r="S380" i="1" s="1"/>
  <c r="R388" i="1"/>
  <c r="R396" i="1"/>
  <c r="S396" i="1" s="1"/>
  <c r="R404" i="1"/>
  <c r="S404" i="1" s="1"/>
  <c r="R412" i="1"/>
  <c r="S412" i="1" s="1"/>
  <c r="R420" i="1"/>
  <c r="S420" i="1" s="1"/>
  <c r="R428" i="1"/>
  <c r="S428" i="1" s="1"/>
  <c r="R436" i="1"/>
  <c r="S436" i="1" s="1"/>
  <c r="R444" i="1"/>
  <c r="S444" i="1" s="1"/>
  <c r="R452" i="1"/>
  <c r="S452" i="1" s="1"/>
  <c r="R460" i="1"/>
  <c r="S460" i="1" s="1"/>
  <c r="R468" i="1"/>
  <c r="S468" i="1" s="1"/>
  <c r="R476" i="1"/>
  <c r="S476" i="1" s="1"/>
  <c r="R484" i="1"/>
  <c r="S484" i="1" s="1"/>
  <c r="R492" i="1"/>
  <c r="S492" i="1" s="1"/>
  <c r="R500" i="1"/>
  <c r="S500" i="1" s="1"/>
  <c r="R508" i="1"/>
  <c r="S508" i="1" s="1"/>
  <c r="R516" i="1"/>
  <c r="S516" i="1" s="1"/>
  <c r="R524" i="1"/>
  <c r="S524" i="1" s="1"/>
  <c r="R532" i="1"/>
  <c r="S532" i="1" s="1"/>
  <c r="R540" i="1"/>
  <c r="S540" i="1" s="1"/>
  <c r="R548" i="1"/>
  <c r="S548" i="1" s="1"/>
  <c r="R556" i="1"/>
  <c r="S556" i="1" s="1"/>
  <c r="R564" i="1"/>
  <c r="S564" i="1" s="1"/>
  <c r="R572" i="1"/>
  <c r="S572" i="1" s="1"/>
  <c r="R580" i="1"/>
  <c r="S580" i="1" s="1"/>
  <c r="R588" i="1"/>
  <c r="S588" i="1" s="1"/>
  <c r="R596" i="1"/>
  <c r="S596" i="1" s="1"/>
  <c r="R604" i="1"/>
  <c r="S604" i="1" s="1"/>
  <c r="R612" i="1"/>
  <c r="S612" i="1" s="1"/>
  <c r="R620" i="1"/>
  <c r="S620" i="1" s="1"/>
  <c r="R628" i="1"/>
  <c r="S628" i="1" s="1"/>
  <c r="R636" i="1"/>
  <c r="S636" i="1" s="1"/>
  <c r="R644" i="1"/>
  <c r="S644" i="1" s="1"/>
  <c r="R652" i="1"/>
  <c r="S652" i="1" s="1"/>
  <c r="R660" i="1"/>
  <c r="S660" i="1" s="1"/>
  <c r="R49" i="1"/>
  <c r="R73" i="1"/>
  <c r="R89" i="1"/>
  <c r="R105" i="1"/>
  <c r="S105" i="1" s="1"/>
  <c r="R21" i="1"/>
  <c r="S21" i="1" s="1"/>
  <c r="R29" i="1"/>
  <c r="R37" i="1"/>
  <c r="R45" i="1"/>
  <c r="R53" i="1"/>
  <c r="R61" i="1"/>
  <c r="R69" i="1"/>
  <c r="S69" i="1" s="1"/>
  <c r="R77" i="1"/>
  <c r="S77" i="1" s="1"/>
  <c r="R85" i="1"/>
  <c r="S85" i="1" s="1"/>
  <c r="R93" i="1"/>
  <c r="R101" i="1"/>
  <c r="R109" i="1"/>
  <c r="R117" i="1"/>
  <c r="R125" i="1"/>
  <c r="R133" i="1"/>
  <c r="R141" i="1"/>
  <c r="S141" i="1" s="1"/>
  <c r="R149" i="1"/>
  <c r="S149" i="1" s="1"/>
  <c r="R157" i="1"/>
  <c r="R165" i="1"/>
  <c r="R173" i="1"/>
  <c r="R181" i="1"/>
  <c r="R189" i="1"/>
  <c r="R197" i="1"/>
  <c r="S197" i="1" s="1"/>
  <c r="R205" i="1"/>
  <c r="S205" i="1" s="1"/>
  <c r="R213" i="1"/>
  <c r="S213" i="1" s="1"/>
  <c r="R221" i="1"/>
  <c r="R229" i="1"/>
  <c r="R237" i="1"/>
  <c r="R245" i="1"/>
  <c r="R253" i="1"/>
  <c r="R261" i="1"/>
  <c r="S261" i="1" s="1"/>
  <c r="R269" i="1"/>
  <c r="S269" i="1" s="1"/>
  <c r="R277" i="1"/>
  <c r="S277" i="1" s="1"/>
  <c r="R285" i="1"/>
  <c r="R293" i="1"/>
  <c r="R301" i="1"/>
  <c r="R309" i="1"/>
  <c r="R317" i="1"/>
  <c r="S317" i="1" s="1"/>
  <c r="R325" i="1"/>
  <c r="R333" i="1"/>
  <c r="S333" i="1" s="1"/>
  <c r="R341" i="1"/>
  <c r="S341" i="1" s="1"/>
  <c r="R349" i="1"/>
  <c r="R357" i="1"/>
  <c r="R365" i="1"/>
  <c r="R373" i="1"/>
  <c r="R381" i="1"/>
  <c r="R389" i="1"/>
  <c r="R397" i="1"/>
  <c r="S397" i="1" s="1"/>
  <c r="R405" i="1"/>
  <c r="S405" i="1" s="1"/>
  <c r="R413" i="1"/>
  <c r="S413" i="1" s="1"/>
  <c r="R421" i="1"/>
  <c r="S421" i="1" s="1"/>
  <c r="R429" i="1"/>
  <c r="S429" i="1" s="1"/>
  <c r="R437" i="1"/>
  <c r="S437" i="1" s="1"/>
  <c r="R445" i="1"/>
  <c r="S445" i="1" s="1"/>
  <c r="R453" i="1"/>
  <c r="S453" i="1" s="1"/>
  <c r="R461" i="1"/>
  <c r="S461" i="1" s="1"/>
  <c r="R469" i="1"/>
  <c r="S469" i="1" s="1"/>
  <c r="R477" i="1"/>
  <c r="S477" i="1" s="1"/>
  <c r="R485" i="1"/>
  <c r="S485" i="1" s="1"/>
  <c r="R493" i="1"/>
  <c r="S493" i="1" s="1"/>
  <c r="R501" i="1"/>
  <c r="S501" i="1" s="1"/>
  <c r="R509" i="1"/>
  <c r="S509" i="1" s="1"/>
  <c r="R517" i="1"/>
  <c r="S517" i="1" s="1"/>
  <c r="R525" i="1"/>
  <c r="S525" i="1" s="1"/>
  <c r="R533" i="1"/>
  <c r="S533" i="1" s="1"/>
  <c r="R541" i="1"/>
  <c r="S541" i="1" s="1"/>
  <c r="R549" i="1"/>
  <c r="S549" i="1" s="1"/>
  <c r="R557" i="1"/>
  <c r="S557" i="1" s="1"/>
  <c r="R565" i="1"/>
  <c r="S565" i="1" s="1"/>
  <c r="R573" i="1"/>
  <c r="S573" i="1" s="1"/>
  <c r="R581" i="1"/>
  <c r="S581" i="1" s="1"/>
  <c r="R589" i="1"/>
  <c r="S589" i="1" s="1"/>
  <c r="R597" i="1"/>
  <c r="S597" i="1" s="1"/>
  <c r="R605" i="1"/>
  <c r="S605" i="1" s="1"/>
  <c r="R613" i="1"/>
  <c r="S613" i="1" s="1"/>
  <c r="R621" i="1"/>
  <c r="S621" i="1" s="1"/>
  <c r="R629" i="1"/>
  <c r="S629" i="1" s="1"/>
  <c r="R637" i="1"/>
  <c r="S637" i="1" s="1"/>
  <c r="R645" i="1"/>
  <c r="S645" i="1" s="1"/>
  <c r="R653" i="1"/>
  <c r="S653" i="1" s="1"/>
  <c r="R661" i="1"/>
  <c r="S661" i="1" s="1"/>
  <c r="R22" i="1"/>
  <c r="R30" i="1"/>
  <c r="R38" i="1"/>
  <c r="R46" i="1"/>
  <c r="R54" i="1"/>
  <c r="R62" i="1"/>
  <c r="R70" i="1"/>
  <c r="S70" i="1" s="1"/>
  <c r="R78" i="1"/>
  <c r="S78" i="1" s="1"/>
  <c r="R86" i="1"/>
  <c r="R94" i="1"/>
  <c r="R102" i="1"/>
  <c r="R110" i="1"/>
  <c r="R118" i="1"/>
  <c r="R126" i="1"/>
  <c r="R134" i="1"/>
  <c r="S134" i="1" s="1"/>
  <c r="R142" i="1"/>
  <c r="S142" i="1" s="1"/>
  <c r="R150" i="1"/>
  <c r="R158" i="1"/>
  <c r="R166" i="1"/>
  <c r="R174" i="1"/>
  <c r="R182" i="1"/>
  <c r="S182" i="1" s="1"/>
  <c r="R190" i="1"/>
  <c r="R198" i="1"/>
  <c r="S198" i="1" s="1"/>
  <c r="R206" i="1"/>
  <c r="S206" i="1" s="1"/>
  <c r="R214" i="1"/>
  <c r="R222" i="1"/>
  <c r="R230" i="1"/>
  <c r="R238" i="1"/>
  <c r="R246" i="1"/>
  <c r="R254" i="1"/>
  <c r="R262" i="1"/>
  <c r="S262" i="1" s="1"/>
  <c r="R270" i="1"/>
  <c r="S270" i="1" s="1"/>
  <c r="R278" i="1"/>
  <c r="R286" i="1"/>
  <c r="R294" i="1"/>
  <c r="R302" i="1"/>
  <c r="R310" i="1"/>
  <c r="R318" i="1"/>
  <c r="R326" i="1"/>
  <c r="S326" i="1" s="1"/>
  <c r="R334" i="1"/>
  <c r="S334" i="1" s="1"/>
  <c r="R342" i="1"/>
  <c r="R350" i="1"/>
  <c r="R358" i="1"/>
  <c r="R366" i="1"/>
  <c r="R374" i="1"/>
  <c r="R382" i="1"/>
  <c r="S382" i="1" s="1"/>
  <c r="R390" i="1"/>
  <c r="S390" i="1" s="1"/>
  <c r="R398" i="1"/>
  <c r="S398" i="1" s="1"/>
  <c r="R406" i="1"/>
  <c r="S406" i="1" s="1"/>
  <c r="R414" i="1"/>
  <c r="S414" i="1" s="1"/>
  <c r="R422" i="1"/>
  <c r="S422" i="1" s="1"/>
  <c r="R430" i="1"/>
  <c r="S430" i="1" s="1"/>
  <c r="R438" i="1"/>
  <c r="S438" i="1" s="1"/>
  <c r="R446" i="1"/>
  <c r="S446" i="1" s="1"/>
  <c r="R454" i="1"/>
  <c r="S454" i="1" s="1"/>
  <c r="R462" i="1"/>
  <c r="S462" i="1" s="1"/>
  <c r="R470" i="1"/>
  <c r="S470" i="1" s="1"/>
  <c r="R478" i="1"/>
  <c r="S478" i="1" s="1"/>
  <c r="R486" i="1"/>
  <c r="S486" i="1" s="1"/>
  <c r="R494" i="1"/>
  <c r="S494" i="1" s="1"/>
  <c r="R502" i="1"/>
  <c r="S502" i="1" s="1"/>
  <c r="R510" i="1"/>
  <c r="S510" i="1" s="1"/>
  <c r="R518" i="1"/>
  <c r="S518" i="1" s="1"/>
  <c r="R526" i="1"/>
  <c r="S526" i="1" s="1"/>
  <c r="R534" i="1"/>
  <c r="S534" i="1" s="1"/>
  <c r="R542" i="1"/>
  <c r="S542" i="1" s="1"/>
  <c r="R550" i="1"/>
  <c r="S550" i="1" s="1"/>
  <c r="R558" i="1"/>
  <c r="S558" i="1" s="1"/>
  <c r="R566" i="1"/>
  <c r="S566" i="1" s="1"/>
  <c r="R574" i="1"/>
  <c r="S574" i="1" s="1"/>
  <c r="R582" i="1"/>
  <c r="S582" i="1" s="1"/>
  <c r="R590" i="1"/>
  <c r="S590" i="1" s="1"/>
  <c r="R598" i="1"/>
  <c r="S598" i="1" s="1"/>
  <c r="R606" i="1"/>
  <c r="S606" i="1" s="1"/>
  <c r="R614" i="1"/>
  <c r="S614" i="1" s="1"/>
  <c r="R622" i="1"/>
  <c r="S622" i="1" s="1"/>
  <c r="R630" i="1"/>
  <c r="S630" i="1" s="1"/>
  <c r="R638" i="1"/>
  <c r="S638" i="1" s="1"/>
  <c r="R646" i="1"/>
  <c r="S646" i="1" s="1"/>
  <c r="R654" i="1"/>
  <c r="S654" i="1" s="1"/>
  <c r="R662" i="1"/>
  <c r="S662" i="1" s="1"/>
  <c r="R23" i="1"/>
  <c r="R31" i="1"/>
  <c r="R39" i="1"/>
  <c r="R47" i="1"/>
  <c r="S47" i="1" s="1"/>
  <c r="R55" i="1"/>
  <c r="R63" i="1"/>
  <c r="S63" i="1" s="1"/>
  <c r="R71" i="1"/>
  <c r="S71" i="1" s="1"/>
  <c r="R79" i="1"/>
  <c r="R87" i="1"/>
  <c r="R95" i="1"/>
  <c r="R103" i="1"/>
  <c r="R111" i="1"/>
  <c r="R119" i="1"/>
  <c r="R127" i="1"/>
  <c r="S127" i="1" s="1"/>
  <c r="R135" i="1"/>
  <c r="S135" i="1" s="1"/>
  <c r="R143" i="1"/>
  <c r="R151" i="1"/>
  <c r="R159" i="1"/>
  <c r="R167" i="1"/>
  <c r="R175" i="1"/>
  <c r="R183" i="1"/>
  <c r="S183" i="1" s="1"/>
  <c r="R191" i="1"/>
  <c r="S191" i="1" s="1"/>
  <c r="R199" i="1"/>
  <c r="S199" i="1" s="1"/>
  <c r="R207" i="1"/>
  <c r="R215" i="1"/>
  <c r="R223" i="1"/>
  <c r="R231" i="1"/>
  <c r="R239" i="1"/>
  <c r="R247" i="1"/>
  <c r="R255" i="1"/>
  <c r="S255" i="1" s="1"/>
  <c r="R263" i="1"/>
  <c r="S263" i="1" s="1"/>
  <c r="R271" i="1"/>
  <c r="S271" i="1" s="1"/>
  <c r="R279" i="1"/>
  <c r="R287" i="1"/>
  <c r="R295" i="1"/>
  <c r="R303" i="1"/>
  <c r="R311" i="1"/>
  <c r="S311" i="1" s="1"/>
  <c r="R319" i="1"/>
  <c r="S319" i="1" s="1"/>
  <c r="R327" i="1"/>
  <c r="S327" i="1" s="1"/>
  <c r="R335" i="1"/>
  <c r="R343" i="1"/>
  <c r="R351" i="1"/>
  <c r="R359" i="1"/>
  <c r="R367" i="1"/>
  <c r="R375" i="1"/>
  <c r="R383" i="1"/>
  <c r="S383" i="1" s="1"/>
  <c r="R391" i="1"/>
  <c r="S391" i="1" s="1"/>
  <c r="R399" i="1"/>
  <c r="S399" i="1" s="1"/>
  <c r="R407" i="1"/>
  <c r="S407" i="1" s="1"/>
  <c r="R415" i="1"/>
  <c r="S415" i="1" s="1"/>
  <c r="R423" i="1"/>
  <c r="S423" i="1" s="1"/>
  <c r="R431" i="1"/>
  <c r="S431" i="1" s="1"/>
  <c r="R439" i="1"/>
  <c r="S439" i="1" s="1"/>
  <c r="R447" i="1"/>
  <c r="S447" i="1" s="1"/>
  <c r="R455" i="1"/>
  <c r="S455" i="1" s="1"/>
  <c r="R463" i="1"/>
  <c r="S463" i="1" s="1"/>
  <c r="R471" i="1"/>
  <c r="S471" i="1" s="1"/>
  <c r="R479" i="1"/>
  <c r="S479" i="1" s="1"/>
  <c r="R487" i="1"/>
  <c r="S487" i="1" s="1"/>
  <c r="R495" i="1"/>
  <c r="S495" i="1" s="1"/>
  <c r="R503" i="1"/>
  <c r="S503" i="1" s="1"/>
  <c r="R511" i="1"/>
  <c r="S511" i="1" s="1"/>
  <c r="R519" i="1"/>
  <c r="S519" i="1" s="1"/>
  <c r="R527" i="1"/>
  <c r="S527" i="1" s="1"/>
  <c r="R535" i="1"/>
  <c r="S535" i="1" s="1"/>
  <c r="R543" i="1"/>
  <c r="S543" i="1" s="1"/>
  <c r="R551" i="1"/>
  <c r="S551" i="1" s="1"/>
  <c r="R559" i="1"/>
  <c r="S559" i="1" s="1"/>
  <c r="R567" i="1"/>
  <c r="S567" i="1" s="1"/>
  <c r="R575" i="1"/>
  <c r="S575" i="1" s="1"/>
  <c r="R583" i="1"/>
  <c r="S583" i="1" s="1"/>
  <c r="R591" i="1"/>
  <c r="S591" i="1" s="1"/>
  <c r="R599" i="1"/>
  <c r="S599" i="1" s="1"/>
  <c r="R607" i="1"/>
  <c r="S607" i="1" s="1"/>
  <c r="R615" i="1"/>
  <c r="S615" i="1" s="1"/>
  <c r="R623" i="1"/>
  <c r="S623" i="1" s="1"/>
  <c r="R631" i="1"/>
  <c r="S631" i="1" s="1"/>
  <c r="R639" i="1"/>
  <c r="S639" i="1" s="1"/>
  <c r="R647" i="1"/>
  <c r="S647" i="1" s="1"/>
  <c r="R655" i="1"/>
  <c r="S655" i="1" s="1"/>
  <c r="R24" i="1"/>
  <c r="R32" i="1"/>
  <c r="R40" i="1"/>
  <c r="R48" i="1"/>
  <c r="R56" i="1"/>
  <c r="R64" i="1"/>
  <c r="S64" i="1" s="1"/>
  <c r="R72" i="1"/>
  <c r="S72" i="1" s="1"/>
  <c r="R80" i="1"/>
  <c r="R88" i="1"/>
  <c r="R96" i="1"/>
  <c r="R104" i="1"/>
  <c r="R112" i="1"/>
  <c r="R120" i="1"/>
  <c r="R128" i="1"/>
  <c r="S128" i="1" s="1"/>
  <c r="R136" i="1"/>
  <c r="S136" i="1" s="1"/>
  <c r="R144" i="1"/>
  <c r="R152" i="1"/>
  <c r="R160" i="1"/>
  <c r="R168" i="1"/>
  <c r="R176" i="1"/>
  <c r="S176" i="1" s="1"/>
  <c r="R184" i="1"/>
  <c r="R192" i="1"/>
  <c r="S192" i="1" s="1"/>
  <c r="R200" i="1"/>
  <c r="S200" i="1" s="1"/>
  <c r="R208" i="1"/>
  <c r="R216" i="1"/>
  <c r="R224" i="1"/>
  <c r="R232" i="1"/>
  <c r="R240" i="1"/>
  <c r="R248" i="1"/>
  <c r="S248" i="1" s="1"/>
  <c r="R256" i="1"/>
  <c r="S256" i="1" s="1"/>
  <c r="R264" i="1"/>
  <c r="S264" i="1" s="1"/>
  <c r="R272" i="1"/>
  <c r="R280" i="1"/>
  <c r="R288" i="1"/>
  <c r="R296" i="1"/>
  <c r="R304" i="1"/>
  <c r="R312" i="1"/>
  <c r="R320" i="1"/>
  <c r="S320" i="1" s="1"/>
  <c r="R328" i="1"/>
  <c r="S328" i="1" s="1"/>
  <c r="R336" i="1"/>
  <c r="R344" i="1"/>
  <c r="R352" i="1"/>
  <c r="R360" i="1"/>
  <c r="R368" i="1"/>
  <c r="R376" i="1"/>
  <c r="S376" i="1" s="1"/>
  <c r="R384" i="1"/>
  <c r="S384" i="1" s="1"/>
  <c r="R392" i="1"/>
  <c r="S392" i="1" s="1"/>
  <c r="R400" i="1"/>
  <c r="S400" i="1" s="1"/>
  <c r="R408" i="1"/>
  <c r="S408" i="1" s="1"/>
  <c r="R416" i="1"/>
  <c r="S416" i="1" s="1"/>
  <c r="R424" i="1"/>
  <c r="S424" i="1" s="1"/>
  <c r="R432" i="1"/>
  <c r="S432" i="1" s="1"/>
  <c r="R440" i="1"/>
  <c r="S440" i="1" s="1"/>
  <c r="R448" i="1"/>
  <c r="S448" i="1" s="1"/>
  <c r="R456" i="1"/>
  <c r="S456" i="1" s="1"/>
  <c r="R464" i="1"/>
  <c r="S464" i="1" s="1"/>
  <c r="R472" i="1"/>
  <c r="S472" i="1" s="1"/>
  <c r="R480" i="1"/>
  <c r="S480" i="1" s="1"/>
  <c r="R488" i="1"/>
  <c r="S488" i="1" s="1"/>
  <c r="R496" i="1"/>
  <c r="S496" i="1" s="1"/>
  <c r="R504" i="1"/>
  <c r="S504" i="1" s="1"/>
  <c r="R512" i="1"/>
  <c r="S512" i="1" s="1"/>
  <c r="R520" i="1"/>
  <c r="S520" i="1" s="1"/>
  <c r="R528" i="1"/>
  <c r="S528" i="1" s="1"/>
  <c r="R536" i="1"/>
  <c r="S536" i="1" s="1"/>
  <c r="R544" i="1"/>
  <c r="S544" i="1" s="1"/>
  <c r="R552" i="1"/>
  <c r="S552" i="1" s="1"/>
  <c r="R560" i="1"/>
  <c r="S560" i="1" s="1"/>
  <c r="R568" i="1"/>
  <c r="S568" i="1" s="1"/>
  <c r="R576" i="1"/>
  <c r="S576" i="1" s="1"/>
  <c r="R584" i="1"/>
  <c r="S584" i="1" s="1"/>
  <c r="R592" i="1"/>
  <c r="S592" i="1" s="1"/>
  <c r="R600" i="1"/>
  <c r="S600" i="1" s="1"/>
  <c r="R608" i="1"/>
  <c r="S608" i="1" s="1"/>
  <c r="R616" i="1"/>
  <c r="S616" i="1" s="1"/>
  <c r="R624" i="1"/>
  <c r="S624" i="1" s="1"/>
  <c r="R632" i="1"/>
  <c r="S632" i="1" s="1"/>
  <c r="R640" i="1"/>
  <c r="S640" i="1" s="1"/>
  <c r="R648" i="1"/>
  <c r="S648" i="1" s="1"/>
  <c r="R656" i="1"/>
  <c r="S656" i="1" s="1"/>
  <c r="R25" i="1"/>
  <c r="R81" i="1"/>
  <c r="R97" i="1"/>
  <c r="R113" i="1"/>
  <c r="R41" i="1"/>
  <c r="R161" i="1"/>
  <c r="S161" i="1" s="1"/>
  <c r="R225" i="1"/>
  <c r="S225" i="1" s="1"/>
  <c r="R289" i="1"/>
  <c r="R353" i="1"/>
  <c r="R417" i="1"/>
  <c r="S417" i="1" s="1"/>
  <c r="R481" i="1"/>
  <c r="S481" i="1" s="1"/>
  <c r="R545" i="1"/>
  <c r="S545" i="1" s="1"/>
  <c r="R609" i="1"/>
  <c r="S609" i="1" s="1"/>
  <c r="R249" i="1"/>
  <c r="S249" i="1" s="1"/>
  <c r="R569" i="1"/>
  <c r="S569" i="1" s="1"/>
  <c r="R321" i="1"/>
  <c r="R513" i="1"/>
  <c r="S513" i="1" s="1"/>
  <c r="R641" i="1"/>
  <c r="S641" i="1" s="1"/>
  <c r="R657" i="1"/>
  <c r="S657" i="1" s="1"/>
  <c r="R217" i="1"/>
  <c r="S217" i="1" s="1"/>
  <c r="R409" i="1"/>
  <c r="S409" i="1" s="1"/>
  <c r="R57" i="1"/>
  <c r="S57" i="1" s="1"/>
  <c r="R169" i="1"/>
  <c r="S169" i="1" s="1"/>
  <c r="R233" i="1"/>
  <c r="R297" i="1"/>
  <c r="R361" i="1"/>
  <c r="R425" i="1"/>
  <c r="S425" i="1" s="1"/>
  <c r="R489" i="1"/>
  <c r="S489" i="1" s="1"/>
  <c r="R553" i="1"/>
  <c r="S553" i="1" s="1"/>
  <c r="R617" i="1"/>
  <c r="S617" i="1" s="1"/>
  <c r="R185" i="1"/>
  <c r="S185" i="1" s="1"/>
  <c r="R377" i="1"/>
  <c r="R441" i="1"/>
  <c r="S441" i="1" s="1"/>
  <c r="R633" i="1"/>
  <c r="S633" i="1" s="1"/>
  <c r="R193" i="1"/>
  <c r="R385" i="1"/>
  <c r="R529" i="1"/>
  <c r="S529" i="1" s="1"/>
  <c r="R153" i="1"/>
  <c r="S153" i="1" s="1"/>
  <c r="R473" i="1"/>
  <c r="S473" i="1" s="1"/>
  <c r="R65" i="1"/>
  <c r="R177" i="1"/>
  <c r="R241" i="1"/>
  <c r="R305" i="1"/>
  <c r="R369" i="1"/>
  <c r="R433" i="1"/>
  <c r="S433" i="1" s="1"/>
  <c r="R497" i="1"/>
  <c r="S497" i="1" s="1"/>
  <c r="R561" i="1"/>
  <c r="S561" i="1" s="1"/>
  <c r="R625" i="1"/>
  <c r="S625" i="1" s="1"/>
  <c r="R121" i="1"/>
  <c r="R313" i="1"/>
  <c r="R505" i="1"/>
  <c r="S505" i="1" s="1"/>
  <c r="R257" i="1"/>
  <c r="S257" i="1" s="1"/>
  <c r="R449" i="1"/>
  <c r="S449" i="1" s="1"/>
  <c r="R577" i="1"/>
  <c r="S577" i="1" s="1"/>
  <c r="R465" i="1"/>
  <c r="S465" i="1" s="1"/>
  <c r="R33" i="1"/>
  <c r="S33" i="1" s="1"/>
  <c r="R601" i="1"/>
  <c r="S601" i="1" s="1"/>
  <c r="R129" i="1"/>
  <c r="R137" i="1"/>
  <c r="R201" i="1"/>
  <c r="S201" i="1" s="1"/>
  <c r="R265" i="1"/>
  <c r="S265" i="1" s="1"/>
  <c r="R329" i="1"/>
  <c r="S329" i="1" s="1"/>
  <c r="R393" i="1"/>
  <c r="S393" i="1" s="1"/>
  <c r="R457" i="1"/>
  <c r="S457" i="1" s="1"/>
  <c r="R521" i="1"/>
  <c r="S521" i="1" s="1"/>
  <c r="R585" i="1"/>
  <c r="S585" i="1" s="1"/>
  <c r="R649" i="1"/>
  <c r="S649" i="1" s="1"/>
  <c r="R337" i="1"/>
  <c r="S337" i="1" s="1"/>
  <c r="R593" i="1"/>
  <c r="S593" i="1" s="1"/>
  <c r="R281" i="1"/>
  <c r="S281" i="1" s="1"/>
  <c r="R345" i="1"/>
  <c r="S345" i="1" s="1"/>
  <c r="R537" i="1"/>
  <c r="S537" i="1" s="1"/>
  <c r="R145" i="1"/>
  <c r="R209" i="1"/>
  <c r="R273" i="1"/>
  <c r="R401" i="1"/>
  <c r="S401" i="1" s="1"/>
  <c r="AA18" i="1"/>
  <c r="AB18" i="1" s="1"/>
  <c r="AA26" i="1"/>
  <c r="AB26" i="1" s="1"/>
  <c r="AA34" i="1"/>
  <c r="AB34" i="1" s="1"/>
  <c r="AA42" i="1"/>
  <c r="AA50" i="1"/>
  <c r="AA58" i="1"/>
  <c r="AA66" i="1"/>
  <c r="AA74" i="1"/>
  <c r="AA82" i="1"/>
  <c r="AB82" i="1" s="1"/>
  <c r="AA90" i="1"/>
  <c r="AB90" i="1" s="1"/>
  <c r="AA98" i="1"/>
  <c r="AB98" i="1" s="1"/>
  <c r="AA106" i="1"/>
  <c r="AA114" i="1"/>
  <c r="AA122" i="1"/>
  <c r="AA130" i="1"/>
  <c r="AA138" i="1"/>
  <c r="AA146" i="1"/>
  <c r="AA154" i="1"/>
  <c r="AB154" i="1" s="1"/>
  <c r="AA162" i="1"/>
  <c r="AB162" i="1" s="1"/>
  <c r="AA170" i="1"/>
  <c r="AA178" i="1"/>
  <c r="AA186" i="1"/>
  <c r="AA194" i="1"/>
  <c r="AA202" i="1"/>
  <c r="AA210" i="1"/>
  <c r="AA218" i="1"/>
  <c r="AB218" i="1" s="1"/>
  <c r="AA226" i="1"/>
  <c r="AB226" i="1" s="1"/>
  <c r="AA234" i="1"/>
  <c r="AA242" i="1"/>
  <c r="AA250" i="1"/>
  <c r="AA258" i="1"/>
  <c r="AA266" i="1"/>
  <c r="AA274" i="1"/>
  <c r="AB274" i="1" s="1"/>
  <c r="AA282" i="1"/>
  <c r="AB282" i="1" s="1"/>
  <c r="AA290" i="1"/>
  <c r="AB290" i="1" s="1"/>
  <c r="AA298" i="1"/>
  <c r="AA306" i="1"/>
  <c r="AA314" i="1"/>
  <c r="AA322" i="1"/>
  <c r="AA330" i="1"/>
  <c r="AA338" i="1"/>
  <c r="AB338" i="1" s="1"/>
  <c r="AA346" i="1"/>
  <c r="AB346" i="1" s="1"/>
  <c r="AA354" i="1"/>
  <c r="AB354" i="1" s="1"/>
  <c r="AA362" i="1"/>
  <c r="AA370" i="1"/>
  <c r="AA378" i="1"/>
  <c r="AA386" i="1"/>
  <c r="AA394" i="1"/>
  <c r="AA402" i="1"/>
  <c r="AB402" i="1" s="1"/>
  <c r="AA410" i="1"/>
  <c r="AB410" i="1" s="1"/>
  <c r="AA418" i="1"/>
  <c r="AB418" i="1" s="1"/>
  <c r="AA426" i="1"/>
  <c r="AB426" i="1" s="1"/>
  <c r="AA434" i="1"/>
  <c r="AB434" i="1" s="1"/>
  <c r="AA442" i="1"/>
  <c r="AB442" i="1" s="1"/>
  <c r="AA450" i="1"/>
  <c r="AB450" i="1" s="1"/>
  <c r="AA458" i="1"/>
  <c r="AB458" i="1" s="1"/>
  <c r="AA466" i="1"/>
  <c r="AB466" i="1" s="1"/>
  <c r="AA474" i="1"/>
  <c r="AB474" i="1" s="1"/>
  <c r="AA482" i="1"/>
  <c r="AB482" i="1" s="1"/>
  <c r="AA490" i="1"/>
  <c r="AB490" i="1" s="1"/>
  <c r="AA498" i="1"/>
  <c r="AB498" i="1" s="1"/>
  <c r="AA506" i="1"/>
  <c r="AB506" i="1" s="1"/>
  <c r="AA514" i="1"/>
  <c r="AB514" i="1" s="1"/>
  <c r="AA522" i="1"/>
  <c r="AB522" i="1" s="1"/>
  <c r="AA530" i="1"/>
  <c r="AB530" i="1" s="1"/>
  <c r="AA538" i="1"/>
  <c r="AB538" i="1" s="1"/>
  <c r="AA546" i="1"/>
  <c r="AB546" i="1" s="1"/>
  <c r="AA554" i="1"/>
  <c r="AB554" i="1" s="1"/>
  <c r="AA562" i="1"/>
  <c r="AB562" i="1" s="1"/>
  <c r="AA570" i="1"/>
  <c r="AB570" i="1" s="1"/>
  <c r="AA578" i="1"/>
  <c r="AB578" i="1" s="1"/>
  <c r="AA586" i="1"/>
  <c r="AB586" i="1" s="1"/>
  <c r="AA594" i="1"/>
  <c r="AB594" i="1" s="1"/>
  <c r="AA602" i="1"/>
  <c r="AB602" i="1" s="1"/>
  <c r="AA610" i="1"/>
  <c r="AB610" i="1" s="1"/>
  <c r="AA618" i="1"/>
  <c r="AB618" i="1" s="1"/>
  <c r="AA626" i="1"/>
  <c r="AB626" i="1" s="1"/>
  <c r="AA634" i="1"/>
  <c r="AB634" i="1" s="1"/>
  <c r="AA642" i="1"/>
  <c r="AB642" i="1" s="1"/>
  <c r="AA650" i="1"/>
  <c r="AB650" i="1" s="1"/>
  <c r="AA658" i="1"/>
  <c r="AB658" i="1" s="1"/>
  <c r="AA29" i="1"/>
  <c r="AB29" i="1" s="1"/>
  <c r="AA19" i="1"/>
  <c r="AB19" i="1" s="1"/>
  <c r="AA27" i="1"/>
  <c r="AA35" i="1"/>
  <c r="AB35" i="1" s="1"/>
  <c r="AA43" i="1"/>
  <c r="AA51" i="1"/>
  <c r="AA59" i="1"/>
  <c r="AB59" i="1" s="1"/>
  <c r="AA67" i="1"/>
  <c r="AA75" i="1"/>
  <c r="AB75" i="1" s="1"/>
  <c r="AA83" i="1"/>
  <c r="AB83" i="1" s="1"/>
  <c r="AA91" i="1"/>
  <c r="AA99" i="1"/>
  <c r="AA107" i="1"/>
  <c r="AB107" i="1" s="1"/>
  <c r="AA115" i="1"/>
  <c r="AA123" i="1"/>
  <c r="AB123" i="1" s="1"/>
  <c r="AA131" i="1"/>
  <c r="AA139" i="1"/>
  <c r="AB139" i="1" s="1"/>
  <c r="AA147" i="1"/>
  <c r="AB147" i="1" s="1"/>
  <c r="AA155" i="1"/>
  <c r="AA163" i="1"/>
  <c r="AB163" i="1" s="1"/>
  <c r="AA171" i="1"/>
  <c r="AB171" i="1" s="1"/>
  <c r="AA179" i="1"/>
  <c r="AA187" i="1"/>
  <c r="AB187" i="1" s="1"/>
  <c r="AA195" i="1"/>
  <c r="AA203" i="1"/>
  <c r="AB203" i="1" s="1"/>
  <c r="AA211" i="1"/>
  <c r="AB211" i="1" s="1"/>
  <c r="AA219" i="1"/>
  <c r="AA227" i="1"/>
  <c r="AA235" i="1"/>
  <c r="AB235" i="1" s="1"/>
  <c r="AA243" i="1"/>
  <c r="AA251" i="1"/>
  <c r="AB251" i="1" s="1"/>
  <c r="AA259" i="1"/>
  <c r="AA267" i="1"/>
  <c r="AB267" i="1" s="1"/>
  <c r="AA275" i="1"/>
  <c r="AB275" i="1" s="1"/>
  <c r="AA283" i="1"/>
  <c r="AA291" i="1"/>
  <c r="AA299" i="1"/>
  <c r="AA307" i="1"/>
  <c r="AA315" i="1"/>
  <c r="AA323" i="1"/>
  <c r="AA331" i="1"/>
  <c r="AB331" i="1" s="1"/>
  <c r="AA339" i="1"/>
  <c r="AB339" i="1" s="1"/>
  <c r="AA347" i="1"/>
  <c r="AA355" i="1"/>
  <c r="AB355" i="1" s="1"/>
  <c r="AA363" i="1"/>
  <c r="AA371" i="1"/>
  <c r="AA379" i="1"/>
  <c r="AA387" i="1"/>
  <c r="AA395" i="1"/>
  <c r="AB395" i="1" s="1"/>
  <c r="AA403" i="1"/>
  <c r="AB403" i="1" s="1"/>
  <c r="AA411" i="1"/>
  <c r="AB411" i="1" s="1"/>
  <c r="AA419" i="1"/>
  <c r="AB419" i="1" s="1"/>
  <c r="AA427" i="1"/>
  <c r="AB427" i="1" s="1"/>
  <c r="AA435" i="1"/>
  <c r="AB435" i="1" s="1"/>
  <c r="AA443" i="1"/>
  <c r="AB443" i="1" s="1"/>
  <c r="AA451" i="1"/>
  <c r="AB451" i="1" s="1"/>
  <c r="AA459" i="1"/>
  <c r="AB459" i="1" s="1"/>
  <c r="AA467" i="1"/>
  <c r="AB467" i="1" s="1"/>
  <c r="AA475" i="1"/>
  <c r="AB475" i="1" s="1"/>
  <c r="AA483" i="1"/>
  <c r="AB483" i="1" s="1"/>
  <c r="AA491" i="1"/>
  <c r="AB491" i="1" s="1"/>
  <c r="AA499" i="1"/>
  <c r="AB499" i="1" s="1"/>
  <c r="AA507" i="1"/>
  <c r="AB507" i="1" s="1"/>
  <c r="AA515" i="1"/>
  <c r="AB515" i="1" s="1"/>
  <c r="AA523" i="1"/>
  <c r="AB523" i="1" s="1"/>
  <c r="AA531" i="1"/>
  <c r="AB531" i="1" s="1"/>
  <c r="AA539" i="1"/>
  <c r="AB539" i="1" s="1"/>
  <c r="AA547" i="1"/>
  <c r="AB547" i="1" s="1"/>
  <c r="AA555" i="1"/>
  <c r="AB555" i="1" s="1"/>
  <c r="AA563" i="1"/>
  <c r="AB563" i="1" s="1"/>
  <c r="AA571" i="1"/>
  <c r="AB571" i="1" s="1"/>
  <c r="AA579" i="1"/>
  <c r="AB579" i="1" s="1"/>
  <c r="AA587" i="1"/>
  <c r="AB587" i="1" s="1"/>
  <c r="AA595" i="1"/>
  <c r="AB595" i="1" s="1"/>
  <c r="AA603" i="1"/>
  <c r="AB603" i="1" s="1"/>
  <c r="AA611" i="1"/>
  <c r="AB611" i="1" s="1"/>
  <c r="AA619" i="1"/>
  <c r="AB619" i="1" s="1"/>
  <c r="AA627" i="1"/>
  <c r="AB627" i="1" s="1"/>
  <c r="AA635" i="1"/>
  <c r="AB635" i="1" s="1"/>
  <c r="AA643" i="1"/>
  <c r="AB643" i="1" s="1"/>
  <c r="AA651" i="1"/>
  <c r="AB651" i="1" s="1"/>
  <c r="AA659" i="1"/>
  <c r="AB659" i="1" s="1"/>
  <c r="AA20" i="1"/>
  <c r="AB20" i="1" s="1"/>
  <c r="AA28" i="1"/>
  <c r="AA36" i="1"/>
  <c r="AA44" i="1"/>
  <c r="AA52" i="1"/>
  <c r="AA60" i="1"/>
  <c r="AA68" i="1"/>
  <c r="AB68" i="1" s="1"/>
  <c r="AA76" i="1"/>
  <c r="AB76" i="1" s="1"/>
  <c r="AA84" i="1"/>
  <c r="AA92" i="1"/>
  <c r="AB92" i="1" s="1"/>
  <c r="AA100" i="1"/>
  <c r="AA108" i="1"/>
  <c r="AA116" i="1"/>
  <c r="AA124" i="1"/>
  <c r="AA132" i="1"/>
  <c r="AB132" i="1" s="1"/>
  <c r="AA140" i="1"/>
  <c r="AB140" i="1" s="1"/>
  <c r="AA148" i="1"/>
  <c r="AB148" i="1" s="1"/>
  <c r="AA156" i="1"/>
  <c r="AB156" i="1" s="1"/>
  <c r="AA164" i="1"/>
  <c r="AA172" i="1"/>
  <c r="AA180" i="1"/>
  <c r="AA188" i="1"/>
  <c r="AA196" i="1"/>
  <c r="AB196" i="1" s="1"/>
  <c r="AA204" i="1"/>
  <c r="AB204" i="1" s="1"/>
  <c r="AA212" i="1"/>
  <c r="AB212" i="1" s="1"/>
  <c r="AA220" i="1"/>
  <c r="AA228" i="1"/>
  <c r="AA236" i="1"/>
  <c r="AA244" i="1"/>
  <c r="AA252" i="1"/>
  <c r="AA260" i="1"/>
  <c r="AB260" i="1" s="1"/>
  <c r="AA268" i="1"/>
  <c r="AB268" i="1" s="1"/>
  <c r="AA276" i="1"/>
  <c r="AA284" i="1"/>
  <c r="AA292" i="1"/>
  <c r="AA300" i="1"/>
  <c r="AA308" i="1"/>
  <c r="AA316" i="1"/>
  <c r="AA324" i="1"/>
  <c r="AB324" i="1" s="1"/>
  <c r="AA332" i="1"/>
  <c r="AB332" i="1" s="1"/>
  <c r="AA340" i="1"/>
  <c r="AA348" i="1"/>
  <c r="AB348" i="1" s="1"/>
  <c r="AA356" i="1"/>
  <c r="AA364" i="1"/>
  <c r="AA372" i="1"/>
  <c r="AA380" i="1"/>
  <c r="AA388" i="1"/>
  <c r="AB388" i="1" s="1"/>
  <c r="AA396" i="1"/>
  <c r="AB396" i="1" s="1"/>
  <c r="AA404" i="1"/>
  <c r="AB404" i="1" s="1"/>
  <c r="AA412" i="1"/>
  <c r="AB412" i="1" s="1"/>
  <c r="AA420" i="1"/>
  <c r="AB420" i="1" s="1"/>
  <c r="AA428" i="1"/>
  <c r="AB428" i="1" s="1"/>
  <c r="AA436" i="1"/>
  <c r="AB436" i="1" s="1"/>
  <c r="AA444" i="1"/>
  <c r="AB444" i="1" s="1"/>
  <c r="AA452" i="1"/>
  <c r="AB452" i="1" s="1"/>
  <c r="AA460" i="1"/>
  <c r="AB460" i="1" s="1"/>
  <c r="AA468" i="1"/>
  <c r="AB468" i="1" s="1"/>
  <c r="AA476" i="1"/>
  <c r="AB476" i="1" s="1"/>
  <c r="AA484" i="1"/>
  <c r="AB484" i="1" s="1"/>
  <c r="AA492" i="1"/>
  <c r="AB492" i="1" s="1"/>
  <c r="AA500" i="1"/>
  <c r="AB500" i="1" s="1"/>
  <c r="AA508" i="1"/>
  <c r="AB508" i="1" s="1"/>
  <c r="AA516" i="1"/>
  <c r="AB516" i="1" s="1"/>
  <c r="AA524" i="1"/>
  <c r="AB524" i="1" s="1"/>
  <c r="AA532" i="1"/>
  <c r="AB532" i="1" s="1"/>
  <c r="AA540" i="1"/>
  <c r="AB540" i="1" s="1"/>
  <c r="AA548" i="1"/>
  <c r="AB548" i="1" s="1"/>
  <c r="AA556" i="1"/>
  <c r="AB556" i="1" s="1"/>
  <c r="AA564" i="1"/>
  <c r="AB564" i="1" s="1"/>
  <c r="AA572" i="1"/>
  <c r="AB572" i="1" s="1"/>
  <c r="AA580" i="1"/>
  <c r="AB580" i="1" s="1"/>
  <c r="AA588" i="1"/>
  <c r="AB588" i="1" s="1"/>
  <c r="AA596" i="1"/>
  <c r="AB596" i="1" s="1"/>
  <c r="AA604" i="1"/>
  <c r="AB604" i="1" s="1"/>
  <c r="AA612" i="1"/>
  <c r="AB612" i="1" s="1"/>
  <c r="AA620" i="1"/>
  <c r="AB620" i="1" s="1"/>
  <c r="AA628" i="1"/>
  <c r="AB628" i="1" s="1"/>
  <c r="AA636" i="1"/>
  <c r="AB636" i="1" s="1"/>
  <c r="AA644" i="1"/>
  <c r="AB644" i="1" s="1"/>
  <c r="AA652" i="1"/>
  <c r="AB652" i="1" s="1"/>
  <c r="AA660" i="1"/>
  <c r="AB660" i="1" s="1"/>
  <c r="AA21" i="1"/>
  <c r="AA37" i="1"/>
  <c r="AA45" i="1"/>
  <c r="AA53" i="1"/>
  <c r="AB53" i="1" s="1"/>
  <c r="AA22" i="1"/>
  <c r="AA30" i="1"/>
  <c r="AB30" i="1" s="1"/>
  <c r="AA38" i="1"/>
  <c r="AB38" i="1" s="1"/>
  <c r="AA46" i="1"/>
  <c r="AA54" i="1"/>
  <c r="AA62" i="1"/>
  <c r="AA70" i="1"/>
  <c r="AB70" i="1" s="1"/>
  <c r="AA78" i="1"/>
  <c r="AB78" i="1" s="1"/>
  <c r="AA86" i="1"/>
  <c r="AA94" i="1"/>
  <c r="AB94" i="1" s="1"/>
  <c r="AA102" i="1"/>
  <c r="AB102" i="1" s="1"/>
  <c r="AA110" i="1"/>
  <c r="AA118" i="1"/>
  <c r="AA126" i="1"/>
  <c r="AB126" i="1" s="1"/>
  <c r="AA134" i="1"/>
  <c r="AB134" i="1" s="1"/>
  <c r="AA142" i="1"/>
  <c r="AB142" i="1" s="1"/>
  <c r="AA150" i="1"/>
  <c r="AA158" i="1"/>
  <c r="AB158" i="1" s="1"/>
  <c r="AA166" i="1"/>
  <c r="AB166" i="1" s="1"/>
  <c r="AA174" i="1"/>
  <c r="AA182" i="1"/>
  <c r="AA190" i="1"/>
  <c r="AB190" i="1" s="1"/>
  <c r="AA198" i="1"/>
  <c r="AA206" i="1"/>
  <c r="AB206" i="1" s="1"/>
  <c r="AA214" i="1"/>
  <c r="AA222" i="1"/>
  <c r="AB222" i="1" s="1"/>
  <c r="AA230" i="1"/>
  <c r="AB230" i="1" s="1"/>
  <c r="AA238" i="1"/>
  <c r="AA246" i="1"/>
  <c r="AA254" i="1"/>
  <c r="AB254" i="1" s="1"/>
  <c r="AA262" i="1"/>
  <c r="AA270" i="1"/>
  <c r="AB270" i="1" s="1"/>
  <c r="AA278" i="1"/>
  <c r="AA286" i="1"/>
  <c r="AB286" i="1" s="1"/>
  <c r="AA294" i="1"/>
  <c r="AB294" i="1" s="1"/>
  <c r="AA302" i="1"/>
  <c r="AA310" i="1"/>
  <c r="AA318" i="1"/>
  <c r="AB318" i="1" s="1"/>
  <c r="AA326" i="1"/>
  <c r="AA334" i="1"/>
  <c r="AB334" i="1" s="1"/>
  <c r="AA342" i="1"/>
  <c r="AA350" i="1"/>
  <c r="AB350" i="1" s="1"/>
  <c r="AA358" i="1"/>
  <c r="AB358" i="1" s="1"/>
  <c r="AA366" i="1"/>
  <c r="AA374" i="1"/>
  <c r="AA382" i="1"/>
  <c r="AB382" i="1" s="1"/>
  <c r="AA390" i="1"/>
  <c r="AB390" i="1" s="1"/>
  <c r="AA398" i="1"/>
  <c r="AB398" i="1" s="1"/>
  <c r="AA406" i="1"/>
  <c r="AB406" i="1" s="1"/>
  <c r="AA414" i="1"/>
  <c r="AB414" i="1" s="1"/>
  <c r="AA422" i="1"/>
  <c r="AB422" i="1" s="1"/>
  <c r="AA430" i="1"/>
  <c r="AB430" i="1" s="1"/>
  <c r="AA438" i="1"/>
  <c r="AB438" i="1" s="1"/>
  <c r="AA446" i="1"/>
  <c r="AB446" i="1" s="1"/>
  <c r="AA454" i="1"/>
  <c r="AB454" i="1" s="1"/>
  <c r="AA462" i="1"/>
  <c r="AB462" i="1" s="1"/>
  <c r="AA470" i="1"/>
  <c r="AB470" i="1" s="1"/>
  <c r="AA478" i="1"/>
  <c r="AB478" i="1" s="1"/>
  <c r="AA486" i="1"/>
  <c r="AB486" i="1" s="1"/>
  <c r="AA494" i="1"/>
  <c r="AB494" i="1" s="1"/>
  <c r="AA502" i="1"/>
  <c r="AB502" i="1" s="1"/>
  <c r="AA510" i="1"/>
  <c r="AB510" i="1" s="1"/>
  <c r="AA518" i="1"/>
  <c r="AB518" i="1" s="1"/>
  <c r="AA526" i="1"/>
  <c r="AB526" i="1" s="1"/>
  <c r="AA534" i="1"/>
  <c r="AB534" i="1" s="1"/>
  <c r="AA542" i="1"/>
  <c r="AB542" i="1" s="1"/>
  <c r="AA550" i="1"/>
  <c r="AB550" i="1" s="1"/>
  <c r="AA558" i="1"/>
  <c r="AB558" i="1" s="1"/>
  <c r="AA566" i="1"/>
  <c r="AB566" i="1" s="1"/>
  <c r="AA574" i="1"/>
  <c r="AB574" i="1" s="1"/>
  <c r="AA582" i="1"/>
  <c r="AB582" i="1" s="1"/>
  <c r="AA590" i="1"/>
  <c r="AB590" i="1" s="1"/>
  <c r="AA598" i="1"/>
  <c r="AB598" i="1" s="1"/>
  <c r="AA606" i="1"/>
  <c r="AB606" i="1" s="1"/>
  <c r="AA614" i="1"/>
  <c r="AB614" i="1" s="1"/>
  <c r="AA622" i="1"/>
  <c r="AB622" i="1" s="1"/>
  <c r="AA630" i="1"/>
  <c r="AB630" i="1" s="1"/>
  <c r="AA638" i="1"/>
  <c r="AB638" i="1" s="1"/>
  <c r="AA646" i="1"/>
  <c r="AB646" i="1" s="1"/>
  <c r="AA654" i="1"/>
  <c r="AB654" i="1" s="1"/>
  <c r="AA662" i="1"/>
  <c r="AB662" i="1" s="1"/>
  <c r="AA33" i="1"/>
  <c r="AB33" i="1" s="1"/>
  <c r="AA23" i="1"/>
  <c r="AB23" i="1" s="1"/>
  <c r="AA31" i="1"/>
  <c r="AA39" i="1"/>
  <c r="AA47" i="1"/>
  <c r="AA55" i="1"/>
  <c r="AA63" i="1"/>
  <c r="AB63" i="1" s="1"/>
  <c r="AA71" i="1"/>
  <c r="AB71" i="1" s="1"/>
  <c r="AA79" i="1"/>
  <c r="AB79" i="1" s="1"/>
  <c r="AA87" i="1"/>
  <c r="AB87" i="1" s="1"/>
  <c r="AA95" i="1"/>
  <c r="AA103" i="1"/>
  <c r="AA111" i="1"/>
  <c r="AA119" i="1"/>
  <c r="AA127" i="1"/>
  <c r="AA135" i="1"/>
  <c r="AA143" i="1"/>
  <c r="AB143" i="1" s="1"/>
  <c r="AA151" i="1"/>
  <c r="AB151" i="1" s="1"/>
  <c r="AA159" i="1"/>
  <c r="AA167" i="1"/>
  <c r="AA175" i="1"/>
  <c r="AA183" i="1"/>
  <c r="AA191" i="1"/>
  <c r="AB191" i="1" s="1"/>
  <c r="AA199" i="1"/>
  <c r="AA207" i="1"/>
  <c r="AB207" i="1" s="1"/>
  <c r="AA215" i="1"/>
  <c r="AB215" i="1" s="1"/>
  <c r="AA223" i="1"/>
  <c r="AA231" i="1"/>
  <c r="AA239" i="1"/>
  <c r="AA247" i="1"/>
  <c r="AA255" i="1"/>
  <c r="AB255" i="1" s="1"/>
  <c r="AA263" i="1"/>
  <c r="AB263" i="1" s="1"/>
  <c r="AA271" i="1"/>
  <c r="AB271" i="1" s="1"/>
  <c r="AA279" i="1"/>
  <c r="AB279" i="1" s="1"/>
  <c r="AA287" i="1"/>
  <c r="AA295" i="1"/>
  <c r="AA303" i="1"/>
  <c r="AA311" i="1"/>
  <c r="AA319" i="1"/>
  <c r="AB319" i="1" s="1"/>
  <c r="AA327" i="1"/>
  <c r="AB327" i="1" s="1"/>
  <c r="AA335" i="1"/>
  <c r="AB335" i="1" s="1"/>
  <c r="AA343" i="1"/>
  <c r="AB343" i="1" s="1"/>
  <c r="AA351" i="1"/>
  <c r="AA359" i="1"/>
  <c r="AA367" i="1"/>
  <c r="AA375" i="1"/>
  <c r="AA383" i="1"/>
  <c r="AB383" i="1" s="1"/>
  <c r="AA391" i="1"/>
  <c r="AB391" i="1" s="1"/>
  <c r="AA399" i="1"/>
  <c r="AB399" i="1" s="1"/>
  <c r="AA407" i="1"/>
  <c r="AB407" i="1" s="1"/>
  <c r="AA415" i="1"/>
  <c r="AB415" i="1" s="1"/>
  <c r="AA423" i="1"/>
  <c r="AB423" i="1" s="1"/>
  <c r="AA431" i="1"/>
  <c r="AB431" i="1" s="1"/>
  <c r="AA439" i="1"/>
  <c r="AB439" i="1" s="1"/>
  <c r="AA447" i="1"/>
  <c r="AB447" i="1" s="1"/>
  <c r="AA455" i="1"/>
  <c r="AB455" i="1" s="1"/>
  <c r="AA463" i="1"/>
  <c r="AB463" i="1" s="1"/>
  <c r="AA471" i="1"/>
  <c r="AB471" i="1" s="1"/>
  <c r="AA479" i="1"/>
  <c r="AB479" i="1" s="1"/>
  <c r="AA487" i="1"/>
  <c r="AB487" i="1" s="1"/>
  <c r="AA495" i="1"/>
  <c r="AB495" i="1" s="1"/>
  <c r="AA503" i="1"/>
  <c r="AB503" i="1" s="1"/>
  <c r="AA511" i="1"/>
  <c r="AB511" i="1" s="1"/>
  <c r="AA519" i="1"/>
  <c r="AB519" i="1" s="1"/>
  <c r="AA527" i="1"/>
  <c r="AB527" i="1" s="1"/>
  <c r="AA535" i="1"/>
  <c r="AB535" i="1" s="1"/>
  <c r="AA543" i="1"/>
  <c r="AB543" i="1" s="1"/>
  <c r="AA551" i="1"/>
  <c r="AB551" i="1" s="1"/>
  <c r="AA559" i="1"/>
  <c r="AB559" i="1" s="1"/>
  <c r="AA567" i="1"/>
  <c r="AB567" i="1" s="1"/>
  <c r="AA575" i="1"/>
  <c r="AB575" i="1" s="1"/>
  <c r="AA583" i="1"/>
  <c r="AB583" i="1" s="1"/>
  <c r="AA591" i="1"/>
  <c r="AB591" i="1" s="1"/>
  <c r="AA599" i="1"/>
  <c r="AB599" i="1" s="1"/>
  <c r="AA607" i="1"/>
  <c r="AB607" i="1" s="1"/>
  <c r="AA615" i="1"/>
  <c r="AB615" i="1" s="1"/>
  <c r="AA623" i="1"/>
  <c r="AB623" i="1" s="1"/>
  <c r="AA631" i="1"/>
  <c r="AB631" i="1" s="1"/>
  <c r="AA639" i="1"/>
  <c r="AB639" i="1" s="1"/>
  <c r="AA647" i="1"/>
  <c r="AB647" i="1" s="1"/>
  <c r="AA655" i="1"/>
  <c r="AB655" i="1" s="1"/>
  <c r="AA25" i="1"/>
  <c r="AB25" i="1" s="1"/>
  <c r="AA24" i="1"/>
  <c r="AA32" i="1"/>
  <c r="AA40" i="1"/>
  <c r="AA48" i="1"/>
  <c r="AA56" i="1"/>
  <c r="AA64" i="1"/>
  <c r="AB64" i="1" s="1"/>
  <c r="AA72" i="1"/>
  <c r="AB72" i="1" s="1"/>
  <c r="AA80" i="1"/>
  <c r="AB80" i="1" s="1"/>
  <c r="AA88" i="1"/>
  <c r="AA96" i="1"/>
  <c r="AA104" i="1"/>
  <c r="AA112" i="1"/>
  <c r="AA120" i="1"/>
  <c r="AA128" i="1"/>
  <c r="AB128" i="1" s="1"/>
  <c r="AA136" i="1"/>
  <c r="AB136" i="1" s="1"/>
  <c r="AA144" i="1"/>
  <c r="AB144" i="1" s="1"/>
  <c r="AA152" i="1"/>
  <c r="AA160" i="1"/>
  <c r="AA168" i="1"/>
  <c r="AA176" i="1"/>
  <c r="AA184" i="1"/>
  <c r="AA192" i="1"/>
  <c r="AA200" i="1"/>
  <c r="AB200" i="1" s="1"/>
  <c r="AA208" i="1"/>
  <c r="AB208" i="1" s="1"/>
  <c r="AA216" i="1"/>
  <c r="AA224" i="1"/>
  <c r="AA232" i="1"/>
  <c r="AA240" i="1"/>
  <c r="AA248" i="1"/>
  <c r="AA256" i="1"/>
  <c r="AA264" i="1"/>
  <c r="AB264" i="1" s="1"/>
  <c r="AA272" i="1"/>
  <c r="AB272" i="1" s="1"/>
  <c r="AA280" i="1"/>
  <c r="AA288" i="1"/>
  <c r="AA296" i="1"/>
  <c r="AA304" i="1"/>
  <c r="AA312" i="1"/>
  <c r="AA320" i="1"/>
  <c r="AB320" i="1" s="1"/>
  <c r="AA328" i="1"/>
  <c r="AB328" i="1" s="1"/>
  <c r="AA336" i="1"/>
  <c r="AB336" i="1" s="1"/>
  <c r="AA344" i="1"/>
  <c r="AA352" i="1"/>
  <c r="AA360" i="1"/>
  <c r="AA368" i="1"/>
  <c r="AA376" i="1"/>
  <c r="AA384" i="1"/>
  <c r="AB384" i="1" s="1"/>
  <c r="AA392" i="1"/>
  <c r="AB392" i="1" s="1"/>
  <c r="AA400" i="1"/>
  <c r="AB400" i="1" s="1"/>
  <c r="AA408" i="1"/>
  <c r="AB408" i="1" s="1"/>
  <c r="AA416" i="1"/>
  <c r="AB416" i="1" s="1"/>
  <c r="AA424" i="1"/>
  <c r="AB424" i="1" s="1"/>
  <c r="AA432" i="1"/>
  <c r="AB432" i="1" s="1"/>
  <c r="AA440" i="1"/>
  <c r="AB440" i="1" s="1"/>
  <c r="AA448" i="1"/>
  <c r="AB448" i="1" s="1"/>
  <c r="AA456" i="1"/>
  <c r="AB456" i="1" s="1"/>
  <c r="AA464" i="1"/>
  <c r="AB464" i="1" s="1"/>
  <c r="AA472" i="1"/>
  <c r="AB472" i="1" s="1"/>
  <c r="AA480" i="1"/>
  <c r="AB480" i="1" s="1"/>
  <c r="AA488" i="1"/>
  <c r="AB488" i="1" s="1"/>
  <c r="AA496" i="1"/>
  <c r="AB496" i="1" s="1"/>
  <c r="AA504" i="1"/>
  <c r="AB504" i="1" s="1"/>
  <c r="AA512" i="1"/>
  <c r="AB512" i="1" s="1"/>
  <c r="AA520" i="1"/>
  <c r="AB520" i="1" s="1"/>
  <c r="AA528" i="1"/>
  <c r="AB528" i="1" s="1"/>
  <c r="AA536" i="1"/>
  <c r="AB536" i="1" s="1"/>
  <c r="AA544" i="1"/>
  <c r="AB544" i="1" s="1"/>
  <c r="AA552" i="1"/>
  <c r="AB552" i="1" s="1"/>
  <c r="AA560" i="1"/>
  <c r="AB560" i="1" s="1"/>
  <c r="AA568" i="1"/>
  <c r="AB568" i="1" s="1"/>
  <c r="AA576" i="1"/>
  <c r="AB576" i="1" s="1"/>
  <c r="AA584" i="1"/>
  <c r="AB584" i="1" s="1"/>
  <c r="AA592" i="1"/>
  <c r="AB592" i="1" s="1"/>
  <c r="AA600" i="1"/>
  <c r="AB600" i="1" s="1"/>
  <c r="AA608" i="1"/>
  <c r="AB608" i="1" s="1"/>
  <c r="AA616" i="1"/>
  <c r="AB616" i="1" s="1"/>
  <c r="AA624" i="1"/>
  <c r="AB624" i="1" s="1"/>
  <c r="AA632" i="1"/>
  <c r="AB632" i="1" s="1"/>
  <c r="AA640" i="1"/>
  <c r="AB640" i="1" s="1"/>
  <c r="AA648" i="1"/>
  <c r="AB648" i="1" s="1"/>
  <c r="AA656" i="1"/>
  <c r="AB656" i="1" s="1"/>
  <c r="AA57" i="1"/>
  <c r="AA89" i="1"/>
  <c r="AA121" i="1"/>
  <c r="AB121" i="1" s="1"/>
  <c r="AA153" i="1"/>
  <c r="AA185" i="1"/>
  <c r="AB185" i="1" s="1"/>
  <c r="AA217" i="1"/>
  <c r="AA249" i="1"/>
  <c r="AB249" i="1" s="1"/>
  <c r="AA281" i="1"/>
  <c r="AB281" i="1" s="1"/>
  <c r="AA313" i="1"/>
  <c r="AB313" i="1" s="1"/>
  <c r="AA345" i="1"/>
  <c r="AA377" i="1"/>
  <c r="AB377" i="1" s="1"/>
  <c r="AA409" i="1"/>
  <c r="AB409" i="1" s="1"/>
  <c r="AA441" i="1"/>
  <c r="AB441" i="1" s="1"/>
  <c r="AA473" i="1"/>
  <c r="AB473" i="1" s="1"/>
  <c r="AA505" i="1"/>
  <c r="AB505" i="1" s="1"/>
  <c r="AA537" i="1"/>
  <c r="AB537" i="1" s="1"/>
  <c r="AA569" i="1"/>
  <c r="AB569" i="1" s="1"/>
  <c r="AA601" i="1"/>
  <c r="AB601" i="1" s="1"/>
  <c r="AA633" i="1"/>
  <c r="AB633" i="1" s="1"/>
  <c r="AA161" i="1"/>
  <c r="AA417" i="1"/>
  <c r="AB417" i="1" s="1"/>
  <c r="AA513" i="1"/>
  <c r="AB513" i="1" s="1"/>
  <c r="AA609" i="1"/>
  <c r="AB609" i="1" s="1"/>
  <c r="AA101" i="1"/>
  <c r="AB101" i="1" s="1"/>
  <c r="AA133" i="1"/>
  <c r="AB133" i="1" s="1"/>
  <c r="AA229" i="1"/>
  <c r="AA293" i="1"/>
  <c r="AB293" i="1" s="1"/>
  <c r="AA389" i="1"/>
  <c r="AB389" i="1" s="1"/>
  <c r="AA453" i="1"/>
  <c r="AB453" i="1" s="1"/>
  <c r="AA549" i="1"/>
  <c r="AB549" i="1" s="1"/>
  <c r="AA309" i="1"/>
  <c r="AB309" i="1" s="1"/>
  <c r="AA565" i="1"/>
  <c r="AB565" i="1" s="1"/>
  <c r="AA61" i="1"/>
  <c r="AA93" i="1"/>
  <c r="AA125" i="1"/>
  <c r="AA157" i="1"/>
  <c r="AA189" i="1"/>
  <c r="AB189" i="1" s="1"/>
  <c r="AA221" i="1"/>
  <c r="AA253" i="1"/>
  <c r="AB253" i="1" s="1"/>
  <c r="AA285" i="1"/>
  <c r="AB285" i="1" s="1"/>
  <c r="AA317" i="1"/>
  <c r="AA349" i="1"/>
  <c r="AA381" i="1"/>
  <c r="AB381" i="1" s="1"/>
  <c r="AA413" i="1"/>
  <c r="AB413" i="1" s="1"/>
  <c r="AA445" i="1"/>
  <c r="AB445" i="1" s="1"/>
  <c r="AA477" i="1"/>
  <c r="AB477" i="1" s="1"/>
  <c r="AA509" i="1"/>
  <c r="AB509" i="1" s="1"/>
  <c r="AA541" i="1"/>
  <c r="AB541" i="1" s="1"/>
  <c r="AA573" i="1"/>
  <c r="AB573" i="1" s="1"/>
  <c r="AA605" i="1"/>
  <c r="AB605" i="1" s="1"/>
  <c r="AA637" i="1"/>
  <c r="AB637" i="1" s="1"/>
  <c r="AA193" i="1"/>
  <c r="AA385" i="1"/>
  <c r="AB385" i="1" s="1"/>
  <c r="AA481" i="1"/>
  <c r="AB481" i="1" s="1"/>
  <c r="AA545" i="1"/>
  <c r="AB545" i="1" s="1"/>
  <c r="AA641" i="1"/>
  <c r="AB641" i="1" s="1"/>
  <c r="AA69" i="1"/>
  <c r="AB69" i="1" s="1"/>
  <c r="AA165" i="1"/>
  <c r="AA197" i="1"/>
  <c r="AB197" i="1" s="1"/>
  <c r="AA261" i="1"/>
  <c r="AB261" i="1" s="1"/>
  <c r="AA325" i="1"/>
  <c r="AB325" i="1" s="1"/>
  <c r="AA357" i="1"/>
  <c r="AB357" i="1" s="1"/>
  <c r="AA421" i="1"/>
  <c r="AB421" i="1" s="1"/>
  <c r="AA485" i="1"/>
  <c r="AB485" i="1" s="1"/>
  <c r="AA517" i="1"/>
  <c r="AB517" i="1" s="1"/>
  <c r="AA581" i="1"/>
  <c r="AB581" i="1" s="1"/>
  <c r="AA645" i="1"/>
  <c r="AB645" i="1" s="1"/>
  <c r="AA277" i="1"/>
  <c r="AA597" i="1"/>
  <c r="AB597" i="1" s="1"/>
  <c r="AA65" i="1"/>
  <c r="AB65" i="1" s="1"/>
  <c r="AA97" i="1"/>
  <c r="AB97" i="1" s="1"/>
  <c r="AA129" i="1"/>
  <c r="AB129" i="1" s="1"/>
  <c r="AA225" i="1"/>
  <c r="AA257" i="1"/>
  <c r="AA289" i="1"/>
  <c r="AB289" i="1" s="1"/>
  <c r="AA321" i="1"/>
  <c r="AB321" i="1" s="1"/>
  <c r="AA353" i="1"/>
  <c r="AB353" i="1" s="1"/>
  <c r="AA449" i="1"/>
  <c r="AB449" i="1" s="1"/>
  <c r="AA577" i="1"/>
  <c r="AB577" i="1" s="1"/>
  <c r="AA613" i="1"/>
  <c r="AB613" i="1" s="1"/>
  <c r="AA437" i="1"/>
  <c r="AB437" i="1" s="1"/>
  <c r="AA73" i="1"/>
  <c r="AA105" i="1"/>
  <c r="AB105" i="1" s="1"/>
  <c r="AA137" i="1"/>
  <c r="AA169" i="1"/>
  <c r="AB169" i="1" s="1"/>
  <c r="AA201" i="1"/>
  <c r="AA233" i="1"/>
  <c r="AB233" i="1" s="1"/>
  <c r="AA265" i="1"/>
  <c r="AB265" i="1" s="1"/>
  <c r="AA297" i="1"/>
  <c r="AA329" i="1"/>
  <c r="AA361" i="1"/>
  <c r="AB361" i="1" s="1"/>
  <c r="AA393" i="1"/>
  <c r="AA425" i="1"/>
  <c r="AB425" i="1" s="1"/>
  <c r="AA457" i="1"/>
  <c r="AB457" i="1" s="1"/>
  <c r="AA489" i="1"/>
  <c r="AB489" i="1" s="1"/>
  <c r="AA521" i="1"/>
  <c r="AB521" i="1" s="1"/>
  <c r="AA553" i="1"/>
  <c r="AB553" i="1" s="1"/>
  <c r="AA585" i="1"/>
  <c r="AB585" i="1" s="1"/>
  <c r="AA617" i="1"/>
  <c r="AB617" i="1" s="1"/>
  <c r="AA649" i="1"/>
  <c r="AB649" i="1" s="1"/>
  <c r="AA81" i="1"/>
  <c r="AB81" i="1" s="1"/>
  <c r="AA145" i="1"/>
  <c r="AA209" i="1"/>
  <c r="AB209" i="1" s="1"/>
  <c r="AA273" i="1"/>
  <c r="AB273" i="1" s="1"/>
  <c r="AA337" i="1"/>
  <c r="AA433" i="1"/>
  <c r="AB433" i="1" s="1"/>
  <c r="AA529" i="1"/>
  <c r="AB529" i="1" s="1"/>
  <c r="AA593" i="1"/>
  <c r="AB593" i="1" s="1"/>
  <c r="AA625" i="1"/>
  <c r="AB625" i="1" s="1"/>
  <c r="AA85" i="1"/>
  <c r="AA117" i="1"/>
  <c r="AB117" i="1" s="1"/>
  <c r="AA181" i="1"/>
  <c r="AB181" i="1" s="1"/>
  <c r="AA341" i="1"/>
  <c r="AA405" i="1"/>
  <c r="AB405" i="1" s="1"/>
  <c r="AA501" i="1"/>
  <c r="AB501" i="1" s="1"/>
  <c r="AA629" i="1"/>
  <c r="AB629" i="1" s="1"/>
  <c r="AA77" i="1"/>
  <c r="AB77" i="1" s="1"/>
  <c r="AA109" i="1"/>
  <c r="AA141" i="1"/>
  <c r="AB141" i="1" s="1"/>
  <c r="AA173" i="1"/>
  <c r="AB173" i="1" s="1"/>
  <c r="AA205" i="1"/>
  <c r="AB205" i="1" s="1"/>
  <c r="AA237" i="1"/>
  <c r="AA269" i="1"/>
  <c r="AB269" i="1" s="1"/>
  <c r="AA301" i="1"/>
  <c r="AA333" i="1"/>
  <c r="AB333" i="1" s="1"/>
  <c r="AA365" i="1"/>
  <c r="AB365" i="1" s="1"/>
  <c r="AA397" i="1"/>
  <c r="AB397" i="1" s="1"/>
  <c r="AA429" i="1"/>
  <c r="AB429" i="1" s="1"/>
  <c r="AA461" i="1"/>
  <c r="AB461" i="1" s="1"/>
  <c r="AA493" i="1"/>
  <c r="AB493" i="1" s="1"/>
  <c r="AA525" i="1"/>
  <c r="AB525" i="1" s="1"/>
  <c r="AA557" i="1"/>
  <c r="AB557" i="1" s="1"/>
  <c r="AA589" i="1"/>
  <c r="AB589" i="1" s="1"/>
  <c r="AA621" i="1"/>
  <c r="AB621" i="1" s="1"/>
  <c r="AA653" i="1"/>
  <c r="AB653" i="1" s="1"/>
  <c r="AA41" i="1"/>
  <c r="AB41" i="1" s="1"/>
  <c r="AA113" i="1"/>
  <c r="AA177" i="1"/>
  <c r="AA241" i="1"/>
  <c r="AB241" i="1" s="1"/>
  <c r="AA305" i="1"/>
  <c r="AA369" i="1"/>
  <c r="AB369" i="1" s="1"/>
  <c r="AA401" i="1"/>
  <c r="AB401" i="1" s="1"/>
  <c r="AA465" i="1"/>
  <c r="AB465" i="1" s="1"/>
  <c r="AA497" i="1"/>
  <c r="AB497" i="1" s="1"/>
  <c r="AA561" i="1"/>
  <c r="AB561" i="1" s="1"/>
  <c r="AA657" i="1"/>
  <c r="AB657" i="1" s="1"/>
  <c r="AA49" i="1"/>
  <c r="AB49" i="1" s="1"/>
  <c r="AA149" i="1"/>
  <c r="AA213" i="1"/>
  <c r="AB213" i="1" s="1"/>
  <c r="AA245" i="1"/>
  <c r="AB245" i="1" s="1"/>
  <c r="AA373" i="1"/>
  <c r="AB373" i="1" s="1"/>
  <c r="AA469" i="1"/>
  <c r="AB469" i="1" s="1"/>
  <c r="AA533" i="1"/>
  <c r="AB533" i="1" s="1"/>
  <c r="AA661" i="1"/>
  <c r="AB661" i="1" s="1"/>
  <c r="A32" i="1"/>
  <c r="A41" i="1"/>
  <c r="A29" i="1"/>
  <c r="F29" i="1" s="1"/>
  <c r="G29" i="1" s="1"/>
  <c r="A43" i="1"/>
  <c r="A40" i="1"/>
  <c r="F41" i="1" s="1"/>
  <c r="A37" i="1"/>
  <c r="F37" i="1" s="1"/>
  <c r="G37" i="1" s="1"/>
  <c r="A33" i="1"/>
  <c r="A39" i="1"/>
  <c r="A42" i="1"/>
  <c r="A35" i="1"/>
  <c r="A31" i="1"/>
  <c r="A34" i="1"/>
  <c r="A38" i="1"/>
  <c r="A30" i="1"/>
  <c r="AB99" i="1"/>
  <c r="AB227" i="1"/>
  <c r="AB299" i="1"/>
  <c r="AB161" i="1"/>
  <c r="AB220" i="1"/>
  <c r="AB284" i="1"/>
  <c r="AB198" i="1"/>
  <c r="AB326" i="1"/>
  <c r="AD2" i="3"/>
  <c r="AC3" i="3" s="1"/>
  <c r="S154" i="1"/>
  <c r="S280" i="1"/>
  <c r="S291" i="1"/>
  <c r="S121" i="1"/>
  <c r="S108" i="1"/>
  <c r="S177" i="1"/>
  <c r="S90" i="1"/>
  <c r="S18" i="1"/>
  <c r="S232" i="1"/>
  <c r="S207" i="1"/>
  <c r="S88" i="1"/>
  <c r="S31" i="1"/>
  <c r="S109" i="1"/>
  <c r="S119" i="1"/>
  <c r="S27" i="1"/>
  <c r="S157" i="1"/>
  <c r="S343" i="1"/>
  <c r="S290" i="1"/>
  <c r="S106" i="1"/>
  <c r="S210" i="1"/>
  <c r="S110" i="1"/>
  <c r="S360" i="1"/>
  <c r="S42" i="1"/>
  <c r="S146" i="1"/>
  <c r="S46" i="1"/>
  <c r="S137" i="1"/>
  <c r="S357" i="1"/>
  <c r="S306" i="1"/>
  <c r="S156" i="1"/>
  <c r="S335" i="1"/>
  <c r="S221" i="1"/>
  <c r="S209" i="1"/>
  <c r="S94" i="1"/>
  <c r="S190" i="1"/>
  <c r="S143" i="1"/>
  <c r="S159" i="1"/>
  <c r="S365" i="1"/>
  <c r="S247" i="1"/>
  <c r="S95" i="1"/>
  <c r="S237" i="1"/>
  <c r="S361" i="1"/>
  <c r="S362" i="1"/>
  <c r="S385" i="1"/>
  <c r="S250" i="1"/>
  <c r="S267" i="1"/>
  <c r="S117" i="1"/>
  <c r="S295" i="1"/>
  <c r="S274" i="1"/>
  <c r="S174" i="1"/>
  <c r="S276" i="1"/>
  <c r="S309" i="1"/>
  <c r="S351" i="1"/>
  <c r="S164" i="1"/>
  <c r="S101" i="1"/>
  <c r="S181" i="1"/>
  <c r="S158" i="1"/>
  <c r="S287" i="1"/>
  <c r="S100" i="1"/>
  <c r="S375" i="1"/>
  <c r="S359" i="1"/>
  <c r="S275" i="1"/>
  <c r="S170" i="1"/>
  <c r="S115" i="1"/>
  <c r="S348" i="1"/>
  <c r="S51" i="1"/>
  <c r="S179" i="1"/>
  <c r="S273" i="1"/>
  <c r="S230" i="1"/>
  <c r="S196" i="1"/>
  <c r="S204" i="1"/>
  <c r="S378" i="1"/>
  <c r="S314" i="1"/>
  <c r="S389" i="1"/>
  <c r="S165" i="1"/>
  <c r="S340" i="1"/>
  <c r="S253" i="1"/>
  <c r="S285" i="1"/>
  <c r="S32" i="1"/>
  <c r="S35" i="1"/>
  <c r="S40" i="1"/>
  <c r="S228" i="1"/>
  <c r="S272" i="1"/>
  <c r="S296" i="1"/>
  <c r="S368" i="1"/>
  <c r="S25" i="1"/>
  <c r="S118" i="1"/>
  <c r="S79" i="1"/>
  <c r="S39" i="1"/>
  <c r="S151" i="1"/>
  <c r="S82" i="1"/>
  <c r="S97" i="1"/>
  <c r="S54" i="1"/>
  <c r="S139" i="1"/>
  <c r="S30" i="1"/>
  <c r="S93" i="1"/>
  <c r="S366" i="1"/>
  <c r="S44" i="1"/>
  <c r="S132" i="1"/>
  <c r="S312" i="1"/>
  <c r="S381" i="1"/>
  <c r="S68" i="1"/>
  <c r="S304" i="1"/>
  <c r="S111" i="1"/>
  <c r="S91" i="1"/>
  <c r="S377" i="1"/>
  <c r="S19" i="1"/>
  <c r="S238" i="1"/>
  <c r="S338" i="1"/>
  <c r="S336" i="1"/>
  <c r="S246" i="1"/>
  <c r="S203" i="1"/>
  <c r="S75" i="1"/>
  <c r="S193" i="1"/>
  <c r="S236" i="1"/>
  <c r="S58" i="1"/>
  <c r="S324" i="1"/>
  <c r="S371" i="1"/>
  <c r="S243" i="1"/>
  <c r="S129" i="1"/>
  <c r="S172" i="1"/>
  <c r="S260" i="1"/>
  <c r="S89" i="1"/>
  <c r="S102" i="1"/>
  <c r="S98" i="1"/>
  <c r="S325" i="1"/>
  <c r="S331" i="1"/>
  <c r="S145" i="1"/>
  <c r="S62" i="1"/>
  <c r="S81" i="1"/>
  <c r="S92" i="1"/>
  <c r="S303" i="1"/>
  <c r="S239" i="1"/>
  <c r="S86" i="1"/>
  <c r="S219" i="1"/>
  <c r="S175" i="1"/>
  <c r="S22" i="1"/>
  <c r="S155" i="1"/>
  <c r="S307" i="1"/>
  <c r="S107" i="1"/>
  <c r="S245" i="1"/>
  <c r="S233" i="1"/>
  <c r="S349" i="1"/>
  <c r="S212" i="1"/>
  <c r="S104" i="1"/>
  <c r="S292" i="1"/>
  <c r="S300" i="1"/>
  <c r="S122" i="1"/>
  <c r="S388" i="1"/>
  <c r="S286" i="1"/>
  <c r="S56" i="1"/>
  <c r="S278" i="1"/>
  <c r="S45" i="1"/>
  <c r="S231" i="1"/>
  <c r="S103" i="1"/>
  <c r="S367" i="1"/>
  <c r="S214" i="1"/>
  <c r="S347" i="1"/>
  <c r="S113" i="1"/>
  <c r="S178" i="1"/>
  <c r="S73" i="1"/>
  <c r="S318" i="1"/>
  <c r="S298" i="1"/>
  <c r="S148" i="1"/>
  <c r="S305" i="1"/>
  <c r="S346" i="1"/>
  <c r="S140" i="1"/>
  <c r="S26" i="1"/>
  <c r="S373" i="1"/>
  <c r="S297" i="1"/>
  <c r="S76" i="1"/>
  <c r="S171" i="1"/>
  <c r="S167" i="1"/>
  <c r="S294" i="1"/>
  <c r="S374" i="1"/>
  <c r="S96" i="1"/>
  <c r="S99" i="1"/>
  <c r="S48" i="1"/>
  <c r="S216" i="1"/>
  <c r="S310" i="1"/>
  <c r="S55" i="1"/>
  <c r="S120" i="1"/>
  <c r="S342" i="1"/>
  <c r="S173" i="1"/>
  <c r="S313" i="1"/>
  <c r="S241" i="1"/>
  <c r="S332" i="1"/>
  <c r="S218" i="1"/>
  <c r="S268" i="1"/>
  <c r="S222" i="1"/>
  <c r="S166" i="1"/>
  <c r="S350" i="1"/>
  <c r="S38" i="1"/>
  <c r="S144" i="1"/>
  <c r="S223" i="1"/>
  <c r="S112" i="1"/>
  <c r="S234" i="1"/>
  <c r="S242" i="1"/>
  <c r="S24" i="1"/>
  <c r="S150" i="1"/>
  <c r="S293" i="1"/>
  <c r="S224" i="1"/>
  <c r="S227" i="1"/>
  <c r="S126" i="1"/>
  <c r="S160" i="1"/>
  <c r="S163" i="1"/>
  <c r="S358" i="1"/>
  <c r="S353" i="1"/>
  <c r="S83" i="1"/>
  <c r="S302" i="1"/>
  <c r="S354" i="1"/>
  <c r="S50" i="1"/>
  <c r="S321" i="1"/>
  <c r="S364" i="1"/>
  <c r="S186" i="1"/>
  <c r="S133" i="1"/>
  <c r="S282" i="1"/>
  <c r="S220" i="1"/>
  <c r="S20" i="1"/>
  <c r="S41" i="1"/>
  <c r="S61" i="1"/>
  <c r="S37" i="1"/>
  <c r="S352" i="1"/>
  <c r="S355" i="1"/>
  <c r="S43" i="1"/>
  <c r="S288" i="1"/>
  <c r="S289" i="1"/>
  <c r="S254" i="1"/>
  <c r="S152" i="1"/>
  <c r="S284" i="1"/>
  <c r="S36" i="1"/>
  <c r="S235" i="1"/>
  <c r="S53" i="1"/>
  <c r="S65" i="1"/>
  <c r="S283" i="1"/>
  <c r="S49" i="1"/>
  <c r="S211" i="1"/>
  <c r="S87" i="1"/>
  <c r="S34" i="1"/>
  <c r="S147" i="1"/>
  <c r="S23" i="1"/>
  <c r="S369" i="1"/>
  <c r="S363" i="1"/>
  <c r="S395" i="1"/>
  <c r="S28" i="1"/>
  <c r="S168" i="1"/>
  <c r="S356" i="1"/>
  <c r="S229" i="1"/>
  <c r="S184" i="1"/>
  <c r="S125" i="1"/>
  <c r="S301" i="1"/>
  <c r="S189" i="1"/>
  <c r="S84" i="1"/>
  <c r="S240" i="1"/>
  <c r="S80" i="1"/>
  <c r="S29" i="1"/>
  <c r="S279" i="1"/>
  <c r="S226" i="1"/>
  <c r="S344" i="1"/>
  <c r="S208" i="1"/>
  <c r="S339" i="1"/>
  <c r="S215" i="1"/>
  <c r="S162" i="1"/>
  <c r="F36" i="1"/>
  <c r="AB42" i="1"/>
  <c r="AB106" i="1"/>
  <c r="AB170" i="1"/>
  <c r="AB234" i="1"/>
  <c r="AB298" i="1"/>
  <c r="AB362" i="1"/>
  <c r="AB43" i="1"/>
  <c r="AB262" i="1"/>
  <c r="AB89" i="1"/>
  <c r="AB153" i="1"/>
  <c r="AB217" i="1"/>
  <c r="AB192" i="1"/>
  <c r="AB256" i="1"/>
  <c r="AB229" i="1"/>
  <c r="AB349" i="1"/>
  <c r="AB157" i="1"/>
  <c r="AB317" i="1"/>
  <c r="AB221" i="1"/>
  <c r="AB276" i="1"/>
  <c r="AB50" i="1"/>
  <c r="AB114" i="1"/>
  <c r="AB178" i="1"/>
  <c r="AB242" i="1"/>
  <c r="AB306" i="1"/>
  <c r="AB370" i="1"/>
  <c r="AB51" i="1"/>
  <c r="AB115" i="1"/>
  <c r="AB179" i="1"/>
  <c r="AB243" i="1"/>
  <c r="AB307" i="1"/>
  <c r="AB225" i="1"/>
  <c r="AB124" i="1"/>
  <c r="AB347" i="1"/>
  <c r="AB108" i="1"/>
  <c r="AB109" i="1"/>
  <c r="AB337" i="1"/>
  <c r="AB323" i="1"/>
  <c r="AB329" i="1"/>
  <c r="AB58" i="1"/>
  <c r="AB122" i="1"/>
  <c r="AB186" i="1"/>
  <c r="AB250" i="1"/>
  <c r="AB314" i="1"/>
  <c r="AB378" i="1"/>
  <c r="AB22" i="1"/>
  <c r="AB86" i="1"/>
  <c r="AB150" i="1"/>
  <c r="AB214" i="1"/>
  <c r="AB278" i="1"/>
  <c r="AB342" i="1"/>
  <c r="AB31" i="1"/>
  <c r="AB95" i="1"/>
  <c r="AB159" i="1"/>
  <c r="AB223" i="1"/>
  <c r="AB287" i="1"/>
  <c r="AB351" i="1"/>
  <c r="AB297" i="1"/>
  <c r="AB21" i="1"/>
  <c r="AB277" i="1"/>
  <c r="AB252" i="1"/>
  <c r="AB37" i="1"/>
  <c r="AB387" i="1"/>
  <c r="AB371" i="1"/>
  <c r="AB393" i="1"/>
  <c r="AB66" i="1"/>
  <c r="AB130" i="1"/>
  <c r="AB194" i="1"/>
  <c r="AB258" i="1"/>
  <c r="AB322" i="1"/>
  <c r="AB386" i="1"/>
  <c r="AB67" i="1"/>
  <c r="AB131" i="1"/>
  <c r="AB195" i="1"/>
  <c r="AB259" i="1"/>
  <c r="AB39" i="1"/>
  <c r="AB103" i="1"/>
  <c r="AB167" i="1"/>
  <c r="AB231" i="1"/>
  <c r="AB295" i="1"/>
  <c r="AB359" i="1"/>
  <c r="AB113" i="1"/>
  <c r="AB177" i="1"/>
  <c r="AB24" i="1"/>
  <c r="AB88" i="1"/>
  <c r="AB152" i="1"/>
  <c r="AB216" i="1"/>
  <c r="AB280" i="1"/>
  <c r="AB344" i="1"/>
  <c r="AB308" i="1"/>
  <c r="AB316" i="1"/>
  <c r="AB60" i="1"/>
  <c r="AB36" i="1"/>
  <c r="AB172" i="1"/>
  <c r="AB84" i="1"/>
  <c r="AB28" i="1"/>
  <c r="AB100" i="1"/>
  <c r="AB74" i="1"/>
  <c r="AB138" i="1"/>
  <c r="AB202" i="1"/>
  <c r="AB266" i="1"/>
  <c r="AB330" i="1"/>
  <c r="AB394" i="1"/>
  <c r="AB47" i="1"/>
  <c r="AB111" i="1"/>
  <c r="AB175" i="1"/>
  <c r="AB239" i="1"/>
  <c r="AB303" i="1"/>
  <c r="AB367" i="1"/>
  <c r="AB57" i="1"/>
  <c r="AB32" i="1"/>
  <c r="AB96" i="1"/>
  <c r="AB160" i="1"/>
  <c r="AB224" i="1"/>
  <c r="AB288" i="1"/>
  <c r="AB352" i="1"/>
  <c r="AB85" i="1"/>
  <c r="AB164" i="1"/>
  <c r="AB188" i="1"/>
  <c r="AB228" i="1"/>
  <c r="AB146" i="1"/>
  <c r="AB210" i="1"/>
  <c r="AB46" i="1"/>
  <c r="AB110" i="1"/>
  <c r="AB174" i="1"/>
  <c r="AB238" i="1"/>
  <c r="AB302" i="1"/>
  <c r="AB366" i="1"/>
  <c r="AB55" i="1"/>
  <c r="AB119" i="1"/>
  <c r="AB183" i="1"/>
  <c r="AB247" i="1"/>
  <c r="AB311" i="1"/>
  <c r="AB375" i="1"/>
  <c r="AB193" i="1"/>
  <c r="AB257" i="1"/>
  <c r="AB40" i="1"/>
  <c r="AB104" i="1"/>
  <c r="AB168" i="1"/>
  <c r="AB232" i="1"/>
  <c r="AB296" i="1"/>
  <c r="AB360" i="1"/>
  <c r="AB340" i="1"/>
  <c r="AB236" i="1"/>
  <c r="AB180" i="1"/>
  <c r="AB315" i="1"/>
  <c r="AB237" i="1"/>
  <c r="AB52" i="1"/>
  <c r="AB292" i="1"/>
  <c r="AB27" i="1"/>
  <c r="AB91" i="1"/>
  <c r="AB155" i="1"/>
  <c r="AB219" i="1"/>
  <c r="AB283" i="1"/>
  <c r="AB54" i="1"/>
  <c r="AB118" i="1"/>
  <c r="AB182" i="1"/>
  <c r="AB246" i="1"/>
  <c r="AB310" i="1"/>
  <c r="AB374" i="1"/>
  <c r="AB127" i="1"/>
  <c r="AB73" i="1"/>
  <c r="AB137" i="1"/>
  <c r="AB201" i="1"/>
  <c r="AB48" i="1"/>
  <c r="AB112" i="1"/>
  <c r="AB176" i="1"/>
  <c r="AB240" i="1"/>
  <c r="AB304" i="1"/>
  <c r="AB368" i="1"/>
  <c r="AB149" i="1"/>
  <c r="AB356" i="1"/>
  <c r="AB345" i="1"/>
  <c r="AB165" i="1"/>
  <c r="AB364" i="1"/>
  <c r="AB341" i="1"/>
  <c r="AB244" i="1"/>
  <c r="AB363" i="1"/>
  <c r="AB116" i="1"/>
  <c r="AB379" i="1"/>
  <c r="AB291" i="1"/>
  <c r="AB62" i="1"/>
  <c r="AB135" i="1"/>
  <c r="AB199" i="1"/>
  <c r="AB145" i="1"/>
  <c r="AB56" i="1"/>
  <c r="AB120" i="1"/>
  <c r="AB184" i="1"/>
  <c r="AB248" i="1"/>
  <c r="AB312" i="1"/>
  <c r="AB376" i="1"/>
  <c r="AB372" i="1"/>
  <c r="AB380" i="1"/>
  <c r="AB61" i="1"/>
  <c r="AB44" i="1"/>
  <c r="AB300" i="1"/>
  <c r="AB305" i="1"/>
  <c r="AB125" i="1"/>
  <c r="AB45" i="1"/>
  <c r="AB301" i="1"/>
  <c r="AB93" i="1"/>
  <c r="F43" i="1"/>
  <c r="F42" i="1" l="1"/>
  <c r="AC2" i="3"/>
  <c r="F35" i="1"/>
  <c r="H35" i="1" s="1"/>
  <c r="F32" i="1"/>
  <c r="Z648" i="1"/>
  <c r="U648" i="1"/>
  <c r="T648" i="1"/>
  <c r="Y648" i="1"/>
  <c r="V648" i="1"/>
  <c r="W648" i="1"/>
  <c r="W519" i="1"/>
  <c r="Y519" i="1"/>
  <c r="T519" i="1"/>
  <c r="U519" i="1"/>
  <c r="V519" i="1"/>
  <c r="Z519" i="1"/>
  <c r="T462" i="1"/>
  <c r="U462" i="1"/>
  <c r="V462" i="1"/>
  <c r="W462" i="1"/>
  <c r="Y462" i="1"/>
  <c r="Z462" i="1"/>
  <c r="W533" i="1"/>
  <c r="Y533" i="1"/>
  <c r="T533" i="1"/>
  <c r="U533" i="1"/>
  <c r="Z533" i="1"/>
  <c r="V533" i="1"/>
  <c r="Y572" i="1"/>
  <c r="Z572" i="1"/>
  <c r="U572" i="1"/>
  <c r="V572" i="1"/>
  <c r="W572" i="1"/>
  <c r="T572" i="1"/>
  <c r="Y577" i="1"/>
  <c r="Z577" i="1"/>
  <c r="U577" i="1"/>
  <c r="V577" i="1"/>
  <c r="T577" i="1"/>
  <c r="W577" i="1"/>
  <c r="W497" i="1"/>
  <c r="Y497" i="1"/>
  <c r="T497" i="1"/>
  <c r="Z497" i="1"/>
  <c r="V497" i="1"/>
  <c r="U497" i="1"/>
  <c r="Z617" i="1"/>
  <c r="U617" i="1"/>
  <c r="T617" i="1"/>
  <c r="V617" i="1"/>
  <c r="W617" i="1"/>
  <c r="Y617" i="1"/>
  <c r="Z640" i="1"/>
  <c r="Y640" i="1"/>
  <c r="T640" i="1"/>
  <c r="U640" i="1"/>
  <c r="V640" i="1"/>
  <c r="W640" i="1"/>
  <c r="Y576" i="1"/>
  <c r="Z576" i="1"/>
  <c r="U576" i="1"/>
  <c r="V576" i="1"/>
  <c r="W576" i="1"/>
  <c r="T576" i="1"/>
  <c r="W512" i="1"/>
  <c r="Y512" i="1"/>
  <c r="T512" i="1"/>
  <c r="V512" i="1"/>
  <c r="Z512" i="1"/>
  <c r="U512" i="1"/>
  <c r="T448" i="1"/>
  <c r="U448" i="1"/>
  <c r="V448" i="1"/>
  <c r="W448" i="1"/>
  <c r="Y448" i="1"/>
  <c r="Z448" i="1"/>
  <c r="Z639" i="1"/>
  <c r="U639" i="1"/>
  <c r="Y639" i="1"/>
  <c r="T639" i="1"/>
  <c r="V639" i="1"/>
  <c r="W639" i="1"/>
  <c r="Y575" i="1"/>
  <c r="Z575" i="1"/>
  <c r="U575" i="1"/>
  <c r="V575" i="1"/>
  <c r="T575" i="1"/>
  <c r="W575" i="1"/>
  <c r="W511" i="1"/>
  <c r="Y511" i="1"/>
  <c r="T511" i="1"/>
  <c r="U511" i="1"/>
  <c r="V511" i="1"/>
  <c r="Z511" i="1"/>
  <c r="T447" i="1"/>
  <c r="U447" i="1"/>
  <c r="V447" i="1"/>
  <c r="W447" i="1"/>
  <c r="Y447" i="1"/>
  <c r="Z447" i="1"/>
  <c r="Z646" i="1"/>
  <c r="U646" i="1"/>
  <c r="T646" i="1"/>
  <c r="V646" i="1"/>
  <c r="Y646" i="1"/>
  <c r="W646" i="1"/>
  <c r="Y582" i="1"/>
  <c r="Z582" i="1"/>
  <c r="U582" i="1"/>
  <c r="V582" i="1"/>
  <c r="T582" i="1"/>
  <c r="W582" i="1"/>
  <c r="W518" i="1"/>
  <c r="Y518" i="1"/>
  <c r="T518" i="1"/>
  <c r="U518" i="1"/>
  <c r="Z518" i="1"/>
  <c r="V518" i="1"/>
  <c r="T454" i="1"/>
  <c r="U454" i="1"/>
  <c r="V454" i="1"/>
  <c r="W454" i="1"/>
  <c r="Y454" i="1"/>
  <c r="Z454" i="1"/>
  <c r="Y653" i="1"/>
  <c r="Z653" i="1"/>
  <c r="U653" i="1"/>
  <c r="T653" i="1"/>
  <c r="V653" i="1"/>
  <c r="W653" i="1"/>
  <c r="Y589" i="1"/>
  <c r="Z589" i="1"/>
  <c r="U589" i="1"/>
  <c r="V589" i="1"/>
  <c r="W589" i="1"/>
  <c r="T589" i="1"/>
  <c r="W525" i="1"/>
  <c r="Y525" i="1"/>
  <c r="T525" i="1"/>
  <c r="U525" i="1"/>
  <c r="Z525" i="1"/>
  <c r="V525" i="1"/>
  <c r="T461" i="1"/>
  <c r="U461" i="1"/>
  <c r="V461" i="1"/>
  <c r="W461" i="1"/>
  <c r="Y461" i="1"/>
  <c r="Z461" i="1"/>
  <c r="T397" i="1"/>
  <c r="U397" i="1"/>
  <c r="V397" i="1"/>
  <c r="W397" i="1"/>
  <c r="Y397" i="1"/>
  <c r="Z397" i="1"/>
  <c r="Z628" i="1"/>
  <c r="U628" i="1"/>
  <c r="T628" i="1"/>
  <c r="Y628" i="1"/>
  <c r="V628" i="1"/>
  <c r="W628" i="1"/>
  <c r="Y564" i="1"/>
  <c r="Z564" i="1"/>
  <c r="U564" i="1"/>
  <c r="V564" i="1"/>
  <c r="W564" i="1"/>
  <c r="T564" i="1"/>
  <c r="W500" i="1"/>
  <c r="Y500" i="1"/>
  <c r="T500" i="1"/>
  <c r="V500" i="1"/>
  <c r="Z500" i="1"/>
  <c r="U500" i="1"/>
  <c r="T436" i="1"/>
  <c r="U436" i="1"/>
  <c r="V436" i="1"/>
  <c r="W436" i="1"/>
  <c r="Y436" i="1"/>
  <c r="Z436" i="1"/>
  <c r="Z635" i="1"/>
  <c r="T635" i="1"/>
  <c r="U635" i="1"/>
  <c r="V635" i="1"/>
  <c r="W635" i="1"/>
  <c r="Y635" i="1"/>
  <c r="Y571" i="1"/>
  <c r="Z571" i="1"/>
  <c r="U571" i="1"/>
  <c r="V571" i="1"/>
  <c r="T571" i="1"/>
  <c r="W571" i="1"/>
  <c r="W507" i="1"/>
  <c r="Y507" i="1"/>
  <c r="T507" i="1"/>
  <c r="U507" i="1"/>
  <c r="V507" i="1"/>
  <c r="Z507" i="1"/>
  <c r="T443" i="1"/>
  <c r="U443" i="1"/>
  <c r="V443" i="1"/>
  <c r="W443" i="1"/>
  <c r="Y443" i="1"/>
  <c r="Z443" i="1"/>
  <c r="Z642" i="1"/>
  <c r="U642" i="1"/>
  <c r="T642" i="1"/>
  <c r="V642" i="1"/>
  <c r="Y642" i="1"/>
  <c r="W642" i="1"/>
  <c r="Y578" i="1"/>
  <c r="Z578" i="1"/>
  <c r="U578" i="1"/>
  <c r="V578" i="1"/>
  <c r="T578" i="1"/>
  <c r="W578" i="1"/>
  <c r="W514" i="1"/>
  <c r="Y514" i="1"/>
  <c r="T514" i="1"/>
  <c r="U514" i="1"/>
  <c r="V514" i="1"/>
  <c r="Z514" i="1"/>
  <c r="T450" i="1"/>
  <c r="U450" i="1"/>
  <c r="V450" i="1"/>
  <c r="W450" i="1"/>
  <c r="Y450" i="1"/>
  <c r="Z450" i="1"/>
  <c r="T473" i="1"/>
  <c r="U473" i="1"/>
  <c r="V473" i="1"/>
  <c r="W473" i="1"/>
  <c r="Y473" i="1"/>
  <c r="Z473" i="1"/>
  <c r="W520" i="1"/>
  <c r="Y520" i="1"/>
  <c r="T520" i="1"/>
  <c r="V520" i="1"/>
  <c r="Z520" i="1"/>
  <c r="U520" i="1"/>
  <c r="T455" i="1"/>
  <c r="U455" i="1"/>
  <c r="V455" i="1"/>
  <c r="W455" i="1"/>
  <c r="Y455" i="1"/>
  <c r="Z455" i="1"/>
  <c r="T405" i="1"/>
  <c r="U405" i="1"/>
  <c r="V405" i="1"/>
  <c r="W405" i="1"/>
  <c r="Y405" i="1"/>
  <c r="Z405" i="1"/>
  <c r="W508" i="1"/>
  <c r="Y508" i="1"/>
  <c r="T508" i="1"/>
  <c r="V508" i="1"/>
  <c r="Z508" i="1"/>
  <c r="U508" i="1"/>
  <c r="Y593" i="1"/>
  <c r="Z593" i="1"/>
  <c r="U593" i="1"/>
  <c r="V593" i="1"/>
  <c r="T593" i="1"/>
  <c r="W593" i="1"/>
  <c r="T449" i="1"/>
  <c r="U449" i="1"/>
  <c r="V449" i="1"/>
  <c r="W449" i="1"/>
  <c r="Y449" i="1"/>
  <c r="Z449" i="1"/>
  <c r="T433" i="1"/>
  <c r="U433" i="1"/>
  <c r="V433" i="1"/>
  <c r="W433" i="1"/>
  <c r="Y433" i="1"/>
  <c r="Z433" i="1"/>
  <c r="W529" i="1"/>
  <c r="Y529" i="1"/>
  <c r="T529" i="1"/>
  <c r="Z529" i="1"/>
  <c r="V529" i="1"/>
  <c r="U529" i="1"/>
  <c r="W553" i="1"/>
  <c r="Y553" i="1"/>
  <c r="T553" i="1"/>
  <c r="Z553" i="1"/>
  <c r="U553" i="1"/>
  <c r="V553" i="1"/>
  <c r="T409" i="1"/>
  <c r="U409" i="1"/>
  <c r="V409" i="1"/>
  <c r="W409" i="1"/>
  <c r="Y409" i="1"/>
  <c r="Z409" i="1"/>
  <c r="Y609" i="1"/>
  <c r="Z609" i="1"/>
  <c r="U609" i="1"/>
  <c r="T609" i="1"/>
  <c r="V609" i="1"/>
  <c r="W609" i="1"/>
  <c r="Z632" i="1"/>
  <c r="U632" i="1"/>
  <c r="T632" i="1"/>
  <c r="V632" i="1"/>
  <c r="W632" i="1"/>
  <c r="Y632" i="1"/>
  <c r="Y568" i="1"/>
  <c r="Z568" i="1"/>
  <c r="U568" i="1"/>
  <c r="V568" i="1"/>
  <c r="W568" i="1"/>
  <c r="T568" i="1"/>
  <c r="W504" i="1"/>
  <c r="Y504" i="1"/>
  <c r="T504" i="1"/>
  <c r="V504" i="1"/>
  <c r="Z504" i="1"/>
  <c r="U504" i="1"/>
  <c r="T440" i="1"/>
  <c r="U440" i="1"/>
  <c r="V440" i="1"/>
  <c r="W440" i="1"/>
  <c r="Y440" i="1"/>
  <c r="Z440" i="1"/>
  <c r="Y631" i="1"/>
  <c r="Z631" i="1"/>
  <c r="U631" i="1"/>
  <c r="T631" i="1"/>
  <c r="V631" i="1"/>
  <c r="W631" i="1"/>
  <c r="Y567" i="1"/>
  <c r="Z567" i="1"/>
  <c r="U567" i="1"/>
  <c r="V567" i="1"/>
  <c r="T567" i="1"/>
  <c r="W567" i="1"/>
  <c r="W503" i="1"/>
  <c r="Y503" i="1"/>
  <c r="T503" i="1"/>
  <c r="U503" i="1"/>
  <c r="V503" i="1"/>
  <c r="Z503" i="1"/>
  <c r="T439" i="1"/>
  <c r="U439" i="1"/>
  <c r="V439" i="1"/>
  <c r="W439" i="1"/>
  <c r="Y439" i="1"/>
  <c r="Z439" i="1"/>
  <c r="Y638" i="1"/>
  <c r="Z638" i="1"/>
  <c r="T638" i="1"/>
  <c r="U638" i="1"/>
  <c r="V638" i="1"/>
  <c r="W638" i="1"/>
  <c r="Y574" i="1"/>
  <c r="Z574" i="1"/>
  <c r="U574" i="1"/>
  <c r="V574" i="1"/>
  <c r="T574" i="1"/>
  <c r="W574" i="1"/>
  <c r="W510" i="1"/>
  <c r="Y510" i="1"/>
  <c r="T510" i="1"/>
  <c r="U510" i="1"/>
  <c r="Z510" i="1"/>
  <c r="V510" i="1"/>
  <c r="T446" i="1"/>
  <c r="U446" i="1"/>
  <c r="V446" i="1"/>
  <c r="W446" i="1"/>
  <c r="Y446" i="1"/>
  <c r="Z446" i="1"/>
  <c r="Z645" i="1"/>
  <c r="U645" i="1"/>
  <c r="T645" i="1"/>
  <c r="V645" i="1"/>
  <c r="W645" i="1"/>
  <c r="Y645" i="1"/>
  <c r="Y581" i="1"/>
  <c r="Z581" i="1"/>
  <c r="U581" i="1"/>
  <c r="V581" i="1"/>
  <c r="T581" i="1"/>
  <c r="W581" i="1"/>
  <c r="W517" i="1"/>
  <c r="Y517" i="1"/>
  <c r="T517" i="1"/>
  <c r="U517" i="1"/>
  <c r="Z517" i="1"/>
  <c r="V517" i="1"/>
  <c r="T453" i="1"/>
  <c r="U453" i="1"/>
  <c r="V453" i="1"/>
  <c r="W453" i="1"/>
  <c r="Y453" i="1"/>
  <c r="Z453" i="1"/>
  <c r="Y620" i="1"/>
  <c r="Z620" i="1"/>
  <c r="T620" i="1"/>
  <c r="U620" i="1"/>
  <c r="V620" i="1"/>
  <c r="W620" i="1"/>
  <c r="Y556" i="1"/>
  <c r="Z556" i="1"/>
  <c r="U556" i="1"/>
  <c r="V556" i="1"/>
  <c r="T556" i="1"/>
  <c r="W556" i="1"/>
  <c r="W492" i="1"/>
  <c r="Y492" i="1"/>
  <c r="T492" i="1"/>
  <c r="V492" i="1"/>
  <c r="Z492" i="1"/>
  <c r="U492" i="1"/>
  <c r="T428" i="1"/>
  <c r="U428" i="1"/>
  <c r="V428" i="1"/>
  <c r="W428" i="1"/>
  <c r="Y428" i="1"/>
  <c r="Z428" i="1"/>
  <c r="Y627" i="1"/>
  <c r="Z627" i="1"/>
  <c r="U627" i="1"/>
  <c r="T627" i="1"/>
  <c r="V627" i="1"/>
  <c r="W627" i="1"/>
  <c r="Y563" i="1"/>
  <c r="Z563" i="1"/>
  <c r="U563" i="1"/>
  <c r="V563" i="1"/>
  <c r="T563" i="1"/>
  <c r="W563" i="1"/>
  <c r="W499" i="1"/>
  <c r="Y499" i="1"/>
  <c r="T499" i="1"/>
  <c r="U499" i="1"/>
  <c r="V499" i="1"/>
  <c r="Z499" i="1"/>
  <c r="T435" i="1"/>
  <c r="U435" i="1"/>
  <c r="V435" i="1"/>
  <c r="W435" i="1"/>
  <c r="Y435" i="1"/>
  <c r="Z435" i="1"/>
  <c r="Z634" i="1"/>
  <c r="U634" i="1"/>
  <c r="T634" i="1"/>
  <c r="Y634" i="1"/>
  <c r="V634" i="1"/>
  <c r="W634" i="1"/>
  <c r="Y570" i="1"/>
  <c r="Z570" i="1"/>
  <c r="U570" i="1"/>
  <c r="V570" i="1"/>
  <c r="T570" i="1"/>
  <c r="W570" i="1"/>
  <c r="W506" i="1"/>
  <c r="Y506" i="1"/>
  <c r="T506" i="1"/>
  <c r="U506" i="1"/>
  <c r="V506" i="1"/>
  <c r="Z506" i="1"/>
  <c r="T442" i="1"/>
  <c r="U442" i="1"/>
  <c r="V442" i="1"/>
  <c r="W442" i="1"/>
  <c r="Y442" i="1"/>
  <c r="Z442" i="1"/>
  <c r="Y583" i="1"/>
  <c r="Z583" i="1"/>
  <c r="U583" i="1"/>
  <c r="V583" i="1"/>
  <c r="T583" i="1"/>
  <c r="W583" i="1"/>
  <c r="T398" i="1"/>
  <c r="U398" i="1"/>
  <c r="V398" i="1"/>
  <c r="W398" i="1"/>
  <c r="Y398" i="1"/>
  <c r="Z398" i="1"/>
  <c r="T469" i="1"/>
  <c r="U469" i="1"/>
  <c r="V469" i="1"/>
  <c r="W469" i="1"/>
  <c r="Y469" i="1"/>
  <c r="Z469" i="1"/>
  <c r="Z636" i="1"/>
  <c r="U636" i="1"/>
  <c r="T636" i="1"/>
  <c r="V636" i="1"/>
  <c r="Y636" i="1"/>
  <c r="W636" i="1"/>
  <c r="T444" i="1"/>
  <c r="U444" i="1"/>
  <c r="V444" i="1"/>
  <c r="W444" i="1"/>
  <c r="Y444" i="1"/>
  <c r="Z444" i="1"/>
  <c r="Z643" i="1"/>
  <c r="U643" i="1"/>
  <c r="T643" i="1"/>
  <c r="Y643" i="1"/>
  <c r="V643" i="1"/>
  <c r="W643" i="1"/>
  <c r="Y579" i="1"/>
  <c r="Z579" i="1"/>
  <c r="U579" i="1"/>
  <c r="V579" i="1"/>
  <c r="T579" i="1"/>
  <c r="W579" i="1"/>
  <c r="W515" i="1"/>
  <c r="Y515" i="1"/>
  <c r="T515" i="1"/>
  <c r="U515" i="1"/>
  <c r="V515" i="1"/>
  <c r="Z515" i="1"/>
  <c r="T451" i="1"/>
  <c r="U451" i="1"/>
  <c r="V451" i="1"/>
  <c r="W451" i="1"/>
  <c r="Y451" i="1"/>
  <c r="Z451" i="1"/>
  <c r="Z650" i="1"/>
  <c r="U650" i="1"/>
  <c r="T650" i="1"/>
  <c r="V650" i="1"/>
  <c r="W650" i="1"/>
  <c r="Y650" i="1"/>
  <c r="Y586" i="1"/>
  <c r="Z586" i="1"/>
  <c r="U586" i="1"/>
  <c r="V586" i="1"/>
  <c r="T586" i="1"/>
  <c r="W586" i="1"/>
  <c r="W522" i="1"/>
  <c r="Y522" i="1"/>
  <c r="T522" i="1"/>
  <c r="U522" i="1"/>
  <c r="V522" i="1"/>
  <c r="Z522" i="1"/>
  <c r="T401" i="1"/>
  <c r="U401" i="1"/>
  <c r="V401" i="1"/>
  <c r="W401" i="1"/>
  <c r="Y401" i="1"/>
  <c r="Z401" i="1"/>
  <c r="W489" i="1"/>
  <c r="Y489" i="1"/>
  <c r="T489" i="1"/>
  <c r="Z489" i="1"/>
  <c r="V489" i="1"/>
  <c r="U489" i="1"/>
  <c r="W545" i="1"/>
  <c r="Y545" i="1"/>
  <c r="T545" i="1"/>
  <c r="Z545" i="1"/>
  <c r="U545" i="1"/>
  <c r="V545" i="1"/>
  <c r="Y624" i="1"/>
  <c r="Z624" i="1"/>
  <c r="T624" i="1"/>
  <c r="U624" i="1"/>
  <c r="V624" i="1"/>
  <c r="W624" i="1"/>
  <c r="Y560" i="1"/>
  <c r="Z560" i="1"/>
  <c r="U560" i="1"/>
  <c r="V560" i="1"/>
  <c r="W560" i="1"/>
  <c r="T560" i="1"/>
  <c r="W496" i="1"/>
  <c r="Y496" i="1"/>
  <c r="T496" i="1"/>
  <c r="V496" i="1"/>
  <c r="Z496" i="1"/>
  <c r="U496" i="1"/>
  <c r="T432" i="1"/>
  <c r="U432" i="1"/>
  <c r="V432" i="1"/>
  <c r="W432" i="1"/>
  <c r="Y432" i="1"/>
  <c r="Z432" i="1"/>
  <c r="Y623" i="1"/>
  <c r="Z623" i="1"/>
  <c r="U623" i="1"/>
  <c r="T623" i="1"/>
  <c r="V623" i="1"/>
  <c r="W623" i="1"/>
  <c r="Y559" i="1"/>
  <c r="Z559" i="1"/>
  <c r="U559" i="1"/>
  <c r="V559" i="1"/>
  <c r="T559" i="1"/>
  <c r="W559" i="1"/>
  <c r="W495" i="1"/>
  <c r="Y495" i="1"/>
  <c r="T495" i="1"/>
  <c r="U495" i="1"/>
  <c r="V495" i="1"/>
  <c r="Z495" i="1"/>
  <c r="T431" i="1"/>
  <c r="U431" i="1"/>
  <c r="V431" i="1"/>
  <c r="W431" i="1"/>
  <c r="Y431" i="1"/>
  <c r="Z431" i="1"/>
  <c r="Z630" i="1"/>
  <c r="Y630" i="1"/>
  <c r="T630" i="1"/>
  <c r="U630" i="1"/>
  <c r="V630" i="1"/>
  <c r="W630" i="1"/>
  <c r="Y566" i="1"/>
  <c r="Z566" i="1"/>
  <c r="U566" i="1"/>
  <c r="V566" i="1"/>
  <c r="T566" i="1"/>
  <c r="W566" i="1"/>
  <c r="W502" i="1"/>
  <c r="Y502" i="1"/>
  <c r="T502" i="1"/>
  <c r="U502" i="1"/>
  <c r="V502" i="1"/>
  <c r="Z502" i="1"/>
  <c r="T438" i="1"/>
  <c r="U438" i="1"/>
  <c r="V438" i="1"/>
  <c r="W438" i="1"/>
  <c r="Y438" i="1"/>
  <c r="Z438" i="1"/>
  <c r="Z637" i="1"/>
  <c r="U637" i="1"/>
  <c r="T637" i="1"/>
  <c r="Y637" i="1"/>
  <c r="V637" i="1"/>
  <c r="W637" i="1"/>
  <c r="Y573" i="1"/>
  <c r="Z573" i="1"/>
  <c r="U573" i="1"/>
  <c r="V573" i="1"/>
  <c r="W573" i="1"/>
  <c r="T573" i="1"/>
  <c r="W509" i="1"/>
  <c r="Y509" i="1"/>
  <c r="T509" i="1"/>
  <c r="U509" i="1"/>
  <c r="Z509" i="1"/>
  <c r="V509" i="1"/>
  <c r="T445" i="1"/>
  <c r="U445" i="1"/>
  <c r="V445" i="1"/>
  <c r="W445" i="1"/>
  <c r="Y445" i="1"/>
  <c r="Z445" i="1"/>
  <c r="Z612" i="1"/>
  <c r="U612" i="1"/>
  <c r="Y612" i="1"/>
  <c r="T612" i="1"/>
  <c r="V612" i="1"/>
  <c r="W612" i="1"/>
  <c r="W548" i="1"/>
  <c r="Y548" i="1"/>
  <c r="T548" i="1"/>
  <c r="V548" i="1"/>
  <c r="Z548" i="1"/>
  <c r="U548" i="1"/>
  <c r="W484" i="1"/>
  <c r="Y484" i="1"/>
  <c r="T484" i="1"/>
  <c r="V484" i="1"/>
  <c r="Z484" i="1"/>
  <c r="U484" i="1"/>
  <c r="T420" i="1"/>
  <c r="U420" i="1"/>
  <c r="V420" i="1"/>
  <c r="W420" i="1"/>
  <c r="Y420" i="1"/>
  <c r="Z420" i="1"/>
  <c r="Y619" i="1"/>
  <c r="Z619" i="1"/>
  <c r="U619" i="1"/>
  <c r="T619" i="1"/>
  <c r="V619" i="1"/>
  <c r="W619" i="1"/>
  <c r="T555" i="1"/>
  <c r="Y555" i="1"/>
  <c r="Z555" i="1"/>
  <c r="U555" i="1"/>
  <c r="V555" i="1"/>
  <c r="W555" i="1"/>
  <c r="W491" i="1"/>
  <c r="Y491" i="1"/>
  <c r="T491" i="1"/>
  <c r="U491" i="1"/>
  <c r="V491" i="1"/>
  <c r="Z491" i="1"/>
  <c r="T427" i="1"/>
  <c r="U427" i="1"/>
  <c r="V427" i="1"/>
  <c r="W427" i="1"/>
  <c r="Y427" i="1"/>
  <c r="Z427" i="1"/>
  <c r="Z626" i="1"/>
  <c r="U626" i="1"/>
  <c r="T626" i="1"/>
  <c r="V626" i="1"/>
  <c r="Y626" i="1"/>
  <c r="W626" i="1"/>
  <c r="Y562" i="1"/>
  <c r="Z562" i="1"/>
  <c r="U562" i="1"/>
  <c r="V562" i="1"/>
  <c r="T562" i="1"/>
  <c r="W562" i="1"/>
  <c r="W498" i="1"/>
  <c r="Y498" i="1"/>
  <c r="T498" i="1"/>
  <c r="U498" i="1"/>
  <c r="V498" i="1"/>
  <c r="Z498" i="1"/>
  <c r="T434" i="1"/>
  <c r="U434" i="1"/>
  <c r="V434" i="1"/>
  <c r="W434" i="1"/>
  <c r="Y434" i="1"/>
  <c r="Z434" i="1"/>
  <c r="T456" i="1"/>
  <c r="U456" i="1"/>
  <c r="V456" i="1"/>
  <c r="W456" i="1"/>
  <c r="Y456" i="1"/>
  <c r="Z456" i="1"/>
  <c r="W526" i="1"/>
  <c r="Y526" i="1"/>
  <c r="T526" i="1"/>
  <c r="U526" i="1"/>
  <c r="V526" i="1"/>
  <c r="Z526" i="1"/>
  <c r="Z661" i="1"/>
  <c r="U661" i="1"/>
  <c r="T661" i="1"/>
  <c r="Y661" i="1"/>
  <c r="V661" i="1"/>
  <c r="W661" i="1"/>
  <c r="Z649" i="1"/>
  <c r="U649" i="1"/>
  <c r="Y649" i="1"/>
  <c r="T649" i="1"/>
  <c r="V649" i="1"/>
  <c r="W649" i="1"/>
  <c r="W505" i="1"/>
  <c r="Y505" i="1"/>
  <c r="T505" i="1"/>
  <c r="Z505" i="1"/>
  <c r="U505" i="1"/>
  <c r="V505" i="1"/>
  <c r="T425" i="1"/>
  <c r="U425" i="1"/>
  <c r="V425" i="1"/>
  <c r="W425" i="1"/>
  <c r="Y425" i="1"/>
  <c r="Z425" i="1"/>
  <c r="Z657" i="1"/>
  <c r="Y657" i="1"/>
  <c r="U657" i="1"/>
  <c r="T657" i="1"/>
  <c r="V657" i="1"/>
  <c r="W657" i="1"/>
  <c r="W481" i="1"/>
  <c r="Y481" i="1"/>
  <c r="T481" i="1"/>
  <c r="Z481" i="1"/>
  <c r="U481" i="1"/>
  <c r="V481" i="1"/>
  <c r="Z616" i="1"/>
  <c r="U616" i="1"/>
  <c r="T616" i="1"/>
  <c r="V616" i="1"/>
  <c r="Y616" i="1"/>
  <c r="W616" i="1"/>
  <c r="W552" i="1"/>
  <c r="Y552" i="1"/>
  <c r="T552" i="1"/>
  <c r="V552" i="1"/>
  <c r="Z552" i="1"/>
  <c r="U552" i="1"/>
  <c r="W488" i="1"/>
  <c r="Y488" i="1"/>
  <c r="T488" i="1"/>
  <c r="V488" i="1"/>
  <c r="Z488" i="1"/>
  <c r="U488" i="1"/>
  <c r="T424" i="1"/>
  <c r="U424" i="1"/>
  <c r="V424" i="1"/>
  <c r="W424" i="1"/>
  <c r="Y424" i="1"/>
  <c r="Z424" i="1"/>
  <c r="Y615" i="1"/>
  <c r="Z615" i="1"/>
  <c r="T615" i="1"/>
  <c r="U615" i="1"/>
  <c r="V615" i="1"/>
  <c r="W615" i="1"/>
  <c r="W551" i="1"/>
  <c r="Y551" i="1"/>
  <c r="T551" i="1"/>
  <c r="U551" i="1"/>
  <c r="V551" i="1"/>
  <c r="Z551" i="1"/>
  <c r="W487" i="1"/>
  <c r="Y487" i="1"/>
  <c r="T487" i="1"/>
  <c r="U487" i="1"/>
  <c r="V487" i="1"/>
  <c r="Z487" i="1"/>
  <c r="T423" i="1"/>
  <c r="U423" i="1"/>
  <c r="V423" i="1"/>
  <c r="W423" i="1"/>
  <c r="Y423" i="1"/>
  <c r="Z423" i="1"/>
  <c r="Y622" i="1"/>
  <c r="Z622" i="1"/>
  <c r="U622" i="1"/>
  <c r="T622" i="1"/>
  <c r="V622" i="1"/>
  <c r="W622" i="1"/>
  <c r="Y558" i="1"/>
  <c r="Z558" i="1"/>
  <c r="U558" i="1"/>
  <c r="V558" i="1"/>
  <c r="T558" i="1"/>
  <c r="W558" i="1"/>
  <c r="W494" i="1"/>
  <c r="Y494" i="1"/>
  <c r="T494" i="1"/>
  <c r="U494" i="1"/>
  <c r="V494" i="1"/>
  <c r="Z494" i="1"/>
  <c r="T430" i="1"/>
  <c r="U430" i="1"/>
  <c r="V430" i="1"/>
  <c r="W430" i="1"/>
  <c r="Y430" i="1"/>
  <c r="Z430" i="1"/>
  <c r="Z629" i="1"/>
  <c r="U629" i="1"/>
  <c r="Y629" i="1"/>
  <c r="T629" i="1"/>
  <c r="V629" i="1"/>
  <c r="W629" i="1"/>
  <c r="Y565" i="1"/>
  <c r="Z565" i="1"/>
  <c r="U565" i="1"/>
  <c r="V565" i="1"/>
  <c r="T565" i="1"/>
  <c r="W565" i="1"/>
  <c r="W501" i="1"/>
  <c r="Y501" i="1"/>
  <c r="T501" i="1"/>
  <c r="U501" i="1"/>
  <c r="Z501" i="1"/>
  <c r="V501" i="1"/>
  <c r="T437" i="1"/>
  <c r="U437" i="1"/>
  <c r="V437" i="1"/>
  <c r="W437" i="1"/>
  <c r="Y437" i="1"/>
  <c r="Z437" i="1"/>
  <c r="Y604" i="1"/>
  <c r="Z604" i="1"/>
  <c r="U604" i="1"/>
  <c r="V604" i="1"/>
  <c r="T604" i="1"/>
  <c r="W604" i="1"/>
  <c r="W540" i="1"/>
  <c r="Y540" i="1"/>
  <c r="T540" i="1"/>
  <c r="V540" i="1"/>
  <c r="Z540" i="1"/>
  <c r="U540" i="1"/>
  <c r="T476" i="1"/>
  <c r="U476" i="1"/>
  <c r="V476" i="1"/>
  <c r="W476" i="1"/>
  <c r="Y476" i="1"/>
  <c r="Z476" i="1"/>
  <c r="T412" i="1"/>
  <c r="U412" i="1"/>
  <c r="V412" i="1"/>
  <c r="W412" i="1"/>
  <c r="Y412" i="1"/>
  <c r="Z412" i="1"/>
  <c r="Y611" i="1"/>
  <c r="Z611" i="1"/>
  <c r="U611" i="1"/>
  <c r="T611" i="1"/>
  <c r="V611" i="1"/>
  <c r="W611" i="1"/>
  <c r="W547" i="1"/>
  <c r="Y547" i="1"/>
  <c r="T547" i="1"/>
  <c r="U547" i="1"/>
  <c r="V547" i="1"/>
  <c r="Z547" i="1"/>
  <c r="W483" i="1"/>
  <c r="Y483" i="1"/>
  <c r="T483" i="1"/>
  <c r="U483" i="1"/>
  <c r="V483" i="1"/>
  <c r="Z483" i="1"/>
  <c r="T419" i="1"/>
  <c r="U419" i="1"/>
  <c r="V419" i="1"/>
  <c r="W419" i="1"/>
  <c r="Y419" i="1"/>
  <c r="Z419" i="1"/>
  <c r="Y618" i="1"/>
  <c r="Z618" i="1"/>
  <c r="U618" i="1"/>
  <c r="T618" i="1"/>
  <c r="V618" i="1"/>
  <c r="W618" i="1"/>
  <c r="W554" i="1"/>
  <c r="Y554" i="1"/>
  <c r="T554" i="1"/>
  <c r="U554" i="1"/>
  <c r="V554" i="1"/>
  <c r="Z554" i="1"/>
  <c r="W490" i="1"/>
  <c r="Y490" i="1"/>
  <c r="T490" i="1"/>
  <c r="U490" i="1"/>
  <c r="V490" i="1"/>
  <c r="Z490" i="1"/>
  <c r="T426" i="1"/>
  <c r="U426" i="1"/>
  <c r="V426" i="1"/>
  <c r="W426" i="1"/>
  <c r="Y426" i="1"/>
  <c r="Z426" i="1"/>
  <c r="T465" i="1"/>
  <c r="U465" i="1"/>
  <c r="V465" i="1"/>
  <c r="W465" i="1"/>
  <c r="Y465" i="1"/>
  <c r="Z465" i="1"/>
  <c r="Y584" i="1"/>
  <c r="Z584" i="1"/>
  <c r="U584" i="1"/>
  <c r="V584" i="1"/>
  <c r="W584" i="1"/>
  <c r="T584" i="1"/>
  <c r="Z654" i="1"/>
  <c r="U654" i="1"/>
  <c r="T654" i="1"/>
  <c r="V654" i="1"/>
  <c r="W654" i="1"/>
  <c r="Y654" i="1"/>
  <c r="Y585" i="1"/>
  <c r="Z585" i="1"/>
  <c r="U585" i="1"/>
  <c r="V585" i="1"/>
  <c r="T585" i="1"/>
  <c r="W585" i="1"/>
  <c r="Z633" i="1"/>
  <c r="U633" i="1"/>
  <c r="T633" i="1"/>
  <c r="V633" i="1"/>
  <c r="Y633" i="1"/>
  <c r="W633" i="1"/>
  <c r="Z641" i="1"/>
  <c r="U641" i="1"/>
  <c r="T641" i="1"/>
  <c r="V641" i="1"/>
  <c r="W641" i="1"/>
  <c r="Y641" i="1"/>
  <c r="T417" i="1"/>
  <c r="U417" i="1"/>
  <c r="V417" i="1"/>
  <c r="W417" i="1"/>
  <c r="Y417" i="1"/>
  <c r="Z417" i="1"/>
  <c r="Y608" i="1"/>
  <c r="Z608" i="1"/>
  <c r="U608" i="1"/>
  <c r="T608" i="1"/>
  <c r="V608" i="1"/>
  <c r="W608" i="1"/>
  <c r="W544" i="1"/>
  <c r="Y544" i="1"/>
  <c r="T544" i="1"/>
  <c r="V544" i="1"/>
  <c r="Z544" i="1"/>
  <c r="U544" i="1"/>
  <c r="T480" i="1"/>
  <c r="U480" i="1"/>
  <c r="V480" i="1"/>
  <c r="W480" i="1"/>
  <c r="Y480" i="1"/>
  <c r="Z480" i="1"/>
  <c r="T416" i="1"/>
  <c r="U416" i="1"/>
  <c r="V416" i="1"/>
  <c r="W416" i="1"/>
  <c r="Y416" i="1"/>
  <c r="Z416" i="1"/>
  <c r="Y607" i="1"/>
  <c r="Z607" i="1"/>
  <c r="U607" i="1"/>
  <c r="V607" i="1"/>
  <c r="W607" i="1"/>
  <c r="T607" i="1"/>
  <c r="W543" i="1"/>
  <c r="Y543" i="1"/>
  <c r="T543" i="1"/>
  <c r="U543" i="1"/>
  <c r="V543" i="1"/>
  <c r="Z543" i="1"/>
  <c r="T479" i="1"/>
  <c r="U479" i="1"/>
  <c r="V479" i="1"/>
  <c r="W479" i="1"/>
  <c r="Y479" i="1"/>
  <c r="Z479" i="1"/>
  <c r="T415" i="1"/>
  <c r="U415" i="1"/>
  <c r="V415" i="1"/>
  <c r="W415" i="1"/>
  <c r="Y415" i="1"/>
  <c r="Z415" i="1"/>
  <c r="Z614" i="1"/>
  <c r="U614" i="1"/>
  <c r="T614" i="1"/>
  <c r="Y614" i="1"/>
  <c r="V614" i="1"/>
  <c r="W614" i="1"/>
  <c r="W550" i="1"/>
  <c r="Y550" i="1"/>
  <c r="T550" i="1"/>
  <c r="U550" i="1"/>
  <c r="Z550" i="1"/>
  <c r="V550" i="1"/>
  <c r="W486" i="1"/>
  <c r="Y486" i="1"/>
  <c r="T486" i="1"/>
  <c r="U486" i="1"/>
  <c r="Z486" i="1"/>
  <c r="V486" i="1"/>
  <c r="T422" i="1"/>
  <c r="U422" i="1"/>
  <c r="V422" i="1"/>
  <c r="W422" i="1"/>
  <c r="Y422" i="1"/>
  <c r="Z422" i="1"/>
  <c r="Z621" i="1"/>
  <c r="U621" i="1"/>
  <c r="T621" i="1"/>
  <c r="Y621" i="1"/>
  <c r="V621" i="1"/>
  <c r="W621" i="1"/>
  <c r="Y557" i="1"/>
  <c r="Z557" i="1"/>
  <c r="U557" i="1"/>
  <c r="V557" i="1"/>
  <c r="T557" i="1"/>
  <c r="W557" i="1"/>
  <c r="W493" i="1"/>
  <c r="Y493" i="1"/>
  <c r="T493" i="1"/>
  <c r="U493" i="1"/>
  <c r="Z493" i="1"/>
  <c r="V493" i="1"/>
  <c r="T429" i="1"/>
  <c r="U429" i="1"/>
  <c r="V429" i="1"/>
  <c r="W429" i="1"/>
  <c r="Y429" i="1"/>
  <c r="Z429" i="1"/>
  <c r="Z660" i="1"/>
  <c r="U660" i="1"/>
  <c r="T660" i="1"/>
  <c r="V660" i="1"/>
  <c r="W660" i="1"/>
  <c r="Y660" i="1"/>
  <c r="Y596" i="1"/>
  <c r="Z596" i="1"/>
  <c r="U596" i="1"/>
  <c r="V596" i="1"/>
  <c r="W596" i="1"/>
  <c r="T596" i="1"/>
  <c r="W532" i="1"/>
  <c r="Y532" i="1"/>
  <c r="T532" i="1"/>
  <c r="V532" i="1"/>
  <c r="Z532" i="1"/>
  <c r="U532" i="1"/>
  <c r="T468" i="1"/>
  <c r="U468" i="1"/>
  <c r="V468" i="1"/>
  <c r="W468" i="1"/>
  <c r="Y468" i="1"/>
  <c r="Z468" i="1"/>
  <c r="T404" i="1"/>
  <c r="U404" i="1"/>
  <c r="V404" i="1"/>
  <c r="W404" i="1"/>
  <c r="Y404" i="1"/>
  <c r="Z404" i="1"/>
  <c r="Y603" i="1"/>
  <c r="Z603" i="1"/>
  <c r="U603" i="1"/>
  <c r="V603" i="1"/>
  <c r="T603" i="1"/>
  <c r="W603" i="1"/>
  <c r="W539" i="1"/>
  <c r="Y539" i="1"/>
  <c r="T539" i="1"/>
  <c r="U539" i="1"/>
  <c r="V539" i="1"/>
  <c r="Z539" i="1"/>
  <c r="T475" i="1"/>
  <c r="U475" i="1"/>
  <c r="V475" i="1"/>
  <c r="W475" i="1"/>
  <c r="Y475" i="1"/>
  <c r="Z475" i="1"/>
  <c r="T411" i="1"/>
  <c r="U411" i="1"/>
  <c r="V411" i="1"/>
  <c r="W411" i="1"/>
  <c r="Y411" i="1"/>
  <c r="Z411" i="1"/>
  <c r="Y610" i="1"/>
  <c r="Z610" i="1"/>
  <c r="U610" i="1"/>
  <c r="W610" i="1"/>
  <c r="V610" i="1"/>
  <c r="T610" i="1"/>
  <c r="W546" i="1"/>
  <c r="Y546" i="1"/>
  <c r="T546" i="1"/>
  <c r="U546" i="1"/>
  <c r="V546" i="1"/>
  <c r="Z546" i="1"/>
  <c r="W482" i="1"/>
  <c r="Y482" i="1"/>
  <c r="T482" i="1"/>
  <c r="U482" i="1"/>
  <c r="V482" i="1"/>
  <c r="Z482" i="1"/>
  <c r="T418" i="1"/>
  <c r="U418" i="1"/>
  <c r="V418" i="1"/>
  <c r="W418" i="1"/>
  <c r="Y418" i="1"/>
  <c r="Z418" i="1"/>
  <c r="Y561" i="1"/>
  <c r="Z561" i="1"/>
  <c r="U561" i="1"/>
  <c r="V561" i="1"/>
  <c r="T561" i="1"/>
  <c r="W561" i="1"/>
  <c r="Y590" i="1"/>
  <c r="Z590" i="1"/>
  <c r="U590" i="1"/>
  <c r="V590" i="1"/>
  <c r="T590" i="1"/>
  <c r="W590" i="1"/>
  <c r="Y597" i="1"/>
  <c r="Z597" i="1"/>
  <c r="U597" i="1"/>
  <c r="V597" i="1"/>
  <c r="W597" i="1"/>
  <c r="T597" i="1"/>
  <c r="W521" i="1"/>
  <c r="Y521" i="1"/>
  <c r="T521" i="1"/>
  <c r="Z521" i="1"/>
  <c r="U521" i="1"/>
  <c r="V521" i="1"/>
  <c r="Y601" i="1"/>
  <c r="Z601" i="1"/>
  <c r="U601" i="1"/>
  <c r="V601" i="1"/>
  <c r="T601" i="1"/>
  <c r="W601" i="1"/>
  <c r="T441" i="1"/>
  <c r="U441" i="1"/>
  <c r="V441" i="1"/>
  <c r="W441" i="1"/>
  <c r="Y441" i="1"/>
  <c r="Z441" i="1"/>
  <c r="W513" i="1"/>
  <c r="Y513" i="1"/>
  <c r="T513" i="1"/>
  <c r="Z513" i="1"/>
  <c r="U513" i="1"/>
  <c r="V513" i="1"/>
  <c r="Y600" i="1"/>
  <c r="Z600" i="1"/>
  <c r="U600" i="1"/>
  <c r="V600" i="1"/>
  <c r="W600" i="1"/>
  <c r="T600" i="1"/>
  <c r="W536" i="1"/>
  <c r="Y536" i="1"/>
  <c r="T536" i="1"/>
  <c r="V536" i="1"/>
  <c r="Z536" i="1"/>
  <c r="U536" i="1"/>
  <c r="T472" i="1"/>
  <c r="U472" i="1"/>
  <c r="V472" i="1"/>
  <c r="W472" i="1"/>
  <c r="Y472" i="1"/>
  <c r="Z472" i="1"/>
  <c r="T408" i="1"/>
  <c r="U408" i="1"/>
  <c r="V408" i="1"/>
  <c r="W408" i="1"/>
  <c r="Y408" i="1"/>
  <c r="Z408" i="1"/>
  <c r="Y599" i="1"/>
  <c r="Z599" i="1"/>
  <c r="U599" i="1"/>
  <c r="V599" i="1"/>
  <c r="T599" i="1"/>
  <c r="W599" i="1"/>
  <c r="W535" i="1"/>
  <c r="Y535" i="1"/>
  <c r="T535" i="1"/>
  <c r="U535" i="1"/>
  <c r="V535" i="1"/>
  <c r="Z535" i="1"/>
  <c r="T471" i="1"/>
  <c r="U471" i="1"/>
  <c r="V471" i="1"/>
  <c r="W471" i="1"/>
  <c r="Y471" i="1"/>
  <c r="Z471" i="1"/>
  <c r="T407" i="1"/>
  <c r="U407" i="1"/>
  <c r="V407" i="1"/>
  <c r="W407" i="1"/>
  <c r="Y407" i="1"/>
  <c r="Z407" i="1"/>
  <c r="Y606" i="1"/>
  <c r="Z606" i="1"/>
  <c r="U606" i="1"/>
  <c r="T606" i="1"/>
  <c r="W606" i="1"/>
  <c r="V606" i="1"/>
  <c r="W542" i="1"/>
  <c r="Y542" i="1"/>
  <c r="T542" i="1"/>
  <c r="U542" i="1"/>
  <c r="V542" i="1"/>
  <c r="Z542" i="1"/>
  <c r="T478" i="1"/>
  <c r="U478" i="1"/>
  <c r="V478" i="1"/>
  <c r="W478" i="1"/>
  <c r="Y478" i="1"/>
  <c r="Z478" i="1"/>
  <c r="T414" i="1"/>
  <c r="U414" i="1"/>
  <c r="V414" i="1"/>
  <c r="W414" i="1"/>
  <c r="Y414" i="1"/>
  <c r="Z414" i="1"/>
  <c r="Z613" i="1"/>
  <c r="U613" i="1"/>
  <c r="Y613" i="1"/>
  <c r="T613" i="1"/>
  <c r="V613" i="1"/>
  <c r="W613" i="1"/>
  <c r="W549" i="1"/>
  <c r="Y549" i="1"/>
  <c r="T549" i="1"/>
  <c r="U549" i="1"/>
  <c r="Z549" i="1"/>
  <c r="V549" i="1"/>
  <c r="W485" i="1"/>
  <c r="Y485" i="1"/>
  <c r="T485" i="1"/>
  <c r="U485" i="1"/>
  <c r="Z485" i="1"/>
  <c r="V485" i="1"/>
  <c r="T421" i="1"/>
  <c r="U421" i="1"/>
  <c r="V421" i="1"/>
  <c r="W421" i="1"/>
  <c r="Y421" i="1"/>
  <c r="Z421" i="1"/>
  <c r="Z652" i="1"/>
  <c r="T652" i="1"/>
  <c r="U652" i="1"/>
  <c r="Y652" i="1"/>
  <c r="V652" i="1"/>
  <c r="W652" i="1"/>
  <c r="Y588" i="1"/>
  <c r="Z588" i="1"/>
  <c r="U588" i="1"/>
  <c r="V588" i="1"/>
  <c r="W588" i="1"/>
  <c r="T588" i="1"/>
  <c r="W524" i="1"/>
  <c r="Y524" i="1"/>
  <c r="T524" i="1"/>
  <c r="V524" i="1"/>
  <c r="Z524" i="1"/>
  <c r="U524" i="1"/>
  <c r="T460" i="1"/>
  <c r="U460" i="1"/>
  <c r="V460" i="1"/>
  <c r="W460" i="1"/>
  <c r="Y460" i="1"/>
  <c r="Z460" i="1"/>
  <c r="T396" i="1"/>
  <c r="U396" i="1"/>
  <c r="V396" i="1"/>
  <c r="W396" i="1"/>
  <c r="Y396" i="1"/>
  <c r="Z396" i="1"/>
  <c r="Z659" i="1"/>
  <c r="U659" i="1"/>
  <c r="T659" i="1"/>
  <c r="V659" i="1"/>
  <c r="Y659" i="1"/>
  <c r="W659" i="1"/>
  <c r="Y595" i="1"/>
  <c r="Z595" i="1"/>
  <c r="U595" i="1"/>
  <c r="V595" i="1"/>
  <c r="T595" i="1"/>
  <c r="W595" i="1"/>
  <c r="W531" i="1"/>
  <c r="Y531" i="1"/>
  <c r="T531" i="1"/>
  <c r="U531" i="1"/>
  <c r="V531" i="1"/>
  <c r="Z531" i="1"/>
  <c r="T467" i="1"/>
  <c r="U467" i="1"/>
  <c r="V467" i="1"/>
  <c r="W467" i="1"/>
  <c r="Y467" i="1"/>
  <c r="Z467" i="1"/>
  <c r="T403" i="1"/>
  <c r="U403" i="1"/>
  <c r="V403" i="1"/>
  <c r="W403" i="1"/>
  <c r="Y403" i="1"/>
  <c r="Z403" i="1"/>
  <c r="Y602" i="1"/>
  <c r="Z602" i="1"/>
  <c r="U602" i="1"/>
  <c r="V602" i="1"/>
  <c r="T602" i="1"/>
  <c r="W602" i="1"/>
  <c r="W538" i="1"/>
  <c r="Y538" i="1"/>
  <c r="T538" i="1"/>
  <c r="U538" i="1"/>
  <c r="V538" i="1"/>
  <c r="Z538" i="1"/>
  <c r="T474" i="1"/>
  <c r="U474" i="1"/>
  <c r="V474" i="1"/>
  <c r="W474" i="1"/>
  <c r="Y474" i="1"/>
  <c r="Z474" i="1"/>
  <c r="T410" i="1"/>
  <c r="U410" i="1"/>
  <c r="V410" i="1"/>
  <c r="W410" i="1"/>
  <c r="Y410" i="1"/>
  <c r="Z410" i="1"/>
  <c r="Y569" i="1"/>
  <c r="Z569" i="1"/>
  <c r="U569" i="1"/>
  <c r="V569" i="1"/>
  <c r="T569" i="1"/>
  <c r="W569" i="1"/>
  <c r="Z647" i="1"/>
  <c r="Y647" i="1"/>
  <c r="T647" i="1"/>
  <c r="U647" i="1"/>
  <c r="V647" i="1"/>
  <c r="W647" i="1"/>
  <c r="T458" i="1"/>
  <c r="U458" i="1"/>
  <c r="V458" i="1"/>
  <c r="W458" i="1"/>
  <c r="Y458" i="1"/>
  <c r="Z458" i="1"/>
  <c r="W537" i="1"/>
  <c r="Y537" i="1"/>
  <c r="T537" i="1"/>
  <c r="Z537" i="1"/>
  <c r="U537" i="1"/>
  <c r="V537" i="1"/>
  <c r="T457" i="1"/>
  <c r="U457" i="1"/>
  <c r="V457" i="1"/>
  <c r="W457" i="1"/>
  <c r="Y457" i="1"/>
  <c r="Z457" i="1"/>
  <c r="Z625" i="1"/>
  <c r="U625" i="1"/>
  <c r="T625" i="1"/>
  <c r="V625" i="1"/>
  <c r="W625" i="1"/>
  <c r="Y625" i="1"/>
  <c r="Z656" i="1"/>
  <c r="U656" i="1"/>
  <c r="Y656" i="1"/>
  <c r="T656" i="1"/>
  <c r="V656" i="1"/>
  <c r="W656" i="1"/>
  <c r="Y592" i="1"/>
  <c r="Z592" i="1"/>
  <c r="U592" i="1"/>
  <c r="V592" i="1"/>
  <c r="W592" i="1"/>
  <c r="T592" i="1"/>
  <c r="W528" i="1"/>
  <c r="Y528" i="1"/>
  <c r="T528" i="1"/>
  <c r="V528" i="1"/>
  <c r="Z528" i="1"/>
  <c r="U528" i="1"/>
  <c r="T464" i="1"/>
  <c r="U464" i="1"/>
  <c r="V464" i="1"/>
  <c r="W464" i="1"/>
  <c r="Y464" i="1"/>
  <c r="Z464" i="1"/>
  <c r="T400" i="1"/>
  <c r="U400" i="1"/>
  <c r="V400" i="1"/>
  <c r="W400" i="1"/>
  <c r="Y400" i="1"/>
  <c r="Z400" i="1"/>
  <c r="Z655" i="1"/>
  <c r="T655" i="1"/>
  <c r="U655" i="1"/>
  <c r="V655" i="1"/>
  <c r="Y655" i="1"/>
  <c r="W655" i="1"/>
  <c r="Y591" i="1"/>
  <c r="Z591" i="1"/>
  <c r="U591" i="1"/>
  <c r="V591" i="1"/>
  <c r="T591" i="1"/>
  <c r="W591" i="1"/>
  <c r="W527" i="1"/>
  <c r="Y527" i="1"/>
  <c r="T527" i="1"/>
  <c r="U527" i="1"/>
  <c r="V527" i="1"/>
  <c r="Z527" i="1"/>
  <c r="T463" i="1"/>
  <c r="U463" i="1"/>
  <c r="V463" i="1"/>
  <c r="W463" i="1"/>
  <c r="Y463" i="1"/>
  <c r="Z463" i="1"/>
  <c r="T399" i="1"/>
  <c r="U399" i="1"/>
  <c r="V399" i="1"/>
  <c r="W399" i="1"/>
  <c r="Y399" i="1"/>
  <c r="Z399" i="1"/>
  <c r="Y662" i="1"/>
  <c r="Z662" i="1"/>
  <c r="U662" i="1"/>
  <c r="T662" i="1"/>
  <c r="V662" i="1"/>
  <c r="W662" i="1"/>
  <c r="Y598" i="1"/>
  <c r="Z598" i="1"/>
  <c r="U598" i="1"/>
  <c r="V598" i="1"/>
  <c r="T598" i="1"/>
  <c r="W598" i="1"/>
  <c r="W534" i="1"/>
  <c r="Y534" i="1"/>
  <c r="T534" i="1"/>
  <c r="U534" i="1"/>
  <c r="V534" i="1"/>
  <c r="Z534" i="1"/>
  <c r="T470" i="1"/>
  <c r="U470" i="1"/>
  <c r="V470" i="1"/>
  <c r="W470" i="1"/>
  <c r="Y470" i="1"/>
  <c r="Z470" i="1"/>
  <c r="T406" i="1"/>
  <c r="U406" i="1"/>
  <c r="V406" i="1"/>
  <c r="W406" i="1"/>
  <c r="Y406" i="1"/>
  <c r="Z406" i="1"/>
  <c r="Y605" i="1"/>
  <c r="Z605" i="1"/>
  <c r="U605" i="1"/>
  <c r="V605" i="1"/>
  <c r="T605" i="1"/>
  <c r="W605" i="1"/>
  <c r="W541" i="1"/>
  <c r="Y541" i="1"/>
  <c r="T541" i="1"/>
  <c r="U541" i="1"/>
  <c r="Z541" i="1"/>
  <c r="V541" i="1"/>
  <c r="T477" i="1"/>
  <c r="U477" i="1"/>
  <c r="V477" i="1"/>
  <c r="W477" i="1"/>
  <c r="Y477" i="1"/>
  <c r="Z477" i="1"/>
  <c r="T413" i="1"/>
  <c r="U413" i="1"/>
  <c r="V413" i="1"/>
  <c r="W413" i="1"/>
  <c r="Y413" i="1"/>
  <c r="Z413" i="1"/>
  <c r="Y644" i="1"/>
  <c r="Z644" i="1"/>
  <c r="T644" i="1"/>
  <c r="U644" i="1"/>
  <c r="V644" i="1"/>
  <c r="W644" i="1"/>
  <c r="Y580" i="1"/>
  <c r="Z580" i="1"/>
  <c r="U580" i="1"/>
  <c r="V580" i="1"/>
  <c r="T580" i="1"/>
  <c r="W580" i="1"/>
  <c r="W516" i="1"/>
  <c r="Y516" i="1"/>
  <c r="T516" i="1"/>
  <c r="V516" i="1"/>
  <c r="Z516" i="1"/>
  <c r="U516" i="1"/>
  <c r="T452" i="1"/>
  <c r="U452" i="1"/>
  <c r="V452" i="1"/>
  <c r="W452" i="1"/>
  <c r="Y452" i="1"/>
  <c r="Z452" i="1"/>
  <c r="Z651" i="1"/>
  <c r="U651" i="1"/>
  <c r="T651" i="1"/>
  <c r="V651" i="1"/>
  <c r="Y651" i="1"/>
  <c r="W651" i="1"/>
  <c r="Y587" i="1"/>
  <c r="Z587" i="1"/>
  <c r="U587" i="1"/>
  <c r="V587" i="1"/>
  <c r="T587" i="1"/>
  <c r="W587" i="1"/>
  <c r="W523" i="1"/>
  <c r="Y523" i="1"/>
  <c r="T523" i="1"/>
  <c r="U523" i="1"/>
  <c r="V523" i="1"/>
  <c r="Z523" i="1"/>
  <c r="T459" i="1"/>
  <c r="U459" i="1"/>
  <c r="V459" i="1"/>
  <c r="W459" i="1"/>
  <c r="Y459" i="1"/>
  <c r="Z459" i="1"/>
  <c r="Z658" i="1"/>
  <c r="T658" i="1"/>
  <c r="U658" i="1"/>
  <c r="Y658" i="1"/>
  <c r="V658" i="1"/>
  <c r="W658" i="1"/>
  <c r="Y594" i="1"/>
  <c r="Z594" i="1"/>
  <c r="U594" i="1"/>
  <c r="V594" i="1"/>
  <c r="T594" i="1"/>
  <c r="W594" i="1"/>
  <c r="W530" i="1"/>
  <c r="Y530" i="1"/>
  <c r="T530" i="1"/>
  <c r="U530" i="1"/>
  <c r="V530" i="1"/>
  <c r="Z530" i="1"/>
  <c r="T466" i="1"/>
  <c r="U466" i="1"/>
  <c r="V466" i="1"/>
  <c r="W466" i="1"/>
  <c r="Y466" i="1"/>
  <c r="Z466" i="1"/>
  <c r="T402" i="1"/>
  <c r="U402" i="1"/>
  <c r="V402" i="1"/>
  <c r="W402" i="1"/>
  <c r="Y402" i="1"/>
  <c r="Z402" i="1"/>
  <c r="F38" i="1"/>
  <c r="H38" i="1" s="1"/>
  <c r="AC589" i="1"/>
  <c r="AD589" i="1"/>
  <c r="AE589" i="1"/>
  <c r="AC625" i="1"/>
  <c r="AD625" i="1"/>
  <c r="AE625" i="1"/>
  <c r="AC453" i="1"/>
  <c r="AD453" i="1"/>
  <c r="AE453" i="1"/>
  <c r="AC417" i="1"/>
  <c r="AD417" i="1"/>
  <c r="AE417" i="1"/>
  <c r="AC441" i="1"/>
  <c r="AD441" i="1"/>
  <c r="AE441" i="1"/>
  <c r="AC632" i="1"/>
  <c r="AD632" i="1"/>
  <c r="AE632" i="1"/>
  <c r="AC568" i="1"/>
  <c r="AD568" i="1"/>
  <c r="AE568" i="1"/>
  <c r="AC504" i="1"/>
  <c r="AD504" i="1"/>
  <c r="AE504" i="1"/>
  <c r="AC440" i="1"/>
  <c r="AD440" i="1"/>
  <c r="AE440" i="1"/>
  <c r="AC639" i="1"/>
  <c r="AD639" i="1"/>
  <c r="AE639" i="1"/>
  <c r="AC575" i="1"/>
  <c r="AD575" i="1"/>
  <c r="AE575" i="1"/>
  <c r="AC511" i="1"/>
  <c r="AD511" i="1"/>
  <c r="AE511" i="1"/>
  <c r="AC447" i="1"/>
  <c r="AD447" i="1"/>
  <c r="AE447" i="1"/>
  <c r="AC654" i="1"/>
  <c r="AD654" i="1"/>
  <c r="AE654" i="1"/>
  <c r="AC590" i="1"/>
  <c r="AD590" i="1"/>
  <c r="AE590" i="1"/>
  <c r="AC526" i="1"/>
  <c r="AD526" i="1"/>
  <c r="AE526" i="1"/>
  <c r="AC462" i="1"/>
  <c r="AD462" i="1"/>
  <c r="AE462" i="1"/>
  <c r="AC398" i="1"/>
  <c r="AD398" i="1"/>
  <c r="AE398" i="1"/>
  <c r="AC628" i="1"/>
  <c r="AD628" i="1"/>
  <c r="AE628" i="1"/>
  <c r="AC564" i="1"/>
  <c r="AD564" i="1"/>
  <c r="AE564" i="1"/>
  <c r="AC500" i="1"/>
  <c r="AD500" i="1"/>
  <c r="AE500" i="1"/>
  <c r="AC436" i="1"/>
  <c r="AD436" i="1"/>
  <c r="AE436" i="1"/>
  <c r="AC635" i="1"/>
  <c r="AD635" i="1"/>
  <c r="AE635" i="1"/>
  <c r="AC571" i="1"/>
  <c r="AD571" i="1"/>
  <c r="AE571" i="1"/>
  <c r="AC507" i="1"/>
  <c r="AD507" i="1"/>
  <c r="AE507" i="1"/>
  <c r="AC443" i="1"/>
  <c r="AD443" i="1"/>
  <c r="AE443" i="1"/>
  <c r="AC650" i="1"/>
  <c r="AD650" i="1"/>
  <c r="AE650" i="1"/>
  <c r="AC586" i="1"/>
  <c r="AD586" i="1"/>
  <c r="AE586" i="1"/>
  <c r="AC522" i="1"/>
  <c r="AD522" i="1"/>
  <c r="AE522" i="1"/>
  <c r="AC458" i="1"/>
  <c r="AD458" i="1"/>
  <c r="AE458" i="1"/>
  <c r="AC557" i="1"/>
  <c r="AD557" i="1"/>
  <c r="AE557" i="1"/>
  <c r="AC629" i="1"/>
  <c r="AD629" i="1"/>
  <c r="AE629" i="1"/>
  <c r="AC593" i="1"/>
  <c r="AD593" i="1"/>
  <c r="AE593" i="1"/>
  <c r="AC649" i="1"/>
  <c r="AD649" i="1"/>
  <c r="AE649" i="1"/>
  <c r="AC413" i="1"/>
  <c r="AD413" i="1"/>
  <c r="AE413" i="1"/>
  <c r="AC409" i="1"/>
  <c r="AD409" i="1"/>
  <c r="AE409" i="1"/>
  <c r="AC624" i="1"/>
  <c r="AD624" i="1"/>
  <c r="AE624" i="1"/>
  <c r="AC560" i="1"/>
  <c r="AD560" i="1"/>
  <c r="AE560" i="1"/>
  <c r="AC496" i="1"/>
  <c r="AD496" i="1"/>
  <c r="AE496" i="1"/>
  <c r="AC432" i="1"/>
  <c r="AD432" i="1"/>
  <c r="AE432" i="1"/>
  <c r="AC631" i="1"/>
  <c r="AD631" i="1"/>
  <c r="AE631" i="1"/>
  <c r="AC567" i="1"/>
  <c r="AD567" i="1"/>
  <c r="AE567" i="1"/>
  <c r="AC503" i="1"/>
  <c r="AD503" i="1"/>
  <c r="AE503" i="1"/>
  <c r="AC439" i="1"/>
  <c r="AD439" i="1"/>
  <c r="AE439" i="1"/>
  <c r="AC646" i="1"/>
  <c r="AD646" i="1"/>
  <c r="AE646" i="1"/>
  <c r="AC582" i="1"/>
  <c r="AD582" i="1"/>
  <c r="AE582" i="1"/>
  <c r="AC518" i="1"/>
  <c r="AD518" i="1"/>
  <c r="AE518" i="1"/>
  <c r="AC454" i="1"/>
  <c r="AD454" i="1"/>
  <c r="AE454" i="1"/>
  <c r="AC620" i="1"/>
  <c r="AD620" i="1"/>
  <c r="AE620" i="1"/>
  <c r="AC556" i="1"/>
  <c r="AD556" i="1"/>
  <c r="AE556" i="1"/>
  <c r="AC492" i="1"/>
  <c r="AD492" i="1"/>
  <c r="AE492" i="1"/>
  <c r="AC428" i="1"/>
  <c r="AD428" i="1"/>
  <c r="AE428" i="1"/>
  <c r="AC627" i="1"/>
  <c r="AD627" i="1"/>
  <c r="AE627" i="1"/>
  <c r="AC563" i="1"/>
  <c r="AD563" i="1"/>
  <c r="AE563" i="1"/>
  <c r="AC499" i="1"/>
  <c r="AD499" i="1"/>
  <c r="AE499" i="1"/>
  <c r="AC435" i="1"/>
  <c r="AD435" i="1"/>
  <c r="AE435" i="1"/>
  <c r="AC642" i="1"/>
  <c r="AD642" i="1"/>
  <c r="AE642" i="1"/>
  <c r="AC578" i="1"/>
  <c r="AD578" i="1"/>
  <c r="AE578" i="1"/>
  <c r="AC514" i="1"/>
  <c r="AD514" i="1"/>
  <c r="AE514" i="1"/>
  <c r="AC450" i="1"/>
  <c r="AD450" i="1"/>
  <c r="AE450" i="1"/>
  <c r="B29" i="1"/>
  <c r="H29" i="1" s="1"/>
  <c r="AC525" i="1"/>
  <c r="AD525" i="1"/>
  <c r="AE525" i="1"/>
  <c r="AC501" i="1"/>
  <c r="AD501" i="1"/>
  <c r="AE501" i="1"/>
  <c r="AC529" i="1"/>
  <c r="AD529" i="1"/>
  <c r="AE529" i="1"/>
  <c r="AC617" i="1"/>
  <c r="AD617" i="1"/>
  <c r="AE617" i="1"/>
  <c r="AC645" i="1"/>
  <c r="AD645" i="1"/>
  <c r="AE645" i="1"/>
  <c r="AC637" i="1"/>
  <c r="AD637" i="1"/>
  <c r="AE637" i="1"/>
  <c r="AC633" i="1"/>
  <c r="AD633" i="1"/>
  <c r="AE633" i="1"/>
  <c r="AC616" i="1"/>
  <c r="AD616" i="1"/>
  <c r="AE616" i="1"/>
  <c r="AC552" i="1"/>
  <c r="AD552" i="1"/>
  <c r="AE552" i="1"/>
  <c r="AC488" i="1"/>
  <c r="AD488" i="1"/>
  <c r="AE488" i="1"/>
  <c r="AC424" i="1"/>
  <c r="AD424" i="1"/>
  <c r="AE424" i="1"/>
  <c r="AC623" i="1"/>
  <c r="AD623" i="1"/>
  <c r="AE623" i="1"/>
  <c r="AC559" i="1"/>
  <c r="AD559" i="1"/>
  <c r="AE559" i="1"/>
  <c r="AC495" i="1"/>
  <c r="AD495" i="1"/>
  <c r="AE495" i="1"/>
  <c r="AC431" i="1"/>
  <c r="AD431" i="1"/>
  <c r="AE431" i="1"/>
  <c r="AC638" i="1"/>
  <c r="AD638" i="1"/>
  <c r="AE638" i="1"/>
  <c r="AC574" i="1"/>
  <c r="AD574" i="1"/>
  <c r="AE574" i="1"/>
  <c r="AC510" i="1"/>
  <c r="AD510" i="1"/>
  <c r="AE510" i="1"/>
  <c r="AC446" i="1"/>
  <c r="AD446" i="1"/>
  <c r="AE446" i="1"/>
  <c r="AC612" i="1"/>
  <c r="AD612" i="1"/>
  <c r="AE612" i="1"/>
  <c r="AC548" i="1"/>
  <c r="AD548" i="1"/>
  <c r="AE548" i="1"/>
  <c r="AC484" i="1"/>
  <c r="AD484" i="1"/>
  <c r="AE484" i="1"/>
  <c r="AC420" i="1"/>
  <c r="AD420" i="1"/>
  <c r="AE420" i="1"/>
  <c r="AC619" i="1"/>
  <c r="AD619" i="1"/>
  <c r="AE619" i="1"/>
  <c r="AC555" i="1"/>
  <c r="AD555" i="1"/>
  <c r="AE555" i="1"/>
  <c r="AC491" i="1"/>
  <c r="AD491" i="1"/>
  <c r="AE491" i="1"/>
  <c r="AC427" i="1"/>
  <c r="AD427" i="1"/>
  <c r="AE427" i="1"/>
  <c r="AC634" i="1"/>
  <c r="AD634" i="1"/>
  <c r="AE634" i="1"/>
  <c r="AC570" i="1"/>
  <c r="AD570" i="1"/>
  <c r="AE570" i="1"/>
  <c r="AC506" i="1"/>
  <c r="AD506" i="1"/>
  <c r="AE506" i="1"/>
  <c r="AC442" i="1"/>
  <c r="AD442" i="1"/>
  <c r="AE442" i="1"/>
  <c r="AC597" i="1"/>
  <c r="AD597" i="1"/>
  <c r="AE597" i="1"/>
  <c r="F39" i="1"/>
  <c r="B39" i="1" s="1"/>
  <c r="AC661" i="1"/>
  <c r="AD661" i="1"/>
  <c r="AE661" i="1"/>
  <c r="AC657" i="1"/>
  <c r="AD657" i="1"/>
  <c r="AE657" i="1"/>
  <c r="AC493" i="1"/>
  <c r="AD493" i="1"/>
  <c r="AE493" i="1"/>
  <c r="AC405" i="1"/>
  <c r="AD405" i="1"/>
  <c r="AE405" i="1"/>
  <c r="AC433" i="1"/>
  <c r="AD433" i="1"/>
  <c r="AE433" i="1"/>
  <c r="AC585" i="1"/>
  <c r="AD585" i="1"/>
  <c r="AE585" i="1"/>
  <c r="AC581" i="1"/>
  <c r="AD581" i="1"/>
  <c r="AE581" i="1"/>
  <c r="AC605" i="1"/>
  <c r="AD605" i="1"/>
  <c r="AE605" i="1"/>
  <c r="AC601" i="1"/>
  <c r="AD601" i="1"/>
  <c r="AE601" i="1"/>
  <c r="AC608" i="1"/>
  <c r="AD608" i="1"/>
  <c r="AE608" i="1"/>
  <c r="AC544" i="1"/>
  <c r="AD544" i="1"/>
  <c r="AE544" i="1"/>
  <c r="AC480" i="1"/>
  <c r="AD480" i="1"/>
  <c r="AE480" i="1"/>
  <c r="AC416" i="1"/>
  <c r="AD416" i="1"/>
  <c r="AE416" i="1"/>
  <c r="AC615" i="1"/>
  <c r="AD615" i="1"/>
  <c r="AE615" i="1"/>
  <c r="AC551" i="1"/>
  <c r="AD551" i="1"/>
  <c r="AE551" i="1"/>
  <c r="AC487" i="1"/>
  <c r="AD487" i="1"/>
  <c r="AE487" i="1"/>
  <c r="AC423" i="1"/>
  <c r="AD423" i="1"/>
  <c r="AE423" i="1"/>
  <c r="AC630" i="1"/>
  <c r="AD630" i="1"/>
  <c r="AE630" i="1"/>
  <c r="AC566" i="1"/>
  <c r="AD566" i="1"/>
  <c r="AE566" i="1"/>
  <c r="AC502" i="1"/>
  <c r="AD502" i="1"/>
  <c r="AE502" i="1"/>
  <c r="AC438" i="1"/>
  <c r="AD438" i="1"/>
  <c r="AE438" i="1"/>
  <c r="AC604" i="1"/>
  <c r="AD604" i="1"/>
  <c r="AE604" i="1"/>
  <c r="AC540" i="1"/>
  <c r="AD540" i="1"/>
  <c r="AE540" i="1"/>
  <c r="AC476" i="1"/>
  <c r="AD476" i="1"/>
  <c r="AE476" i="1"/>
  <c r="AC412" i="1"/>
  <c r="AD412" i="1"/>
  <c r="AE412" i="1"/>
  <c r="AC611" i="1"/>
  <c r="AD611" i="1"/>
  <c r="AE611" i="1"/>
  <c r="AC547" i="1"/>
  <c r="AD547" i="1"/>
  <c r="AE547" i="1"/>
  <c r="AC483" i="1"/>
  <c r="AD483" i="1"/>
  <c r="AE483" i="1"/>
  <c r="AC419" i="1"/>
  <c r="AD419" i="1"/>
  <c r="AE419" i="1"/>
  <c r="AC626" i="1"/>
  <c r="AD626" i="1"/>
  <c r="AE626" i="1"/>
  <c r="AC562" i="1"/>
  <c r="AD562" i="1"/>
  <c r="AE562" i="1"/>
  <c r="AC498" i="1"/>
  <c r="AD498" i="1"/>
  <c r="AE498" i="1"/>
  <c r="AC434" i="1"/>
  <c r="AD434" i="1"/>
  <c r="AE434" i="1"/>
  <c r="AC425" i="1"/>
  <c r="AD425" i="1"/>
  <c r="AE425" i="1"/>
  <c r="F33" i="1"/>
  <c r="B33" i="1" s="1"/>
  <c r="AC533" i="1"/>
  <c r="AD533" i="1"/>
  <c r="AE533" i="1"/>
  <c r="AC561" i="1"/>
  <c r="AD561" i="1"/>
  <c r="AE561" i="1"/>
  <c r="AC461" i="1"/>
  <c r="AD461" i="1"/>
  <c r="AE461" i="1"/>
  <c r="AC553" i="1"/>
  <c r="AD553" i="1"/>
  <c r="AE553" i="1"/>
  <c r="AC437" i="1"/>
  <c r="AD437" i="1"/>
  <c r="AE437" i="1"/>
  <c r="AC517" i="1"/>
  <c r="AD517" i="1"/>
  <c r="AE517" i="1"/>
  <c r="AC573" i="1"/>
  <c r="AD573" i="1"/>
  <c r="AE573" i="1"/>
  <c r="AC569" i="1"/>
  <c r="AD569" i="1"/>
  <c r="AE569" i="1"/>
  <c r="AC600" i="1"/>
  <c r="AD600" i="1"/>
  <c r="AE600" i="1"/>
  <c r="AC536" i="1"/>
  <c r="AD536" i="1"/>
  <c r="AE536" i="1"/>
  <c r="AC472" i="1"/>
  <c r="AD472" i="1"/>
  <c r="AE472" i="1"/>
  <c r="AC408" i="1"/>
  <c r="AD408" i="1"/>
  <c r="AE408" i="1"/>
  <c r="AC607" i="1"/>
  <c r="AD607" i="1"/>
  <c r="AE607" i="1"/>
  <c r="AC543" i="1"/>
  <c r="AD543" i="1"/>
  <c r="AE543" i="1"/>
  <c r="AC479" i="1"/>
  <c r="AD479" i="1"/>
  <c r="AE479" i="1"/>
  <c r="AC415" i="1"/>
  <c r="AD415" i="1"/>
  <c r="AE415" i="1"/>
  <c r="AC622" i="1"/>
  <c r="AD622" i="1"/>
  <c r="AE622" i="1"/>
  <c r="AC558" i="1"/>
  <c r="AD558" i="1"/>
  <c r="AE558" i="1"/>
  <c r="AC494" i="1"/>
  <c r="AD494" i="1"/>
  <c r="AE494" i="1"/>
  <c r="AC430" i="1"/>
  <c r="AD430" i="1"/>
  <c r="AE430" i="1"/>
  <c r="AC660" i="1"/>
  <c r="AD660" i="1"/>
  <c r="AE660" i="1"/>
  <c r="AC596" i="1"/>
  <c r="AD596" i="1"/>
  <c r="AE596" i="1"/>
  <c r="AC532" i="1"/>
  <c r="AD532" i="1"/>
  <c r="AE532" i="1"/>
  <c r="AC468" i="1"/>
  <c r="AD468" i="1"/>
  <c r="AE468" i="1"/>
  <c r="AC404" i="1"/>
  <c r="AD404" i="1"/>
  <c r="AE404" i="1"/>
  <c r="AC603" i="1"/>
  <c r="AD603" i="1"/>
  <c r="AE603" i="1"/>
  <c r="AC539" i="1"/>
  <c r="AD539" i="1"/>
  <c r="AE539" i="1"/>
  <c r="AC475" i="1"/>
  <c r="AD475" i="1"/>
  <c r="AE475" i="1"/>
  <c r="AC411" i="1"/>
  <c r="AD411" i="1"/>
  <c r="AE411" i="1"/>
  <c r="AC618" i="1"/>
  <c r="AD618" i="1"/>
  <c r="AE618" i="1"/>
  <c r="AC554" i="1"/>
  <c r="AD554" i="1"/>
  <c r="AE554" i="1"/>
  <c r="AC490" i="1"/>
  <c r="AD490" i="1"/>
  <c r="AE490" i="1"/>
  <c r="AC426" i="1"/>
  <c r="AD426" i="1"/>
  <c r="AE426" i="1"/>
  <c r="AC445" i="1"/>
  <c r="AD445" i="1"/>
  <c r="AE445" i="1"/>
  <c r="F30" i="1"/>
  <c r="G30" i="1" s="1"/>
  <c r="AC469" i="1"/>
  <c r="AD469" i="1"/>
  <c r="AE469" i="1"/>
  <c r="AC497" i="1"/>
  <c r="AD497" i="1"/>
  <c r="AE497" i="1"/>
  <c r="AC429" i="1"/>
  <c r="AD429" i="1"/>
  <c r="AE429" i="1"/>
  <c r="AC521" i="1"/>
  <c r="AD521" i="1"/>
  <c r="AE521" i="1"/>
  <c r="AC613" i="1"/>
  <c r="AD613" i="1"/>
  <c r="AE613" i="1"/>
  <c r="AC485" i="1"/>
  <c r="AD485" i="1"/>
  <c r="AE485" i="1"/>
  <c r="AC641" i="1"/>
  <c r="AD641" i="1"/>
  <c r="AE641" i="1"/>
  <c r="AC541" i="1"/>
  <c r="AD541" i="1"/>
  <c r="AE541" i="1"/>
  <c r="AC565" i="1"/>
  <c r="AD565" i="1"/>
  <c r="AE565" i="1"/>
  <c r="AC537" i="1"/>
  <c r="AD537" i="1"/>
  <c r="AE537" i="1"/>
  <c r="AC656" i="1"/>
  <c r="AD656" i="1"/>
  <c r="AE656" i="1"/>
  <c r="AC592" i="1"/>
  <c r="AD592" i="1"/>
  <c r="AE592" i="1"/>
  <c r="AC528" i="1"/>
  <c r="AD528" i="1"/>
  <c r="AE528" i="1"/>
  <c r="AC464" i="1"/>
  <c r="AD464" i="1"/>
  <c r="AE464" i="1"/>
  <c r="AC400" i="1"/>
  <c r="AD400" i="1"/>
  <c r="AE400" i="1"/>
  <c r="AC599" i="1"/>
  <c r="AD599" i="1"/>
  <c r="AE599" i="1"/>
  <c r="AC535" i="1"/>
  <c r="AD535" i="1"/>
  <c r="AE535" i="1"/>
  <c r="AC471" i="1"/>
  <c r="AD471" i="1"/>
  <c r="AE471" i="1"/>
  <c r="AC407" i="1"/>
  <c r="AD407" i="1"/>
  <c r="AE407" i="1"/>
  <c r="AC614" i="1"/>
  <c r="AD614" i="1"/>
  <c r="AE614" i="1"/>
  <c r="AC550" i="1"/>
  <c r="AD550" i="1"/>
  <c r="AE550" i="1"/>
  <c r="AC486" i="1"/>
  <c r="AD486" i="1"/>
  <c r="AE486" i="1"/>
  <c r="AC422" i="1"/>
  <c r="AD422" i="1"/>
  <c r="AE422" i="1"/>
  <c r="AC652" i="1"/>
  <c r="AD652" i="1"/>
  <c r="AE652" i="1"/>
  <c r="AC588" i="1"/>
  <c r="AD588" i="1"/>
  <c r="AE588" i="1"/>
  <c r="AC524" i="1"/>
  <c r="AD524" i="1"/>
  <c r="AE524" i="1"/>
  <c r="AC460" i="1"/>
  <c r="AD460" i="1"/>
  <c r="AE460" i="1"/>
  <c r="AC396" i="1"/>
  <c r="AD396" i="1"/>
  <c r="AE396" i="1"/>
  <c r="AC659" i="1"/>
  <c r="AD659" i="1"/>
  <c r="AE659" i="1"/>
  <c r="AC595" i="1"/>
  <c r="AD595" i="1"/>
  <c r="AE595" i="1"/>
  <c r="AC531" i="1"/>
  <c r="AD531" i="1"/>
  <c r="AE531" i="1"/>
  <c r="AC467" i="1"/>
  <c r="AD467" i="1"/>
  <c r="AE467" i="1"/>
  <c r="AC403" i="1"/>
  <c r="AD403" i="1"/>
  <c r="AE403" i="1"/>
  <c r="AC610" i="1"/>
  <c r="AD610" i="1"/>
  <c r="AE610" i="1"/>
  <c r="AC546" i="1"/>
  <c r="AD546" i="1"/>
  <c r="AE546" i="1"/>
  <c r="AC482" i="1"/>
  <c r="AD482" i="1"/>
  <c r="AE482" i="1"/>
  <c r="AC418" i="1"/>
  <c r="AD418" i="1"/>
  <c r="AE418" i="1"/>
  <c r="AC465" i="1"/>
  <c r="AD465" i="1"/>
  <c r="AE465" i="1"/>
  <c r="AC653" i="1"/>
  <c r="AD653" i="1"/>
  <c r="AE653" i="1"/>
  <c r="AC397" i="1"/>
  <c r="AD397" i="1"/>
  <c r="AE397" i="1"/>
  <c r="AC489" i="1"/>
  <c r="AD489" i="1"/>
  <c r="AE489" i="1"/>
  <c r="AC577" i="1"/>
  <c r="AD577" i="1"/>
  <c r="AE577" i="1"/>
  <c r="AC421" i="1"/>
  <c r="AD421" i="1"/>
  <c r="AE421" i="1"/>
  <c r="AC545" i="1"/>
  <c r="AD545" i="1"/>
  <c r="AE545" i="1"/>
  <c r="AC509" i="1"/>
  <c r="AD509" i="1"/>
  <c r="AE509" i="1"/>
  <c r="AC609" i="1"/>
  <c r="AD609" i="1"/>
  <c r="AE609" i="1"/>
  <c r="AC505" i="1"/>
  <c r="AD505" i="1"/>
  <c r="AE505" i="1"/>
  <c r="AC648" i="1"/>
  <c r="AD648" i="1"/>
  <c r="AE648" i="1"/>
  <c r="AC584" i="1"/>
  <c r="AD584" i="1"/>
  <c r="AE584" i="1"/>
  <c r="AC520" i="1"/>
  <c r="AD520" i="1"/>
  <c r="AE520" i="1"/>
  <c r="AC456" i="1"/>
  <c r="AD456" i="1"/>
  <c r="AE456" i="1"/>
  <c r="AC655" i="1"/>
  <c r="AD655" i="1"/>
  <c r="AE655" i="1"/>
  <c r="AC591" i="1"/>
  <c r="AD591" i="1"/>
  <c r="AE591" i="1"/>
  <c r="AC527" i="1"/>
  <c r="AD527" i="1"/>
  <c r="AE527" i="1"/>
  <c r="AC463" i="1"/>
  <c r="AD463" i="1"/>
  <c r="AE463" i="1"/>
  <c r="AC399" i="1"/>
  <c r="AD399" i="1"/>
  <c r="AE399" i="1"/>
  <c r="AC606" i="1"/>
  <c r="AD606" i="1"/>
  <c r="AE606" i="1"/>
  <c r="AC542" i="1"/>
  <c r="AD542" i="1"/>
  <c r="AE542" i="1"/>
  <c r="AC478" i="1"/>
  <c r="AD478" i="1"/>
  <c r="AE478" i="1"/>
  <c r="AC414" i="1"/>
  <c r="AD414" i="1"/>
  <c r="AE414" i="1"/>
  <c r="AC644" i="1"/>
  <c r="AD644" i="1"/>
  <c r="AE644" i="1"/>
  <c r="AC580" i="1"/>
  <c r="AD580" i="1"/>
  <c r="AE580" i="1"/>
  <c r="AC516" i="1"/>
  <c r="AD516" i="1"/>
  <c r="AE516" i="1"/>
  <c r="AC452" i="1"/>
  <c r="AD452" i="1"/>
  <c r="AE452" i="1"/>
  <c r="AC651" i="1"/>
  <c r="AD651" i="1"/>
  <c r="AE651" i="1"/>
  <c r="AC587" i="1"/>
  <c r="AD587" i="1"/>
  <c r="AE587" i="1"/>
  <c r="AC523" i="1"/>
  <c r="AD523" i="1"/>
  <c r="AE523" i="1"/>
  <c r="AC459" i="1"/>
  <c r="AD459" i="1"/>
  <c r="AE459" i="1"/>
  <c r="AC602" i="1"/>
  <c r="AD602" i="1"/>
  <c r="AE602" i="1"/>
  <c r="AC538" i="1"/>
  <c r="AD538" i="1"/>
  <c r="AE538" i="1"/>
  <c r="AC474" i="1"/>
  <c r="AD474" i="1"/>
  <c r="AE474" i="1"/>
  <c r="AC410" i="1"/>
  <c r="AD410" i="1"/>
  <c r="AE410" i="1"/>
  <c r="AC401" i="1"/>
  <c r="AD401" i="1"/>
  <c r="AE401" i="1"/>
  <c r="AC621" i="1"/>
  <c r="AD621" i="1"/>
  <c r="AE621" i="1"/>
  <c r="AC457" i="1"/>
  <c r="AD457" i="1"/>
  <c r="AE457" i="1"/>
  <c r="AC449" i="1"/>
  <c r="AD449" i="1"/>
  <c r="AE449" i="1"/>
  <c r="AC481" i="1"/>
  <c r="AD481" i="1"/>
  <c r="AE481" i="1"/>
  <c r="AC477" i="1"/>
  <c r="AD477" i="1"/>
  <c r="AE477" i="1"/>
  <c r="AC549" i="1"/>
  <c r="AD549" i="1"/>
  <c r="AE549" i="1"/>
  <c r="AC513" i="1"/>
  <c r="AD513" i="1"/>
  <c r="AE513" i="1"/>
  <c r="AC473" i="1"/>
  <c r="AD473" i="1"/>
  <c r="AE473" i="1"/>
  <c r="AC640" i="1"/>
  <c r="AD640" i="1"/>
  <c r="AE640" i="1"/>
  <c r="AC576" i="1"/>
  <c r="AD576" i="1"/>
  <c r="AE576" i="1"/>
  <c r="AC512" i="1"/>
  <c r="AD512" i="1"/>
  <c r="AE512" i="1"/>
  <c r="AC448" i="1"/>
  <c r="AD448" i="1"/>
  <c r="AE448" i="1"/>
  <c r="AC647" i="1"/>
  <c r="AD647" i="1"/>
  <c r="AE647" i="1"/>
  <c r="AC583" i="1"/>
  <c r="AD583" i="1"/>
  <c r="AE583" i="1"/>
  <c r="AC519" i="1"/>
  <c r="AD519" i="1"/>
  <c r="AE519" i="1"/>
  <c r="AC455" i="1"/>
  <c r="AD455" i="1"/>
  <c r="AE455" i="1"/>
  <c r="AC662" i="1"/>
  <c r="AD662" i="1"/>
  <c r="AE662" i="1"/>
  <c r="AC598" i="1"/>
  <c r="AD598" i="1"/>
  <c r="AE598" i="1"/>
  <c r="AC534" i="1"/>
  <c r="AD534" i="1"/>
  <c r="AE534" i="1"/>
  <c r="AC470" i="1"/>
  <c r="AD470" i="1"/>
  <c r="AE470" i="1"/>
  <c r="AC406" i="1"/>
  <c r="AD406" i="1"/>
  <c r="AE406" i="1"/>
  <c r="AC636" i="1"/>
  <c r="AD636" i="1"/>
  <c r="AE636" i="1"/>
  <c r="AC572" i="1"/>
  <c r="AD572" i="1"/>
  <c r="AE572" i="1"/>
  <c r="AC508" i="1"/>
  <c r="AD508" i="1"/>
  <c r="AE508" i="1"/>
  <c r="AC444" i="1"/>
  <c r="AD444" i="1"/>
  <c r="AE444" i="1"/>
  <c r="AC643" i="1"/>
  <c r="AD643" i="1"/>
  <c r="AE643" i="1"/>
  <c r="AC579" i="1"/>
  <c r="AD579" i="1"/>
  <c r="AE579" i="1"/>
  <c r="AC515" i="1"/>
  <c r="AD515" i="1"/>
  <c r="AE515" i="1"/>
  <c r="AC451" i="1"/>
  <c r="AD451" i="1"/>
  <c r="AE451" i="1"/>
  <c r="AC658" i="1"/>
  <c r="AD658" i="1"/>
  <c r="AE658" i="1"/>
  <c r="AC594" i="1"/>
  <c r="AD594" i="1"/>
  <c r="AE594" i="1"/>
  <c r="AC530" i="1"/>
  <c r="AD530" i="1"/>
  <c r="AE530" i="1"/>
  <c r="AC466" i="1"/>
  <c r="AD466" i="1"/>
  <c r="AE466" i="1"/>
  <c r="AC402" i="1"/>
  <c r="AD402" i="1"/>
  <c r="AE402" i="1"/>
  <c r="F31" i="1"/>
  <c r="H31" i="1" s="1"/>
  <c r="F40" i="1"/>
  <c r="G40" i="1" s="1"/>
  <c r="B37" i="1"/>
  <c r="F34" i="1"/>
  <c r="B35" i="1"/>
  <c r="G35" i="1"/>
  <c r="H37" i="1"/>
  <c r="AC312" i="1"/>
  <c r="AD312" i="1"/>
  <c r="AE312" i="1"/>
  <c r="AD304" i="1"/>
  <c r="AE304" i="1"/>
  <c r="AC304" i="1"/>
  <c r="AC331" i="1"/>
  <c r="AE331" i="1"/>
  <c r="AD331" i="1"/>
  <c r="AC288" i="1"/>
  <c r="AD288" i="1"/>
  <c r="AE288" i="1"/>
  <c r="AC222" i="1"/>
  <c r="AD222" i="1"/>
  <c r="AE222" i="1"/>
  <c r="AC314" i="1"/>
  <c r="AD314" i="1"/>
  <c r="AE314" i="1"/>
  <c r="AE299" i="1"/>
  <c r="AD299" i="1"/>
  <c r="AC299" i="1"/>
  <c r="AC389" i="1"/>
  <c r="AD389" i="1"/>
  <c r="AE389" i="1"/>
  <c r="AC325" i="1"/>
  <c r="AD325" i="1"/>
  <c r="AE325" i="1"/>
  <c r="AC212" i="1"/>
  <c r="AD212" i="1"/>
  <c r="AE212" i="1"/>
  <c r="AD263" i="1"/>
  <c r="AC263" i="1"/>
  <c r="AE263" i="1"/>
  <c r="AD290" i="1"/>
  <c r="AE290" i="1"/>
  <c r="AC290" i="1"/>
  <c r="AD165" i="1"/>
  <c r="AC165" i="1"/>
  <c r="AE165" i="1"/>
  <c r="AC255" i="1"/>
  <c r="AD255" i="1"/>
  <c r="AE255" i="1"/>
  <c r="AC282" i="1"/>
  <c r="AE282" i="1"/>
  <c r="AD282" i="1"/>
  <c r="AD133" i="1"/>
  <c r="AE133" i="1"/>
  <c r="AC133" i="1"/>
  <c r="AC104" i="1"/>
  <c r="AD104" i="1"/>
  <c r="AE104" i="1"/>
  <c r="AC110" i="1"/>
  <c r="AD110" i="1"/>
  <c r="AE110" i="1"/>
  <c r="AE274" i="1"/>
  <c r="AC274" i="1"/>
  <c r="AD274" i="1"/>
  <c r="AC205" i="1"/>
  <c r="AD205" i="1"/>
  <c r="AE205" i="1"/>
  <c r="AE101" i="1"/>
  <c r="AC101" i="1"/>
  <c r="AD101" i="1"/>
  <c r="AC96" i="1"/>
  <c r="AD96" i="1"/>
  <c r="AE96" i="1"/>
  <c r="AC239" i="1"/>
  <c r="AD239" i="1"/>
  <c r="AE239" i="1"/>
  <c r="AD102" i="1"/>
  <c r="AE102" i="1"/>
  <c r="AC102" i="1"/>
  <c r="AC266" i="1"/>
  <c r="AD266" i="1"/>
  <c r="AE266" i="1"/>
  <c r="AC132" i="1"/>
  <c r="AD132" i="1"/>
  <c r="AE132" i="1"/>
  <c r="AC357" i="1"/>
  <c r="AD357" i="1"/>
  <c r="AE357" i="1"/>
  <c r="AD24" i="1"/>
  <c r="AC24" i="1"/>
  <c r="AE24" i="1"/>
  <c r="AC167" i="1"/>
  <c r="AD167" i="1"/>
  <c r="AE167" i="1"/>
  <c r="AC30" i="1"/>
  <c r="AE30" i="1"/>
  <c r="AD30" i="1"/>
  <c r="AC194" i="1"/>
  <c r="AD194" i="1"/>
  <c r="AE194" i="1"/>
  <c r="AC387" i="1"/>
  <c r="AD387" i="1"/>
  <c r="AE387" i="1"/>
  <c r="AC277" i="1"/>
  <c r="AD277" i="1"/>
  <c r="AE277" i="1"/>
  <c r="AE233" i="1"/>
  <c r="AC233" i="1"/>
  <c r="AD233" i="1"/>
  <c r="AE95" i="1"/>
  <c r="AC95" i="1"/>
  <c r="AD95" i="1"/>
  <c r="AD251" i="1"/>
  <c r="AE251" i="1"/>
  <c r="AC251" i="1"/>
  <c r="AE122" i="1"/>
  <c r="AC122" i="1"/>
  <c r="AD122" i="1"/>
  <c r="AD333" i="1"/>
  <c r="AE333" i="1"/>
  <c r="AC333" i="1"/>
  <c r="AE392" i="1"/>
  <c r="AC392" i="1"/>
  <c r="AD392" i="1"/>
  <c r="AE161" i="1"/>
  <c r="AC161" i="1"/>
  <c r="AD161" i="1"/>
  <c r="AE23" i="1"/>
  <c r="AC23" i="1"/>
  <c r="AD23" i="1"/>
  <c r="AE179" i="1"/>
  <c r="AC179" i="1"/>
  <c r="AD179" i="1"/>
  <c r="AD50" i="1"/>
  <c r="AC50" i="1"/>
  <c r="AE50" i="1"/>
  <c r="AD76" i="1"/>
  <c r="AC76" i="1"/>
  <c r="AE76" i="1"/>
  <c r="AD320" i="1"/>
  <c r="AE320" i="1"/>
  <c r="AC320" i="1"/>
  <c r="AE89" i="1"/>
  <c r="AD89" i="1"/>
  <c r="AC89" i="1"/>
  <c r="AC326" i="1"/>
  <c r="AD326" i="1"/>
  <c r="AE326" i="1"/>
  <c r="AD107" i="1"/>
  <c r="AE107" i="1"/>
  <c r="AC107" i="1"/>
  <c r="Z339" i="1"/>
  <c r="W339" i="1"/>
  <c r="V339" i="1"/>
  <c r="U339" i="1"/>
  <c r="Y339" i="1"/>
  <c r="T339" i="1"/>
  <c r="Z240" i="1"/>
  <c r="U240" i="1"/>
  <c r="W240" i="1"/>
  <c r="T240" i="1"/>
  <c r="Y240" i="1"/>
  <c r="V240" i="1"/>
  <c r="Z184" i="1"/>
  <c r="U184" i="1"/>
  <c r="Y184" i="1"/>
  <c r="W184" i="1"/>
  <c r="V184" i="1"/>
  <c r="T184" i="1"/>
  <c r="Z369" i="1"/>
  <c r="V369" i="1"/>
  <c r="T369" i="1"/>
  <c r="Y369" i="1"/>
  <c r="U369" i="1"/>
  <c r="W369" i="1"/>
  <c r="Z283" i="1"/>
  <c r="W283" i="1"/>
  <c r="V283" i="1"/>
  <c r="T283" i="1"/>
  <c r="Y283" i="1"/>
  <c r="U283" i="1"/>
  <c r="Z202" i="1"/>
  <c r="W202" i="1"/>
  <c r="U202" i="1"/>
  <c r="V202" i="1"/>
  <c r="T202" i="1"/>
  <c r="Y202" i="1"/>
  <c r="Z180" i="1"/>
  <c r="W180" i="1"/>
  <c r="T180" i="1"/>
  <c r="Y180" i="1"/>
  <c r="U180" i="1"/>
  <c r="V180" i="1"/>
  <c r="Z282" i="1"/>
  <c r="W282" i="1"/>
  <c r="U282" i="1"/>
  <c r="Y282" i="1"/>
  <c r="T282" i="1"/>
  <c r="V282" i="1"/>
  <c r="Z50" i="1"/>
  <c r="T50" i="1"/>
  <c r="Y50" i="1"/>
  <c r="U50" i="1"/>
  <c r="W50" i="1"/>
  <c r="V50" i="1"/>
  <c r="Z160" i="1"/>
  <c r="U160" i="1"/>
  <c r="W160" i="1"/>
  <c r="T160" i="1"/>
  <c r="V160" i="1"/>
  <c r="Y160" i="1"/>
  <c r="Z24" i="1"/>
  <c r="W24" i="1"/>
  <c r="T24" i="1"/>
  <c r="V24" i="1"/>
  <c r="U24" i="1"/>
  <c r="Y24" i="1"/>
  <c r="Z52" i="1"/>
  <c r="U52" i="1"/>
  <c r="W52" i="1"/>
  <c r="T52" i="1"/>
  <c r="V52" i="1"/>
  <c r="Y52" i="1"/>
  <c r="Z393" i="1"/>
  <c r="V393" i="1"/>
  <c r="U393" i="1"/>
  <c r="Y393" i="1"/>
  <c r="W393" i="1"/>
  <c r="T393" i="1"/>
  <c r="Z342" i="1"/>
  <c r="V342" i="1"/>
  <c r="T342" i="1"/>
  <c r="Y342" i="1"/>
  <c r="W342" i="1"/>
  <c r="U342" i="1"/>
  <c r="Z99" i="1"/>
  <c r="W99" i="1"/>
  <c r="T99" i="1"/>
  <c r="Y99" i="1"/>
  <c r="V99" i="1"/>
  <c r="U99" i="1"/>
  <c r="Z373" i="1"/>
  <c r="W373" i="1"/>
  <c r="U373" i="1"/>
  <c r="Y373" i="1"/>
  <c r="T373" i="1"/>
  <c r="V373" i="1"/>
  <c r="Z148" i="1"/>
  <c r="V148" i="1"/>
  <c r="Y148" i="1"/>
  <c r="W148" i="1"/>
  <c r="T148" i="1"/>
  <c r="U148" i="1"/>
  <c r="Z113" i="1"/>
  <c r="U113" i="1"/>
  <c r="W113" i="1"/>
  <c r="T113" i="1"/>
  <c r="V113" i="1"/>
  <c r="Y113" i="1"/>
  <c r="Z231" i="1"/>
  <c r="T231" i="1"/>
  <c r="U231" i="1"/>
  <c r="W231" i="1"/>
  <c r="Y231" i="1"/>
  <c r="V231" i="1"/>
  <c r="Z122" i="1"/>
  <c r="W122" i="1"/>
  <c r="U122" i="1"/>
  <c r="V122" i="1"/>
  <c r="T122" i="1"/>
  <c r="Y122" i="1"/>
  <c r="Z390" i="1"/>
  <c r="W390" i="1"/>
  <c r="U390" i="1"/>
  <c r="Y390" i="1"/>
  <c r="T390" i="1"/>
  <c r="V390" i="1"/>
  <c r="Z175" i="1"/>
  <c r="V175" i="1"/>
  <c r="U175" i="1"/>
  <c r="T175" i="1"/>
  <c r="Y175" i="1"/>
  <c r="W175" i="1"/>
  <c r="V81" i="1"/>
  <c r="T81" i="1"/>
  <c r="Y81" i="1"/>
  <c r="U81" i="1"/>
  <c r="W81" i="1"/>
  <c r="Z81" i="1"/>
  <c r="U333" i="1"/>
  <c r="T333" i="1"/>
  <c r="Y333" i="1"/>
  <c r="V333" i="1"/>
  <c r="W333" i="1"/>
  <c r="Z333" i="1"/>
  <c r="Z371" i="1"/>
  <c r="W371" i="1"/>
  <c r="V371" i="1"/>
  <c r="Y371" i="1"/>
  <c r="T371" i="1"/>
  <c r="U371" i="1"/>
  <c r="Z315" i="1"/>
  <c r="W315" i="1"/>
  <c r="T315" i="1"/>
  <c r="Y315" i="1"/>
  <c r="U315" i="1"/>
  <c r="V315" i="1"/>
  <c r="Z277" i="1"/>
  <c r="W277" i="1"/>
  <c r="T277" i="1"/>
  <c r="Y277" i="1"/>
  <c r="U277" i="1"/>
  <c r="V277" i="1"/>
  <c r="Z312" i="1"/>
  <c r="W312" i="1"/>
  <c r="T312" i="1"/>
  <c r="Y312" i="1"/>
  <c r="V312" i="1"/>
  <c r="U312" i="1"/>
  <c r="T139" i="1"/>
  <c r="Y139" i="1"/>
  <c r="V139" i="1"/>
  <c r="Z139" i="1"/>
  <c r="W139" i="1"/>
  <c r="U139" i="1"/>
  <c r="Z39" i="1"/>
  <c r="V39" i="1"/>
  <c r="Y39" i="1"/>
  <c r="W39" i="1"/>
  <c r="T39" i="1"/>
  <c r="U39" i="1"/>
  <c r="Z251" i="1"/>
  <c r="W251" i="1"/>
  <c r="T251" i="1"/>
  <c r="Y251" i="1"/>
  <c r="V251" i="1"/>
  <c r="U251" i="1"/>
  <c r="Z372" i="1"/>
  <c r="U372" i="1"/>
  <c r="W372" i="1"/>
  <c r="V372" i="1"/>
  <c r="T372" i="1"/>
  <c r="Y372" i="1"/>
  <c r="Z248" i="1"/>
  <c r="V248" i="1"/>
  <c r="Y248" i="1"/>
  <c r="W248" i="1"/>
  <c r="U248" i="1"/>
  <c r="T248" i="1"/>
  <c r="Z59" i="1"/>
  <c r="U59" i="1"/>
  <c r="Y59" i="1"/>
  <c r="W59" i="1"/>
  <c r="T59" i="1"/>
  <c r="V59" i="1"/>
  <c r="Z179" i="1"/>
  <c r="W179" i="1"/>
  <c r="U179" i="1"/>
  <c r="Y179" i="1"/>
  <c r="T179" i="1"/>
  <c r="V179" i="1"/>
  <c r="Z375" i="1"/>
  <c r="W375" i="1"/>
  <c r="V375" i="1"/>
  <c r="Y375" i="1"/>
  <c r="T375" i="1"/>
  <c r="U375" i="1"/>
  <c r="Z351" i="1"/>
  <c r="T351" i="1"/>
  <c r="W351" i="1"/>
  <c r="Y351" i="1"/>
  <c r="V351" i="1"/>
  <c r="U351" i="1"/>
  <c r="Z317" i="1"/>
  <c r="Y317" i="1"/>
  <c r="W317" i="1"/>
  <c r="U317" i="1"/>
  <c r="V317" i="1"/>
  <c r="T317" i="1"/>
  <c r="Z362" i="1"/>
  <c r="T362" i="1"/>
  <c r="Y362" i="1"/>
  <c r="W362" i="1"/>
  <c r="U362" i="1"/>
  <c r="V362" i="1"/>
  <c r="Z159" i="1"/>
  <c r="V159" i="1"/>
  <c r="Y159" i="1"/>
  <c r="T159" i="1"/>
  <c r="W159" i="1"/>
  <c r="U159" i="1"/>
  <c r="Z335" i="1"/>
  <c r="U335" i="1"/>
  <c r="T335" i="1"/>
  <c r="Y335" i="1"/>
  <c r="W335" i="1"/>
  <c r="V335" i="1"/>
  <c r="Z137" i="1"/>
  <c r="Y137" i="1"/>
  <c r="W137" i="1"/>
  <c r="T137" i="1"/>
  <c r="V137" i="1"/>
  <c r="U137" i="1"/>
  <c r="Z210" i="1"/>
  <c r="Y210" i="1"/>
  <c r="W210" i="1"/>
  <c r="V210" i="1"/>
  <c r="T210" i="1"/>
  <c r="U210" i="1"/>
  <c r="U149" i="1"/>
  <c r="Y149" i="1"/>
  <c r="W149" i="1"/>
  <c r="V149" i="1"/>
  <c r="Z149" i="1"/>
  <c r="T149" i="1"/>
  <c r="Z263" i="1"/>
  <c r="W263" i="1"/>
  <c r="T263" i="1"/>
  <c r="Y263" i="1"/>
  <c r="V263" i="1"/>
  <c r="U263" i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V18" i="1"/>
  <c r="Y18" i="1"/>
  <c r="W18" i="1"/>
  <c r="U18" i="1"/>
  <c r="Z18" i="1"/>
  <c r="T18" i="1"/>
  <c r="V114" i="1"/>
  <c r="Z114" i="1"/>
  <c r="U114" i="1"/>
  <c r="Y114" i="1"/>
  <c r="W114" i="1"/>
  <c r="T114" i="1"/>
  <c r="G43" i="1"/>
  <c r="B43" i="1"/>
  <c r="H43" i="1"/>
  <c r="AE379" i="1"/>
  <c r="AD379" i="1"/>
  <c r="AC379" i="1"/>
  <c r="AC292" i="1"/>
  <c r="AE292" i="1"/>
  <c r="AD292" i="1"/>
  <c r="AC164" i="1"/>
  <c r="AD164" i="1"/>
  <c r="AE164" i="1"/>
  <c r="AD60" i="1"/>
  <c r="AC60" i="1"/>
  <c r="AE60" i="1"/>
  <c r="AE386" i="1"/>
  <c r="AD386" i="1"/>
  <c r="AC386" i="1"/>
  <c r="AD347" i="1"/>
  <c r="AE347" i="1"/>
  <c r="AC347" i="1"/>
  <c r="AC221" i="1"/>
  <c r="AD221" i="1"/>
  <c r="AE221" i="1"/>
  <c r="AC93" i="1"/>
  <c r="AD93" i="1"/>
  <c r="AE93" i="1"/>
  <c r="AC341" i="1"/>
  <c r="AD341" i="1"/>
  <c r="AE341" i="1"/>
  <c r="AE232" i="1"/>
  <c r="AC232" i="1"/>
  <c r="AD232" i="1"/>
  <c r="AE380" i="1"/>
  <c r="AC380" i="1"/>
  <c r="AD380" i="1"/>
  <c r="AC120" i="1"/>
  <c r="AE120" i="1"/>
  <c r="AD120" i="1"/>
  <c r="AC126" i="1"/>
  <c r="AD126" i="1"/>
  <c r="AE126" i="1"/>
  <c r="AE269" i="1"/>
  <c r="AC269" i="1"/>
  <c r="AD269" i="1"/>
  <c r="AD112" i="1"/>
  <c r="AE112" i="1"/>
  <c r="AC112" i="1"/>
  <c r="AC118" i="1"/>
  <c r="AD118" i="1"/>
  <c r="AE118" i="1"/>
  <c r="AE237" i="1"/>
  <c r="AC237" i="1"/>
  <c r="AD237" i="1"/>
  <c r="AD247" i="1"/>
  <c r="AC247" i="1"/>
  <c r="AE247" i="1"/>
  <c r="AE45" i="1"/>
  <c r="AC45" i="1"/>
  <c r="AD45" i="1"/>
  <c r="AD68" i="1"/>
  <c r="AC68" i="1"/>
  <c r="AE68" i="1"/>
  <c r="AC56" i="1"/>
  <c r="AE56" i="1"/>
  <c r="AD56" i="1"/>
  <c r="AE199" i="1"/>
  <c r="AD199" i="1"/>
  <c r="AC199" i="1"/>
  <c r="AE62" i="1"/>
  <c r="AD62" i="1"/>
  <c r="AC62" i="1"/>
  <c r="AE226" i="1"/>
  <c r="AC226" i="1"/>
  <c r="AD226" i="1"/>
  <c r="AC363" i="1"/>
  <c r="AE363" i="1"/>
  <c r="AD363" i="1"/>
  <c r="AD345" i="1"/>
  <c r="AE345" i="1"/>
  <c r="AC345" i="1"/>
  <c r="AD48" i="1"/>
  <c r="AC48" i="1"/>
  <c r="AE48" i="1"/>
  <c r="AC191" i="1"/>
  <c r="AD191" i="1"/>
  <c r="AE191" i="1"/>
  <c r="AC54" i="1"/>
  <c r="AD54" i="1"/>
  <c r="AE54" i="1"/>
  <c r="AC218" i="1"/>
  <c r="AD218" i="1"/>
  <c r="AE218" i="1"/>
  <c r="AE315" i="1"/>
  <c r="AC315" i="1"/>
  <c r="AD315" i="1"/>
  <c r="AE253" i="1"/>
  <c r="AC253" i="1"/>
  <c r="AD253" i="1"/>
  <c r="AC40" i="1"/>
  <c r="AE40" i="1"/>
  <c r="AD40" i="1"/>
  <c r="AE183" i="1"/>
  <c r="AC183" i="1"/>
  <c r="AD183" i="1"/>
  <c r="AD46" i="1"/>
  <c r="AC46" i="1"/>
  <c r="AE46" i="1"/>
  <c r="AC210" i="1"/>
  <c r="AD210" i="1"/>
  <c r="AE210" i="1"/>
  <c r="AE228" i="1"/>
  <c r="AC228" i="1"/>
  <c r="AD228" i="1"/>
  <c r="AE29" i="1"/>
  <c r="AC29" i="1"/>
  <c r="AD29" i="1"/>
  <c r="AD32" i="1"/>
  <c r="AC32" i="1"/>
  <c r="AE32" i="1"/>
  <c r="AE175" i="1"/>
  <c r="AC175" i="1"/>
  <c r="AD175" i="1"/>
  <c r="AD38" i="1"/>
  <c r="AE38" i="1"/>
  <c r="AC38" i="1"/>
  <c r="AD202" i="1"/>
  <c r="AC202" i="1"/>
  <c r="AE202" i="1"/>
  <c r="AE28" i="1"/>
  <c r="AC28" i="1"/>
  <c r="AD28" i="1"/>
  <c r="AC308" i="1"/>
  <c r="AE308" i="1"/>
  <c r="AD308" i="1"/>
  <c r="AC241" i="1"/>
  <c r="AE241" i="1"/>
  <c r="AD241" i="1"/>
  <c r="AD103" i="1"/>
  <c r="AE103" i="1"/>
  <c r="AC103" i="1"/>
  <c r="AD259" i="1"/>
  <c r="AC259" i="1"/>
  <c r="AE259" i="1"/>
  <c r="AC130" i="1"/>
  <c r="AE130" i="1"/>
  <c r="AD130" i="1"/>
  <c r="AE365" i="1"/>
  <c r="AD365" i="1"/>
  <c r="AC365" i="1"/>
  <c r="AE21" i="1"/>
  <c r="AD21" i="1"/>
  <c r="AC21" i="1"/>
  <c r="AE169" i="1"/>
  <c r="AD169" i="1"/>
  <c r="AC169" i="1"/>
  <c r="AE31" i="1"/>
  <c r="AC31" i="1"/>
  <c r="AD31" i="1"/>
  <c r="AD187" i="1"/>
  <c r="AE187" i="1"/>
  <c r="AC187" i="1"/>
  <c r="AD58" i="1"/>
  <c r="AC58" i="1"/>
  <c r="AE58" i="1"/>
  <c r="AE108" i="1"/>
  <c r="AC108" i="1"/>
  <c r="AD108" i="1"/>
  <c r="AE328" i="1"/>
  <c r="AD328" i="1"/>
  <c r="AC328" i="1"/>
  <c r="AE97" i="1"/>
  <c r="AC97" i="1"/>
  <c r="AD97" i="1"/>
  <c r="AC334" i="1"/>
  <c r="AD334" i="1"/>
  <c r="AE334" i="1"/>
  <c r="AE115" i="1"/>
  <c r="AC115" i="1"/>
  <c r="AD115" i="1"/>
  <c r="AE189" i="1"/>
  <c r="AC189" i="1"/>
  <c r="AD189" i="1"/>
  <c r="AE157" i="1"/>
  <c r="AD157" i="1"/>
  <c r="AC157" i="1"/>
  <c r="AC256" i="1"/>
  <c r="AD256" i="1"/>
  <c r="AE256" i="1"/>
  <c r="AE25" i="1"/>
  <c r="AD25" i="1"/>
  <c r="AC25" i="1"/>
  <c r="AD262" i="1"/>
  <c r="AE262" i="1"/>
  <c r="AC262" i="1"/>
  <c r="AE43" i="1"/>
  <c r="AC43" i="1"/>
  <c r="AD43" i="1"/>
  <c r="G32" i="1"/>
  <c r="H32" i="1"/>
  <c r="B32" i="1"/>
  <c r="G36" i="1"/>
  <c r="H36" i="1"/>
  <c r="B36" i="1"/>
  <c r="Z208" i="1"/>
  <c r="V208" i="1"/>
  <c r="W208" i="1"/>
  <c r="Y208" i="1"/>
  <c r="U208" i="1"/>
  <c r="T208" i="1"/>
  <c r="Z84" i="1"/>
  <c r="V84" i="1"/>
  <c r="Y84" i="1"/>
  <c r="T84" i="1"/>
  <c r="U84" i="1"/>
  <c r="W84" i="1"/>
  <c r="Z229" i="1"/>
  <c r="T229" i="1"/>
  <c r="U229" i="1"/>
  <c r="V229" i="1"/>
  <c r="Y229" i="1"/>
  <c r="W229" i="1"/>
  <c r="Z23" i="1"/>
  <c r="T23" i="1"/>
  <c r="W23" i="1"/>
  <c r="V23" i="1"/>
  <c r="U23" i="1"/>
  <c r="Y23" i="1"/>
  <c r="Z205" i="1"/>
  <c r="W205" i="1"/>
  <c r="V205" i="1"/>
  <c r="T205" i="1"/>
  <c r="Y205" i="1"/>
  <c r="U205" i="1"/>
  <c r="U254" i="1"/>
  <c r="V254" i="1"/>
  <c r="W254" i="1"/>
  <c r="T254" i="1"/>
  <c r="Z254" i="1"/>
  <c r="Y254" i="1"/>
  <c r="Z37" i="1"/>
  <c r="V37" i="1"/>
  <c r="Y37" i="1"/>
  <c r="W37" i="1"/>
  <c r="U37" i="1"/>
  <c r="T37" i="1"/>
  <c r="Z21" i="1"/>
  <c r="W21" i="1"/>
  <c r="T21" i="1"/>
  <c r="Y21" i="1"/>
  <c r="V21" i="1"/>
  <c r="U21" i="1"/>
  <c r="Z354" i="1"/>
  <c r="U354" i="1"/>
  <c r="Y354" i="1"/>
  <c r="W354" i="1"/>
  <c r="T354" i="1"/>
  <c r="V354" i="1"/>
  <c r="Z60" i="1"/>
  <c r="T60" i="1"/>
  <c r="U60" i="1"/>
  <c r="W60" i="1"/>
  <c r="Y60" i="1"/>
  <c r="V60" i="1"/>
  <c r="Z242" i="1"/>
  <c r="T242" i="1"/>
  <c r="Y242" i="1"/>
  <c r="V242" i="1"/>
  <c r="W242" i="1"/>
  <c r="U242" i="1"/>
  <c r="Z166" i="1"/>
  <c r="U166" i="1"/>
  <c r="Y166" i="1"/>
  <c r="V166" i="1"/>
  <c r="W166" i="1"/>
  <c r="T166" i="1"/>
  <c r="Z218" i="1"/>
  <c r="T218" i="1"/>
  <c r="U218" i="1"/>
  <c r="Y218" i="1"/>
  <c r="W218" i="1"/>
  <c r="V218" i="1"/>
  <c r="Z387" i="1"/>
  <c r="V387" i="1"/>
  <c r="T387" i="1"/>
  <c r="W387" i="1"/>
  <c r="U387" i="1"/>
  <c r="Y387" i="1"/>
  <c r="Z96" i="1"/>
  <c r="W96" i="1"/>
  <c r="V96" i="1"/>
  <c r="Y96" i="1"/>
  <c r="U96" i="1"/>
  <c r="T96" i="1"/>
  <c r="Z26" i="1"/>
  <c r="U26" i="1"/>
  <c r="W26" i="1"/>
  <c r="V26" i="1"/>
  <c r="Y26" i="1"/>
  <c r="T26" i="1"/>
  <c r="Z142" i="1"/>
  <c r="T142" i="1"/>
  <c r="W142" i="1"/>
  <c r="Y142" i="1"/>
  <c r="V142" i="1"/>
  <c r="U142" i="1"/>
  <c r="Z328" i="1"/>
  <c r="T328" i="1"/>
  <c r="W328" i="1"/>
  <c r="V328" i="1"/>
  <c r="Y328" i="1"/>
  <c r="U328" i="1"/>
  <c r="Z45" i="1"/>
  <c r="V45" i="1"/>
  <c r="W45" i="1"/>
  <c r="Y45" i="1"/>
  <c r="T45" i="1"/>
  <c r="U45" i="1"/>
  <c r="Z300" i="1"/>
  <c r="T300" i="1"/>
  <c r="U300" i="1"/>
  <c r="Y300" i="1"/>
  <c r="W300" i="1"/>
  <c r="V300" i="1"/>
  <c r="Z233" i="1"/>
  <c r="W233" i="1"/>
  <c r="V233" i="1"/>
  <c r="Y233" i="1"/>
  <c r="U233" i="1"/>
  <c r="T233" i="1"/>
  <c r="V219" i="1"/>
  <c r="Z219" i="1"/>
  <c r="U219" i="1"/>
  <c r="T219" i="1"/>
  <c r="Y219" i="1"/>
  <c r="W219" i="1"/>
  <c r="V123" i="1"/>
  <c r="U123" i="1"/>
  <c r="Y123" i="1"/>
  <c r="T123" i="1"/>
  <c r="W123" i="1"/>
  <c r="Z123" i="1"/>
  <c r="W102" i="1"/>
  <c r="V102" i="1"/>
  <c r="U102" i="1"/>
  <c r="Y102" i="1"/>
  <c r="T102" i="1"/>
  <c r="Z102" i="1"/>
  <c r="Z324" i="1"/>
  <c r="T324" i="1"/>
  <c r="Y324" i="1"/>
  <c r="W324" i="1"/>
  <c r="V324" i="1"/>
  <c r="U324" i="1"/>
  <c r="Z246" i="1"/>
  <c r="U246" i="1"/>
  <c r="Y246" i="1"/>
  <c r="W246" i="1"/>
  <c r="V246" i="1"/>
  <c r="T246" i="1"/>
  <c r="Z322" i="1"/>
  <c r="V322" i="1"/>
  <c r="U322" i="1"/>
  <c r="W322" i="1"/>
  <c r="Y322" i="1"/>
  <c r="T322" i="1"/>
  <c r="Z132" i="1"/>
  <c r="W132" i="1"/>
  <c r="V132" i="1"/>
  <c r="Y132" i="1"/>
  <c r="T132" i="1"/>
  <c r="U132" i="1"/>
  <c r="Z54" i="1"/>
  <c r="W54" i="1"/>
  <c r="T54" i="1"/>
  <c r="Y54" i="1"/>
  <c r="V54" i="1"/>
  <c r="U54" i="1"/>
  <c r="Z79" i="1"/>
  <c r="T79" i="1"/>
  <c r="U79" i="1"/>
  <c r="Y79" i="1"/>
  <c r="W79" i="1"/>
  <c r="V79" i="1"/>
  <c r="Z182" i="1"/>
  <c r="T182" i="1"/>
  <c r="Y182" i="1"/>
  <c r="W182" i="1"/>
  <c r="U182" i="1"/>
  <c r="V182" i="1"/>
  <c r="Z35" i="1"/>
  <c r="T35" i="1"/>
  <c r="W35" i="1"/>
  <c r="V35" i="1"/>
  <c r="Y35" i="1"/>
  <c r="U35" i="1"/>
  <c r="Z340" i="1"/>
  <c r="W340" i="1"/>
  <c r="T340" i="1"/>
  <c r="Y340" i="1"/>
  <c r="V340" i="1"/>
  <c r="U340" i="1"/>
  <c r="Z341" i="1"/>
  <c r="W341" i="1"/>
  <c r="U341" i="1"/>
  <c r="Y341" i="1"/>
  <c r="V341" i="1"/>
  <c r="T341" i="1"/>
  <c r="Z51" i="1"/>
  <c r="U51" i="1"/>
  <c r="W51" i="1"/>
  <c r="V51" i="1"/>
  <c r="Y51" i="1"/>
  <c r="T51" i="1"/>
  <c r="Z100" i="1"/>
  <c r="T100" i="1"/>
  <c r="Y100" i="1"/>
  <c r="U100" i="1"/>
  <c r="W100" i="1"/>
  <c r="V100" i="1"/>
  <c r="Z309" i="1"/>
  <c r="W309" i="1"/>
  <c r="U309" i="1"/>
  <c r="Y309" i="1"/>
  <c r="V309" i="1"/>
  <c r="T309" i="1"/>
  <c r="Z169" i="1"/>
  <c r="W169" i="1"/>
  <c r="Y169" i="1"/>
  <c r="U169" i="1"/>
  <c r="V169" i="1"/>
  <c r="T169" i="1"/>
  <c r="Z361" i="1"/>
  <c r="U361" i="1"/>
  <c r="W361" i="1"/>
  <c r="Y361" i="1"/>
  <c r="V361" i="1"/>
  <c r="T361" i="1"/>
  <c r="Z143" i="1"/>
  <c r="U143" i="1"/>
  <c r="W143" i="1"/>
  <c r="Y143" i="1"/>
  <c r="V143" i="1"/>
  <c r="T143" i="1"/>
  <c r="Z156" i="1"/>
  <c r="V156" i="1"/>
  <c r="U156" i="1"/>
  <c r="T156" i="1"/>
  <c r="W156" i="1"/>
  <c r="Y156" i="1"/>
  <c r="Z46" i="1"/>
  <c r="U46" i="1"/>
  <c r="Y46" i="1"/>
  <c r="W46" i="1"/>
  <c r="T46" i="1"/>
  <c r="V46" i="1"/>
  <c r="Z106" i="1"/>
  <c r="V106" i="1"/>
  <c r="Y106" i="1"/>
  <c r="W106" i="1"/>
  <c r="U106" i="1"/>
  <c r="T106" i="1"/>
  <c r="Z258" i="1"/>
  <c r="T258" i="1"/>
  <c r="W258" i="1"/>
  <c r="Y258" i="1"/>
  <c r="V258" i="1"/>
  <c r="U258" i="1"/>
  <c r="Z207" i="1"/>
  <c r="U207" i="1"/>
  <c r="W207" i="1"/>
  <c r="Y207" i="1"/>
  <c r="V207" i="1"/>
  <c r="T207" i="1"/>
  <c r="W299" i="1"/>
  <c r="T299" i="1"/>
  <c r="U299" i="1"/>
  <c r="Z299" i="1"/>
  <c r="Y299" i="1"/>
  <c r="V299" i="1"/>
  <c r="V281" i="1"/>
  <c r="Z281" i="1"/>
  <c r="U281" i="1"/>
  <c r="T281" i="1"/>
  <c r="W281" i="1"/>
  <c r="Y281" i="1"/>
  <c r="AE395" i="1"/>
  <c r="AD395" i="1"/>
  <c r="AC395" i="1"/>
  <c r="AC296" i="1"/>
  <c r="AD296" i="1"/>
  <c r="AE296" i="1"/>
  <c r="AC92" i="1"/>
  <c r="AD92" i="1"/>
  <c r="AE92" i="1"/>
  <c r="AD353" i="1"/>
  <c r="AE353" i="1"/>
  <c r="AC353" i="1"/>
  <c r="AE109" i="1"/>
  <c r="AD109" i="1"/>
  <c r="AC109" i="1"/>
  <c r="AD388" i="1"/>
  <c r="AC388" i="1"/>
  <c r="AE388" i="1"/>
  <c r="AE61" i="1"/>
  <c r="AC61" i="1"/>
  <c r="AD61" i="1"/>
  <c r="AD383" i="1"/>
  <c r="AE383" i="1"/>
  <c r="AC383" i="1"/>
  <c r="AC375" i="1"/>
  <c r="AD375" i="1"/>
  <c r="AE375" i="1"/>
  <c r="AC184" i="1"/>
  <c r="AD184" i="1"/>
  <c r="AE184" i="1"/>
  <c r="AE125" i="1"/>
  <c r="AC125" i="1"/>
  <c r="AD125" i="1"/>
  <c r="AD372" i="1"/>
  <c r="AE372" i="1"/>
  <c r="AC372" i="1"/>
  <c r="AC291" i="1"/>
  <c r="AD291" i="1"/>
  <c r="AE291" i="1"/>
  <c r="AE356" i="1"/>
  <c r="AD356" i="1"/>
  <c r="AC356" i="1"/>
  <c r="AC283" i="1"/>
  <c r="AD283" i="1"/>
  <c r="AE283" i="1"/>
  <c r="AC309" i="1"/>
  <c r="AD309" i="1"/>
  <c r="AE309" i="1"/>
  <c r="AC340" i="1"/>
  <c r="AD340" i="1"/>
  <c r="AE340" i="1"/>
  <c r="AC257" i="1"/>
  <c r="AE257" i="1"/>
  <c r="AD257" i="1"/>
  <c r="AC275" i="1"/>
  <c r="AE275" i="1"/>
  <c r="AD275" i="1"/>
  <c r="AE146" i="1"/>
  <c r="AC146" i="1"/>
  <c r="AD146" i="1"/>
  <c r="AC188" i="1"/>
  <c r="AE188" i="1"/>
  <c r="AD188" i="1"/>
  <c r="AD324" i="1"/>
  <c r="AE324" i="1"/>
  <c r="AC324" i="1"/>
  <c r="AD249" i="1"/>
  <c r="AE249" i="1"/>
  <c r="AC249" i="1"/>
  <c r="AE111" i="1"/>
  <c r="AC111" i="1"/>
  <c r="AD111" i="1"/>
  <c r="AD267" i="1"/>
  <c r="AE267" i="1"/>
  <c r="AC267" i="1"/>
  <c r="AC138" i="1"/>
  <c r="AD138" i="1"/>
  <c r="AE138" i="1"/>
  <c r="AC84" i="1"/>
  <c r="AD84" i="1"/>
  <c r="AE84" i="1"/>
  <c r="AC53" i="1"/>
  <c r="AD53" i="1"/>
  <c r="AE53" i="1"/>
  <c r="AE177" i="1"/>
  <c r="AC177" i="1"/>
  <c r="AD177" i="1"/>
  <c r="AE39" i="1"/>
  <c r="AC39" i="1"/>
  <c r="AD39" i="1"/>
  <c r="AD195" i="1"/>
  <c r="AE195" i="1"/>
  <c r="AC195" i="1"/>
  <c r="AD66" i="1"/>
  <c r="AC66" i="1"/>
  <c r="AE66" i="1"/>
  <c r="AC140" i="1"/>
  <c r="AD140" i="1"/>
  <c r="AE140" i="1"/>
  <c r="AD336" i="1"/>
  <c r="AE336" i="1"/>
  <c r="AC336" i="1"/>
  <c r="AE105" i="1"/>
  <c r="AD105" i="1"/>
  <c r="AC105" i="1"/>
  <c r="AD342" i="1"/>
  <c r="AE342" i="1"/>
  <c r="AC342" i="1"/>
  <c r="AE123" i="1"/>
  <c r="AC123" i="1"/>
  <c r="AD123" i="1"/>
  <c r="AC329" i="1"/>
  <c r="AD329" i="1"/>
  <c r="AE329" i="1"/>
  <c r="AD285" i="1"/>
  <c r="AC285" i="1"/>
  <c r="AE285" i="1"/>
  <c r="AD264" i="1"/>
  <c r="AE264" i="1"/>
  <c r="AC264" i="1"/>
  <c r="AC33" i="1"/>
  <c r="AD33" i="1"/>
  <c r="AE33" i="1"/>
  <c r="AC270" i="1"/>
  <c r="AD270" i="1"/>
  <c r="AE270" i="1"/>
  <c r="AC51" i="1"/>
  <c r="AD51" i="1"/>
  <c r="AE51" i="1"/>
  <c r="AC276" i="1"/>
  <c r="AE276" i="1"/>
  <c r="AD276" i="1"/>
  <c r="AE349" i="1"/>
  <c r="AD349" i="1"/>
  <c r="AC349" i="1"/>
  <c r="AD192" i="1"/>
  <c r="AE192" i="1"/>
  <c r="AC192" i="1"/>
  <c r="AD335" i="1"/>
  <c r="AC335" i="1"/>
  <c r="AE335" i="1"/>
  <c r="AC198" i="1"/>
  <c r="AD198" i="1"/>
  <c r="AE198" i="1"/>
  <c r="AE362" i="1"/>
  <c r="AC362" i="1"/>
  <c r="AD362" i="1"/>
  <c r="H39" i="1"/>
  <c r="G39" i="1"/>
  <c r="Z344" i="1"/>
  <c r="V344" i="1"/>
  <c r="Y344" i="1"/>
  <c r="T344" i="1"/>
  <c r="U344" i="1"/>
  <c r="W344" i="1"/>
  <c r="Z189" i="1"/>
  <c r="W189" i="1"/>
  <c r="T189" i="1"/>
  <c r="Y189" i="1"/>
  <c r="U189" i="1"/>
  <c r="V189" i="1"/>
  <c r="Z256" i="1"/>
  <c r="W256" i="1"/>
  <c r="V256" i="1"/>
  <c r="Y256" i="1"/>
  <c r="T256" i="1"/>
  <c r="U256" i="1"/>
  <c r="Z147" i="1"/>
  <c r="T147" i="1"/>
  <c r="W147" i="1"/>
  <c r="U147" i="1"/>
  <c r="V147" i="1"/>
  <c r="Y147" i="1"/>
  <c r="Z65" i="1"/>
  <c r="V65" i="1"/>
  <c r="W65" i="1"/>
  <c r="T65" i="1"/>
  <c r="U65" i="1"/>
  <c r="Y65" i="1"/>
  <c r="Z289" i="1"/>
  <c r="W289" i="1"/>
  <c r="V289" i="1"/>
  <c r="U289" i="1"/>
  <c r="T289" i="1"/>
  <c r="Y289" i="1"/>
  <c r="Z185" i="1"/>
  <c r="U185" i="1"/>
  <c r="V185" i="1"/>
  <c r="W185" i="1"/>
  <c r="T185" i="1"/>
  <c r="Y185" i="1"/>
  <c r="Z194" i="1"/>
  <c r="U194" i="1"/>
  <c r="W194" i="1"/>
  <c r="T194" i="1"/>
  <c r="Y194" i="1"/>
  <c r="V194" i="1"/>
  <c r="Z302" i="1"/>
  <c r="T302" i="1"/>
  <c r="Y302" i="1"/>
  <c r="W302" i="1"/>
  <c r="U302" i="1"/>
  <c r="V302" i="1"/>
  <c r="Z126" i="1"/>
  <c r="U126" i="1"/>
  <c r="Y126" i="1"/>
  <c r="W126" i="1"/>
  <c r="V126" i="1"/>
  <c r="T126" i="1"/>
  <c r="Z234" i="1"/>
  <c r="W234" i="1"/>
  <c r="V234" i="1"/>
  <c r="T234" i="1"/>
  <c r="Y234" i="1"/>
  <c r="U234" i="1"/>
  <c r="Z188" i="1"/>
  <c r="T188" i="1"/>
  <c r="Y188" i="1"/>
  <c r="V188" i="1"/>
  <c r="U188" i="1"/>
  <c r="W188" i="1"/>
  <c r="Z332" i="1"/>
  <c r="U332" i="1"/>
  <c r="W332" i="1"/>
  <c r="Y332" i="1"/>
  <c r="V332" i="1"/>
  <c r="T332" i="1"/>
  <c r="Z120" i="1"/>
  <c r="U120" i="1"/>
  <c r="V120" i="1"/>
  <c r="W120" i="1"/>
  <c r="T120" i="1"/>
  <c r="Y120" i="1"/>
  <c r="Z374" i="1"/>
  <c r="T374" i="1"/>
  <c r="U374" i="1"/>
  <c r="Y374" i="1"/>
  <c r="V374" i="1"/>
  <c r="W374" i="1"/>
  <c r="Z140" i="1"/>
  <c r="T140" i="1"/>
  <c r="W140" i="1"/>
  <c r="Y140" i="1"/>
  <c r="U140" i="1"/>
  <c r="V140" i="1"/>
  <c r="Z298" i="1"/>
  <c r="W298" i="1"/>
  <c r="T298" i="1"/>
  <c r="Y298" i="1"/>
  <c r="U298" i="1"/>
  <c r="V298" i="1"/>
  <c r="Z199" i="1"/>
  <c r="T199" i="1"/>
  <c r="Y199" i="1"/>
  <c r="W199" i="1"/>
  <c r="U199" i="1"/>
  <c r="V199" i="1"/>
  <c r="Z278" i="1"/>
  <c r="W278" i="1"/>
  <c r="U278" i="1"/>
  <c r="Y278" i="1"/>
  <c r="V278" i="1"/>
  <c r="T278" i="1"/>
  <c r="Z257" i="1"/>
  <c r="V257" i="1"/>
  <c r="U257" i="1"/>
  <c r="Y257" i="1"/>
  <c r="W257" i="1"/>
  <c r="T257" i="1"/>
  <c r="Z245" i="1"/>
  <c r="W245" i="1"/>
  <c r="V245" i="1"/>
  <c r="Y245" i="1"/>
  <c r="T245" i="1"/>
  <c r="U245" i="1"/>
  <c r="Z86" i="1"/>
  <c r="W86" i="1"/>
  <c r="T86" i="1"/>
  <c r="V86" i="1"/>
  <c r="U86" i="1"/>
  <c r="Y86" i="1"/>
  <c r="T62" i="1"/>
  <c r="W62" i="1"/>
  <c r="Z62" i="1"/>
  <c r="U62" i="1"/>
  <c r="V62" i="1"/>
  <c r="Y62" i="1"/>
  <c r="V89" i="1"/>
  <c r="Z89" i="1"/>
  <c r="U89" i="1"/>
  <c r="W89" i="1"/>
  <c r="T89" i="1"/>
  <c r="Y89" i="1"/>
  <c r="Z58" i="1"/>
  <c r="V58" i="1"/>
  <c r="Y58" i="1"/>
  <c r="W58" i="1"/>
  <c r="U58" i="1"/>
  <c r="T58" i="1"/>
  <c r="Z336" i="1"/>
  <c r="T336" i="1"/>
  <c r="Y336" i="1"/>
  <c r="W336" i="1"/>
  <c r="U336" i="1"/>
  <c r="V336" i="1"/>
  <c r="Z111" i="1"/>
  <c r="W111" i="1"/>
  <c r="U111" i="1"/>
  <c r="Y111" i="1"/>
  <c r="T111" i="1"/>
  <c r="V111" i="1"/>
  <c r="Z255" i="1"/>
  <c r="W255" i="1"/>
  <c r="V255" i="1"/>
  <c r="Y255" i="1"/>
  <c r="T255" i="1"/>
  <c r="U255" i="1"/>
  <c r="Z97" i="1"/>
  <c r="W97" i="1"/>
  <c r="T97" i="1"/>
  <c r="Y97" i="1"/>
  <c r="U97" i="1"/>
  <c r="V97" i="1"/>
  <c r="Z187" i="1"/>
  <c r="T187" i="1"/>
  <c r="U187" i="1"/>
  <c r="Y187" i="1"/>
  <c r="V187" i="1"/>
  <c r="W187" i="1"/>
  <c r="Z57" i="1"/>
  <c r="T57" i="1"/>
  <c r="U57" i="1"/>
  <c r="Y57" i="1"/>
  <c r="W57" i="1"/>
  <c r="V57" i="1"/>
  <c r="Z32" i="1"/>
  <c r="W32" i="1"/>
  <c r="U32" i="1"/>
  <c r="Y32" i="1"/>
  <c r="T32" i="1"/>
  <c r="V32" i="1"/>
  <c r="Z165" i="1"/>
  <c r="W165" i="1"/>
  <c r="U165" i="1"/>
  <c r="Y165" i="1"/>
  <c r="T165" i="1"/>
  <c r="V165" i="1"/>
  <c r="Z378" i="1"/>
  <c r="W378" i="1"/>
  <c r="T378" i="1"/>
  <c r="Y378" i="1"/>
  <c r="U378" i="1"/>
  <c r="V378" i="1"/>
  <c r="Z348" i="1"/>
  <c r="V348" i="1"/>
  <c r="Y348" i="1"/>
  <c r="W348" i="1"/>
  <c r="U348" i="1"/>
  <c r="T348" i="1"/>
  <c r="Z287" i="1"/>
  <c r="W287" i="1"/>
  <c r="V287" i="1"/>
  <c r="Y287" i="1"/>
  <c r="U287" i="1"/>
  <c r="T287" i="1"/>
  <c r="Z308" i="1"/>
  <c r="W308" i="1"/>
  <c r="T308" i="1"/>
  <c r="Y308" i="1"/>
  <c r="U308" i="1"/>
  <c r="V308" i="1"/>
  <c r="Z117" i="1"/>
  <c r="W117" i="1"/>
  <c r="T117" i="1"/>
  <c r="Y117" i="1"/>
  <c r="V117" i="1"/>
  <c r="U117" i="1"/>
  <c r="Z183" i="1"/>
  <c r="Y183" i="1"/>
  <c r="V183" i="1"/>
  <c r="W183" i="1"/>
  <c r="T183" i="1"/>
  <c r="U183" i="1"/>
  <c r="Z190" i="1"/>
  <c r="Y190" i="1"/>
  <c r="W190" i="1"/>
  <c r="T190" i="1"/>
  <c r="V190" i="1"/>
  <c r="U190" i="1"/>
  <c r="Z200" i="1"/>
  <c r="Y200" i="1"/>
  <c r="U200" i="1"/>
  <c r="W200" i="1"/>
  <c r="T200" i="1"/>
  <c r="V200" i="1"/>
  <c r="Z146" i="1"/>
  <c r="W146" i="1"/>
  <c r="T146" i="1"/>
  <c r="Y146" i="1"/>
  <c r="U146" i="1"/>
  <c r="V146" i="1"/>
  <c r="Z386" i="1"/>
  <c r="U386" i="1"/>
  <c r="Y386" i="1"/>
  <c r="W386" i="1"/>
  <c r="T386" i="1"/>
  <c r="V386" i="1"/>
  <c r="Z47" i="1"/>
  <c r="W47" i="1"/>
  <c r="V47" i="1"/>
  <c r="Y47" i="1"/>
  <c r="U47" i="1"/>
  <c r="T47" i="1"/>
  <c r="Z320" i="1"/>
  <c r="W320" i="1"/>
  <c r="V320" i="1"/>
  <c r="Y320" i="1"/>
  <c r="U320" i="1"/>
  <c r="T320" i="1"/>
  <c r="U90" i="1"/>
  <c r="V90" i="1"/>
  <c r="Z90" i="1"/>
  <c r="W90" i="1"/>
  <c r="Y90" i="1"/>
  <c r="T90" i="1"/>
  <c r="W121" i="1"/>
  <c r="T121" i="1"/>
  <c r="V121" i="1"/>
  <c r="Y121" i="1"/>
  <c r="U121" i="1"/>
  <c r="Z121" i="1"/>
  <c r="AE81" i="1"/>
  <c r="AC81" i="1"/>
  <c r="AD81" i="1"/>
  <c r="AC310" i="1"/>
  <c r="AD310" i="1"/>
  <c r="AE310" i="1"/>
  <c r="AC196" i="1"/>
  <c r="AD196" i="1"/>
  <c r="AE196" i="1"/>
  <c r="AD294" i="1"/>
  <c r="AE294" i="1"/>
  <c r="AC294" i="1"/>
  <c r="AC293" i="1"/>
  <c r="AD293" i="1"/>
  <c r="AE293" i="1"/>
  <c r="AC215" i="1"/>
  <c r="AD215" i="1"/>
  <c r="AE215" i="1"/>
  <c r="AC281" i="1"/>
  <c r="AD281" i="1"/>
  <c r="AE281" i="1"/>
  <c r="AE248" i="1"/>
  <c r="AC248" i="1"/>
  <c r="AD248" i="1"/>
  <c r="AC246" i="1"/>
  <c r="AD246" i="1"/>
  <c r="AE246" i="1"/>
  <c r="AE220" i="1"/>
  <c r="AC220" i="1"/>
  <c r="AD220" i="1"/>
  <c r="AE301" i="1"/>
  <c r="AD301" i="1"/>
  <c r="AC301" i="1"/>
  <c r="AC273" i="1"/>
  <c r="AE273" i="1"/>
  <c r="AD273" i="1"/>
  <c r="AE162" i="1"/>
  <c r="AD162" i="1"/>
  <c r="AC162" i="1"/>
  <c r="AC265" i="1"/>
  <c r="AD265" i="1"/>
  <c r="AE265" i="1"/>
  <c r="AD154" i="1"/>
  <c r="AE154" i="1"/>
  <c r="AC154" i="1"/>
  <c r="AD119" i="1"/>
  <c r="AE119" i="1"/>
  <c r="AC119" i="1"/>
  <c r="AE305" i="1"/>
  <c r="AC305" i="1"/>
  <c r="AD305" i="1"/>
  <c r="AE181" i="1"/>
  <c r="AC181" i="1"/>
  <c r="AD181" i="1"/>
  <c r="AE209" i="1"/>
  <c r="AC209" i="1"/>
  <c r="AD209" i="1"/>
  <c r="AE71" i="1"/>
  <c r="AC71" i="1"/>
  <c r="AD71" i="1"/>
  <c r="AC227" i="1"/>
  <c r="AD227" i="1"/>
  <c r="AE227" i="1"/>
  <c r="AE98" i="1"/>
  <c r="AD98" i="1"/>
  <c r="AC98" i="1"/>
  <c r="AC244" i="1"/>
  <c r="AD244" i="1"/>
  <c r="AE244" i="1"/>
  <c r="AD149" i="1"/>
  <c r="AE149" i="1"/>
  <c r="AC149" i="1"/>
  <c r="AC201" i="1"/>
  <c r="AD201" i="1"/>
  <c r="AE201" i="1"/>
  <c r="AE63" i="1"/>
  <c r="AC63" i="1"/>
  <c r="AD63" i="1"/>
  <c r="AC219" i="1"/>
  <c r="AD219" i="1"/>
  <c r="AE219" i="1"/>
  <c r="AC90" i="1"/>
  <c r="AE90" i="1"/>
  <c r="AD90" i="1"/>
  <c r="AE180" i="1"/>
  <c r="AC180" i="1"/>
  <c r="AD180" i="1"/>
  <c r="AE117" i="1"/>
  <c r="AC117" i="1"/>
  <c r="AD117" i="1"/>
  <c r="AE193" i="1"/>
  <c r="AC193" i="1"/>
  <c r="AD193" i="1"/>
  <c r="AE55" i="1"/>
  <c r="AC55" i="1"/>
  <c r="AD55" i="1"/>
  <c r="AC211" i="1"/>
  <c r="AD211" i="1"/>
  <c r="AE211" i="1"/>
  <c r="AC82" i="1"/>
  <c r="AD82" i="1"/>
  <c r="AE82" i="1"/>
  <c r="AD148" i="1"/>
  <c r="AC148" i="1"/>
  <c r="AE148" i="1"/>
  <c r="AE85" i="1"/>
  <c r="AC85" i="1"/>
  <c r="AD85" i="1"/>
  <c r="AD185" i="1"/>
  <c r="AC185" i="1"/>
  <c r="AE185" i="1"/>
  <c r="AE47" i="1"/>
  <c r="AD47" i="1"/>
  <c r="AC47" i="1"/>
  <c r="AC203" i="1"/>
  <c r="AD203" i="1"/>
  <c r="AE203" i="1"/>
  <c r="AD74" i="1"/>
  <c r="AC74" i="1"/>
  <c r="AE74" i="1"/>
  <c r="AD172" i="1"/>
  <c r="AE172" i="1"/>
  <c r="AC172" i="1"/>
  <c r="AE344" i="1"/>
  <c r="AC344" i="1"/>
  <c r="AD344" i="1"/>
  <c r="AE113" i="1"/>
  <c r="AD113" i="1"/>
  <c r="AC113" i="1"/>
  <c r="AC350" i="1"/>
  <c r="AD350" i="1"/>
  <c r="AE350" i="1"/>
  <c r="AE131" i="1"/>
  <c r="AC131" i="1"/>
  <c r="AD131" i="1"/>
  <c r="AC393" i="1"/>
  <c r="AE393" i="1"/>
  <c r="AD393" i="1"/>
  <c r="AC361" i="1"/>
  <c r="AD361" i="1"/>
  <c r="AE361" i="1"/>
  <c r="AD272" i="1"/>
  <c r="AE272" i="1"/>
  <c r="AC272" i="1"/>
  <c r="AE41" i="1"/>
  <c r="AD41" i="1"/>
  <c r="AC41" i="1"/>
  <c r="AD278" i="1"/>
  <c r="AC278" i="1"/>
  <c r="AE278" i="1"/>
  <c r="AE59" i="1"/>
  <c r="AD59" i="1"/>
  <c r="AC59" i="1"/>
  <c r="AC323" i="1"/>
  <c r="AE323" i="1"/>
  <c r="AD323" i="1"/>
  <c r="AC381" i="1"/>
  <c r="AD381" i="1"/>
  <c r="AE381" i="1"/>
  <c r="AC200" i="1"/>
  <c r="AE200" i="1"/>
  <c r="AD200" i="1"/>
  <c r="AD343" i="1"/>
  <c r="AE343" i="1"/>
  <c r="AC343" i="1"/>
  <c r="AD206" i="1"/>
  <c r="AC206" i="1"/>
  <c r="AE206" i="1"/>
  <c r="AE370" i="1"/>
  <c r="AC370" i="1"/>
  <c r="AD370" i="1"/>
  <c r="AC321" i="1"/>
  <c r="AE321" i="1"/>
  <c r="AD321" i="1"/>
  <c r="AC229" i="1"/>
  <c r="AD229" i="1"/>
  <c r="AE229" i="1"/>
  <c r="AD128" i="1"/>
  <c r="AE128" i="1"/>
  <c r="AC128" i="1"/>
  <c r="AC271" i="1"/>
  <c r="AD271" i="1"/>
  <c r="AE271" i="1"/>
  <c r="AD134" i="1"/>
  <c r="AC134" i="1"/>
  <c r="AE134" i="1"/>
  <c r="AE298" i="1"/>
  <c r="AD298" i="1"/>
  <c r="AC298" i="1"/>
  <c r="Z244" i="1"/>
  <c r="W244" i="1"/>
  <c r="T244" i="1"/>
  <c r="V244" i="1"/>
  <c r="Y244" i="1"/>
  <c r="U244" i="1"/>
  <c r="Z105" i="1"/>
  <c r="U105" i="1"/>
  <c r="W105" i="1"/>
  <c r="V105" i="1"/>
  <c r="Y105" i="1"/>
  <c r="T105" i="1"/>
  <c r="Z356" i="1"/>
  <c r="W356" i="1"/>
  <c r="T356" i="1"/>
  <c r="Y356" i="1"/>
  <c r="U356" i="1"/>
  <c r="V356" i="1"/>
  <c r="Z153" i="1"/>
  <c r="T153" i="1"/>
  <c r="Y153" i="1"/>
  <c r="U153" i="1"/>
  <c r="V153" i="1"/>
  <c r="W153" i="1"/>
  <c r="Z53" i="1"/>
  <c r="T53" i="1"/>
  <c r="U53" i="1"/>
  <c r="Y53" i="1"/>
  <c r="V53" i="1"/>
  <c r="W53" i="1"/>
  <c r="Z288" i="1"/>
  <c r="V288" i="1"/>
  <c r="Y288" i="1"/>
  <c r="U288" i="1"/>
  <c r="T288" i="1"/>
  <c r="W288" i="1"/>
  <c r="Z61" i="1"/>
  <c r="V61" i="1"/>
  <c r="W61" i="1"/>
  <c r="Y61" i="1"/>
  <c r="T61" i="1"/>
  <c r="U61" i="1"/>
  <c r="Z326" i="1"/>
  <c r="V326" i="1"/>
  <c r="U326" i="1"/>
  <c r="W326" i="1"/>
  <c r="T326" i="1"/>
  <c r="Y326" i="1"/>
  <c r="Z83" i="1"/>
  <c r="W83" i="1"/>
  <c r="V83" i="1"/>
  <c r="U83" i="1"/>
  <c r="Y83" i="1"/>
  <c r="T83" i="1"/>
  <c r="Z227" i="1"/>
  <c r="V227" i="1"/>
  <c r="W227" i="1"/>
  <c r="U227" i="1"/>
  <c r="Y227" i="1"/>
  <c r="T227" i="1"/>
  <c r="Z112" i="1"/>
  <c r="W112" i="1"/>
  <c r="U112" i="1"/>
  <c r="V112" i="1"/>
  <c r="T112" i="1"/>
  <c r="Y112" i="1"/>
  <c r="Z222" i="1"/>
  <c r="V222" i="1"/>
  <c r="U222" i="1"/>
  <c r="Y222" i="1"/>
  <c r="T222" i="1"/>
  <c r="W222" i="1"/>
  <c r="Z130" i="1"/>
  <c r="V130" i="1"/>
  <c r="Y130" i="1"/>
  <c r="W130" i="1"/>
  <c r="U130" i="1"/>
  <c r="T130" i="1"/>
  <c r="Z55" i="1"/>
  <c r="Y55" i="1"/>
  <c r="W55" i="1"/>
  <c r="V55" i="1"/>
  <c r="U55" i="1"/>
  <c r="T55" i="1"/>
  <c r="Z294" i="1"/>
  <c r="V294" i="1"/>
  <c r="Y294" i="1"/>
  <c r="W294" i="1"/>
  <c r="U294" i="1"/>
  <c r="T294" i="1"/>
  <c r="Z346" i="1"/>
  <c r="W346" i="1"/>
  <c r="T346" i="1"/>
  <c r="Y346" i="1"/>
  <c r="V346" i="1"/>
  <c r="U346" i="1"/>
  <c r="Z318" i="1"/>
  <c r="W318" i="1"/>
  <c r="V318" i="1"/>
  <c r="Y318" i="1"/>
  <c r="U318" i="1"/>
  <c r="T318" i="1"/>
  <c r="Z347" i="1"/>
  <c r="W347" i="1"/>
  <c r="U347" i="1"/>
  <c r="Y347" i="1"/>
  <c r="V347" i="1"/>
  <c r="T347" i="1"/>
  <c r="Z323" i="1"/>
  <c r="V323" i="1"/>
  <c r="W323" i="1"/>
  <c r="T323" i="1"/>
  <c r="U323" i="1"/>
  <c r="Y323" i="1"/>
  <c r="Z192" i="1"/>
  <c r="W192" i="1"/>
  <c r="Y192" i="1"/>
  <c r="T192" i="1"/>
  <c r="V192" i="1"/>
  <c r="U192" i="1"/>
  <c r="Z107" i="1"/>
  <c r="T107" i="1"/>
  <c r="Y107" i="1"/>
  <c r="W107" i="1"/>
  <c r="U107" i="1"/>
  <c r="V107" i="1"/>
  <c r="Z131" i="1"/>
  <c r="U131" i="1"/>
  <c r="V131" i="1"/>
  <c r="Y131" i="1"/>
  <c r="W131" i="1"/>
  <c r="T131" i="1"/>
  <c r="Z145" i="1"/>
  <c r="T145" i="1"/>
  <c r="U145" i="1"/>
  <c r="Y145" i="1"/>
  <c r="W145" i="1"/>
  <c r="V145" i="1"/>
  <c r="Z260" i="1"/>
  <c r="W260" i="1"/>
  <c r="T260" i="1"/>
  <c r="Y260" i="1"/>
  <c r="V260" i="1"/>
  <c r="U260" i="1"/>
  <c r="Z236" i="1"/>
  <c r="V236" i="1"/>
  <c r="U236" i="1"/>
  <c r="Y236" i="1"/>
  <c r="W236" i="1"/>
  <c r="T236" i="1"/>
  <c r="Z338" i="1"/>
  <c r="Y338" i="1"/>
  <c r="W338" i="1"/>
  <c r="U338" i="1"/>
  <c r="V338" i="1"/>
  <c r="T338" i="1"/>
  <c r="Z304" i="1"/>
  <c r="W304" i="1"/>
  <c r="U304" i="1"/>
  <c r="V304" i="1"/>
  <c r="Y304" i="1"/>
  <c r="T304" i="1"/>
  <c r="Z44" i="1"/>
  <c r="W44" i="1"/>
  <c r="U44" i="1"/>
  <c r="Y44" i="1"/>
  <c r="T44" i="1"/>
  <c r="V44" i="1"/>
  <c r="Z225" i="1"/>
  <c r="W225" i="1"/>
  <c r="V225" i="1"/>
  <c r="Y225" i="1"/>
  <c r="T225" i="1"/>
  <c r="U225" i="1"/>
  <c r="Z118" i="1"/>
  <c r="V118" i="1"/>
  <c r="W118" i="1"/>
  <c r="U118" i="1"/>
  <c r="T118" i="1"/>
  <c r="Y118" i="1"/>
  <c r="Z296" i="1"/>
  <c r="T296" i="1"/>
  <c r="U296" i="1"/>
  <c r="Y296" i="1"/>
  <c r="W296" i="1"/>
  <c r="V296" i="1"/>
  <c r="Z285" i="1"/>
  <c r="V285" i="1"/>
  <c r="Y285" i="1"/>
  <c r="W285" i="1"/>
  <c r="T285" i="1"/>
  <c r="U285" i="1"/>
  <c r="Z389" i="1"/>
  <c r="W389" i="1"/>
  <c r="T389" i="1"/>
  <c r="Y389" i="1"/>
  <c r="V389" i="1"/>
  <c r="U389" i="1"/>
  <c r="Z204" i="1"/>
  <c r="W204" i="1"/>
  <c r="V204" i="1"/>
  <c r="Y204" i="1"/>
  <c r="U204" i="1"/>
  <c r="T204" i="1"/>
  <c r="Z115" i="1"/>
  <c r="T115" i="1"/>
  <c r="W115" i="1"/>
  <c r="Y115" i="1"/>
  <c r="V115" i="1"/>
  <c r="U115" i="1"/>
  <c r="Z158" i="1"/>
  <c r="U158" i="1"/>
  <c r="W158" i="1"/>
  <c r="Y158" i="1"/>
  <c r="V158" i="1"/>
  <c r="T158" i="1"/>
  <c r="Z276" i="1"/>
  <c r="W276" i="1"/>
  <c r="U276" i="1"/>
  <c r="Y276" i="1"/>
  <c r="V276" i="1"/>
  <c r="T276" i="1"/>
  <c r="Z267" i="1"/>
  <c r="W267" i="1"/>
  <c r="U267" i="1"/>
  <c r="Y267" i="1"/>
  <c r="T267" i="1"/>
  <c r="V267" i="1"/>
  <c r="Z237" i="1"/>
  <c r="W237" i="1"/>
  <c r="T237" i="1"/>
  <c r="V237" i="1"/>
  <c r="Y237" i="1"/>
  <c r="U237" i="1"/>
  <c r="Z94" i="1"/>
  <c r="W94" i="1"/>
  <c r="T94" i="1"/>
  <c r="Y94" i="1"/>
  <c r="V94" i="1"/>
  <c r="U94" i="1"/>
  <c r="Z306" i="1"/>
  <c r="W306" i="1"/>
  <c r="T306" i="1"/>
  <c r="Y306" i="1"/>
  <c r="V306" i="1"/>
  <c r="U306" i="1"/>
  <c r="Z266" i="1"/>
  <c r="Y266" i="1"/>
  <c r="W266" i="1"/>
  <c r="T266" i="1"/>
  <c r="U266" i="1"/>
  <c r="V266" i="1"/>
  <c r="Z136" i="1"/>
  <c r="V136" i="1"/>
  <c r="Y136" i="1"/>
  <c r="W136" i="1"/>
  <c r="T136" i="1"/>
  <c r="U136" i="1"/>
  <c r="Z33" i="1"/>
  <c r="W33" i="1"/>
  <c r="U33" i="1"/>
  <c r="T33" i="1"/>
  <c r="Y33" i="1"/>
  <c r="V33" i="1"/>
  <c r="Z69" i="1"/>
  <c r="W69" i="1"/>
  <c r="T69" i="1"/>
  <c r="Y69" i="1"/>
  <c r="V69" i="1"/>
  <c r="U69" i="1"/>
  <c r="T177" i="1"/>
  <c r="U177" i="1"/>
  <c r="W177" i="1"/>
  <c r="V177" i="1"/>
  <c r="Z177" i="1"/>
  <c r="Y177" i="1"/>
  <c r="V329" i="1"/>
  <c r="Z329" i="1"/>
  <c r="W329" i="1"/>
  <c r="U329" i="1"/>
  <c r="Y329" i="1"/>
  <c r="T329" i="1"/>
  <c r="AD44" i="1"/>
  <c r="AC44" i="1"/>
  <c r="AE44" i="1"/>
  <c r="AE91" i="1"/>
  <c r="AC91" i="1"/>
  <c r="AD91" i="1"/>
  <c r="AD302" i="1"/>
  <c r="AE302" i="1"/>
  <c r="AC302" i="1"/>
  <c r="AE75" i="1"/>
  <c r="AC75" i="1"/>
  <c r="AD75" i="1"/>
  <c r="AD144" i="1"/>
  <c r="AE144" i="1"/>
  <c r="AC144" i="1"/>
  <c r="AD72" i="1"/>
  <c r="AC72" i="1"/>
  <c r="AE72" i="1"/>
  <c r="AE143" i="1"/>
  <c r="AC143" i="1"/>
  <c r="AD143" i="1"/>
  <c r="AC391" i="1"/>
  <c r="AD391" i="1"/>
  <c r="AE391" i="1"/>
  <c r="AC240" i="1"/>
  <c r="AD240" i="1"/>
  <c r="AE240" i="1"/>
  <c r="AC238" i="1"/>
  <c r="AD238" i="1"/>
  <c r="AE238" i="1"/>
  <c r="AC197" i="1"/>
  <c r="AD197" i="1"/>
  <c r="AE197" i="1"/>
  <c r="AE135" i="1"/>
  <c r="AC135" i="1"/>
  <c r="AD135" i="1"/>
  <c r="AC373" i="1"/>
  <c r="AE373" i="1"/>
  <c r="AD373" i="1"/>
  <c r="AE127" i="1"/>
  <c r="AC127" i="1"/>
  <c r="AD127" i="1"/>
  <c r="AC300" i="1"/>
  <c r="AD300" i="1"/>
  <c r="AE300" i="1"/>
  <c r="AE376" i="1"/>
  <c r="AD376" i="1"/>
  <c r="AC376" i="1"/>
  <c r="AC145" i="1"/>
  <c r="AE145" i="1"/>
  <c r="AD145" i="1"/>
  <c r="AD382" i="1"/>
  <c r="AC382" i="1"/>
  <c r="AE382" i="1"/>
  <c r="AC163" i="1"/>
  <c r="AD163" i="1"/>
  <c r="AE163" i="1"/>
  <c r="AC34" i="1"/>
  <c r="AE34" i="1"/>
  <c r="AD34" i="1"/>
  <c r="AC268" i="1"/>
  <c r="AD268" i="1"/>
  <c r="AE268" i="1"/>
  <c r="AC368" i="1"/>
  <c r="AE368" i="1"/>
  <c r="AD368" i="1"/>
  <c r="AE137" i="1"/>
  <c r="AD137" i="1"/>
  <c r="AC137" i="1"/>
  <c r="AC374" i="1"/>
  <c r="AD374" i="1"/>
  <c r="AE374" i="1"/>
  <c r="AE155" i="1"/>
  <c r="AC155" i="1"/>
  <c r="AD155" i="1"/>
  <c r="AD26" i="1"/>
  <c r="AC26" i="1"/>
  <c r="AE26" i="1"/>
  <c r="AC236" i="1"/>
  <c r="AD236" i="1"/>
  <c r="AE236" i="1"/>
  <c r="AE360" i="1"/>
  <c r="AC360" i="1"/>
  <c r="AD360" i="1"/>
  <c r="AD129" i="1"/>
  <c r="AE129" i="1"/>
  <c r="AC129" i="1"/>
  <c r="AE366" i="1"/>
  <c r="AC366" i="1"/>
  <c r="AD366" i="1"/>
  <c r="AE147" i="1"/>
  <c r="AC147" i="1"/>
  <c r="AD147" i="1"/>
  <c r="AD18" i="1"/>
  <c r="AC18" i="1"/>
  <c r="AE18" i="1"/>
  <c r="AC204" i="1"/>
  <c r="AD204" i="1"/>
  <c r="AE204" i="1"/>
  <c r="AD352" i="1"/>
  <c r="AE352" i="1"/>
  <c r="AC352" i="1"/>
  <c r="AE121" i="1"/>
  <c r="AD121" i="1"/>
  <c r="AC121" i="1"/>
  <c r="AD358" i="1"/>
  <c r="AE358" i="1"/>
  <c r="AC358" i="1"/>
  <c r="AC139" i="1"/>
  <c r="AD139" i="1"/>
  <c r="AE139" i="1"/>
  <c r="AC100" i="1"/>
  <c r="AE100" i="1"/>
  <c r="AD100" i="1"/>
  <c r="AC36" i="1"/>
  <c r="AE36" i="1"/>
  <c r="AD36" i="1"/>
  <c r="AE280" i="1"/>
  <c r="AC280" i="1"/>
  <c r="AD280" i="1"/>
  <c r="AE49" i="1"/>
  <c r="AD49" i="1"/>
  <c r="AC49" i="1"/>
  <c r="AC286" i="1"/>
  <c r="AD286" i="1"/>
  <c r="AE286" i="1"/>
  <c r="AC67" i="1"/>
  <c r="AD67" i="1"/>
  <c r="AE67" i="1"/>
  <c r="AE371" i="1"/>
  <c r="AD371" i="1"/>
  <c r="AC371" i="1"/>
  <c r="AD20" i="1"/>
  <c r="AC20" i="1"/>
  <c r="AE20" i="1"/>
  <c r="AC208" i="1"/>
  <c r="AD208" i="1"/>
  <c r="AE208" i="1"/>
  <c r="AC351" i="1"/>
  <c r="AD351" i="1"/>
  <c r="AE351" i="1"/>
  <c r="AC214" i="1"/>
  <c r="AD214" i="1"/>
  <c r="AE214" i="1"/>
  <c r="AD378" i="1"/>
  <c r="AC378" i="1"/>
  <c r="AE378" i="1"/>
  <c r="AC337" i="1"/>
  <c r="AD337" i="1"/>
  <c r="AE337" i="1"/>
  <c r="AC261" i="1"/>
  <c r="AD261" i="1"/>
  <c r="AE261" i="1"/>
  <c r="AC136" i="1"/>
  <c r="AD136" i="1"/>
  <c r="AE136" i="1"/>
  <c r="AD279" i="1"/>
  <c r="AE279" i="1"/>
  <c r="AC279" i="1"/>
  <c r="AC142" i="1"/>
  <c r="AD142" i="1"/>
  <c r="AE142" i="1"/>
  <c r="AE306" i="1"/>
  <c r="AC306" i="1"/>
  <c r="AD306" i="1"/>
  <c r="AD77" i="1"/>
  <c r="AE77" i="1"/>
  <c r="AC77" i="1"/>
  <c r="AC260" i="1"/>
  <c r="AD260" i="1"/>
  <c r="AE260" i="1"/>
  <c r="AD64" i="1"/>
  <c r="AC64" i="1"/>
  <c r="AE64" i="1"/>
  <c r="AD207" i="1"/>
  <c r="AE207" i="1"/>
  <c r="AC207" i="1"/>
  <c r="AD70" i="1"/>
  <c r="AE70" i="1"/>
  <c r="AC70" i="1"/>
  <c r="AC234" i="1"/>
  <c r="AD234" i="1"/>
  <c r="AE234" i="1"/>
  <c r="Z226" i="1"/>
  <c r="W226" i="1"/>
  <c r="T226" i="1"/>
  <c r="Y226" i="1"/>
  <c r="V226" i="1"/>
  <c r="U226" i="1"/>
  <c r="Z380" i="1"/>
  <c r="U380" i="1"/>
  <c r="W380" i="1"/>
  <c r="V380" i="1"/>
  <c r="Y380" i="1"/>
  <c r="T380" i="1"/>
  <c r="Z168" i="1"/>
  <c r="V168" i="1"/>
  <c r="W168" i="1"/>
  <c r="T168" i="1"/>
  <c r="Y168" i="1"/>
  <c r="U168" i="1"/>
  <c r="Z34" i="1"/>
  <c r="T34" i="1"/>
  <c r="Y34" i="1"/>
  <c r="U34" i="1"/>
  <c r="W34" i="1"/>
  <c r="V34" i="1"/>
  <c r="Z235" i="1"/>
  <c r="V235" i="1"/>
  <c r="U235" i="1"/>
  <c r="Y235" i="1"/>
  <c r="T235" i="1"/>
  <c r="W235" i="1"/>
  <c r="Z43" i="1"/>
  <c r="V43" i="1"/>
  <c r="W43" i="1"/>
  <c r="Y43" i="1"/>
  <c r="U43" i="1"/>
  <c r="T43" i="1"/>
  <c r="Z41" i="1"/>
  <c r="W41" i="1"/>
  <c r="T41" i="1"/>
  <c r="U41" i="1"/>
  <c r="V41" i="1"/>
  <c r="Y41" i="1"/>
  <c r="Z133" i="1"/>
  <c r="T133" i="1"/>
  <c r="Y133" i="1"/>
  <c r="W133" i="1"/>
  <c r="V133" i="1"/>
  <c r="U133" i="1"/>
  <c r="Z249" i="1"/>
  <c r="W249" i="1"/>
  <c r="U249" i="1"/>
  <c r="T249" i="1"/>
  <c r="Y249" i="1"/>
  <c r="V249" i="1"/>
  <c r="Z224" i="1"/>
  <c r="V224" i="1"/>
  <c r="W224" i="1"/>
  <c r="T224" i="1"/>
  <c r="U224" i="1"/>
  <c r="Y224" i="1"/>
  <c r="Z223" i="1"/>
  <c r="U223" i="1"/>
  <c r="W223" i="1"/>
  <c r="T223" i="1"/>
  <c r="V223" i="1"/>
  <c r="Y223" i="1"/>
  <c r="Z268" i="1"/>
  <c r="W268" i="1"/>
  <c r="Y268" i="1"/>
  <c r="T268" i="1"/>
  <c r="V268" i="1"/>
  <c r="U268" i="1"/>
  <c r="Z262" i="1"/>
  <c r="U262" i="1"/>
  <c r="Y262" i="1"/>
  <c r="T262" i="1"/>
  <c r="W262" i="1"/>
  <c r="V262" i="1"/>
  <c r="Z379" i="1"/>
  <c r="W379" i="1"/>
  <c r="U379" i="1"/>
  <c r="Y379" i="1"/>
  <c r="T379" i="1"/>
  <c r="V379" i="1"/>
  <c r="Z167" i="1"/>
  <c r="T167" i="1"/>
  <c r="Y167" i="1"/>
  <c r="V167" i="1"/>
  <c r="W167" i="1"/>
  <c r="U167" i="1"/>
  <c r="Z70" i="1"/>
  <c r="W70" i="1"/>
  <c r="V70" i="1"/>
  <c r="Y70" i="1"/>
  <c r="U70" i="1"/>
  <c r="T70" i="1"/>
  <c r="Z330" i="1"/>
  <c r="W330" i="1"/>
  <c r="T330" i="1"/>
  <c r="Y330" i="1"/>
  <c r="V330" i="1"/>
  <c r="U330" i="1"/>
  <c r="Z214" i="1"/>
  <c r="T214" i="1"/>
  <c r="W214" i="1"/>
  <c r="Y214" i="1"/>
  <c r="U214" i="1"/>
  <c r="V214" i="1"/>
  <c r="Z56" i="1"/>
  <c r="T56" i="1"/>
  <c r="Y56" i="1"/>
  <c r="V56" i="1"/>
  <c r="W56" i="1"/>
  <c r="U56" i="1"/>
  <c r="Z292" i="1"/>
  <c r="T292" i="1"/>
  <c r="Y292" i="1"/>
  <c r="W292" i="1"/>
  <c r="U292" i="1"/>
  <c r="V292" i="1"/>
  <c r="Z307" i="1"/>
  <c r="T307" i="1"/>
  <c r="Y307" i="1"/>
  <c r="W307" i="1"/>
  <c r="V307" i="1"/>
  <c r="U307" i="1"/>
  <c r="T239" i="1"/>
  <c r="U239" i="1"/>
  <c r="Y239" i="1"/>
  <c r="V239" i="1"/>
  <c r="W239" i="1"/>
  <c r="Z239" i="1"/>
  <c r="Z331" i="1"/>
  <c r="U331" i="1"/>
  <c r="V331" i="1"/>
  <c r="Y331" i="1"/>
  <c r="W331" i="1"/>
  <c r="T331" i="1"/>
  <c r="Z383" i="1"/>
  <c r="W383" i="1"/>
  <c r="T383" i="1"/>
  <c r="Y383" i="1"/>
  <c r="U383" i="1"/>
  <c r="V383" i="1"/>
  <c r="Z193" i="1"/>
  <c r="W193" i="1"/>
  <c r="U193" i="1"/>
  <c r="Y193" i="1"/>
  <c r="T193" i="1"/>
  <c r="V193" i="1"/>
  <c r="Z238" i="1"/>
  <c r="V238" i="1"/>
  <c r="U238" i="1"/>
  <c r="Y238" i="1"/>
  <c r="W238" i="1"/>
  <c r="T238" i="1"/>
  <c r="Z392" i="1"/>
  <c r="W392" i="1"/>
  <c r="U392" i="1"/>
  <c r="Y392" i="1"/>
  <c r="V392" i="1"/>
  <c r="T392" i="1"/>
  <c r="Z376" i="1"/>
  <c r="U376" i="1"/>
  <c r="Y376" i="1"/>
  <c r="W376" i="1"/>
  <c r="T376" i="1"/>
  <c r="V376" i="1"/>
  <c r="Z134" i="1"/>
  <c r="V134" i="1"/>
  <c r="Y134" i="1"/>
  <c r="W134" i="1"/>
  <c r="T134" i="1"/>
  <c r="U134" i="1"/>
  <c r="Z161" i="1"/>
  <c r="U161" i="1"/>
  <c r="W161" i="1"/>
  <c r="V161" i="1"/>
  <c r="Y161" i="1"/>
  <c r="T161" i="1"/>
  <c r="Z272" i="1"/>
  <c r="T272" i="1"/>
  <c r="U272" i="1"/>
  <c r="V272" i="1"/>
  <c r="W272" i="1"/>
  <c r="Y272" i="1"/>
  <c r="Z135" i="1"/>
  <c r="T135" i="1"/>
  <c r="Y135" i="1"/>
  <c r="W135" i="1"/>
  <c r="V135" i="1"/>
  <c r="U135" i="1"/>
  <c r="Z314" i="1"/>
  <c r="T314" i="1"/>
  <c r="Y314" i="1"/>
  <c r="W314" i="1"/>
  <c r="U314" i="1"/>
  <c r="V314" i="1"/>
  <c r="Z77" i="1"/>
  <c r="V77" i="1"/>
  <c r="Y77" i="1"/>
  <c r="W77" i="1"/>
  <c r="T77" i="1"/>
  <c r="U77" i="1"/>
  <c r="Z170" i="1"/>
  <c r="W170" i="1"/>
  <c r="T170" i="1"/>
  <c r="Y170" i="1"/>
  <c r="U170" i="1"/>
  <c r="V170" i="1"/>
  <c r="Z181" i="1"/>
  <c r="W181" i="1"/>
  <c r="V181" i="1"/>
  <c r="Y181" i="1"/>
  <c r="U181" i="1"/>
  <c r="T181" i="1"/>
  <c r="Z265" i="1"/>
  <c r="W265" i="1"/>
  <c r="T265" i="1"/>
  <c r="V265" i="1"/>
  <c r="Y265" i="1"/>
  <c r="U265" i="1"/>
  <c r="Z261" i="1"/>
  <c r="W261" i="1"/>
  <c r="Y261" i="1"/>
  <c r="U261" i="1"/>
  <c r="V261" i="1"/>
  <c r="T261" i="1"/>
  <c r="Z95" i="1"/>
  <c r="U95" i="1"/>
  <c r="W95" i="1"/>
  <c r="V95" i="1"/>
  <c r="T95" i="1"/>
  <c r="Y95" i="1"/>
  <c r="Z319" i="1"/>
  <c r="W319" i="1"/>
  <c r="T319" i="1"/>
  <c r="Y319" i="1"/>
  <c r="U319" i="1"/>
  <c r="V319" i="1"/>
  <c r="Z271" i="1"/>
  <c r="W271" i="1"/>
  <c r="U271" i="1"/>
  <c r="Y271" i="1"/>
  <c r="T271" i="1"/>
  <c r="V271" i="1"/>
  <c r="Z42" i="1"/>
  <c r="W42" i="1"/>
  <c r="U42" i="1"/>
  <c r="Y42" i="1"/>
  <c r="V42" i="1"/>
  <c r="T42" i="1"/>
  <c r="Z290" i="1"/>
  <c r="Y290" i="1"/>
  <c r="W290" i="1"/>
  <c r="V290" i="1"/>
  <c r="U290" i="1"/>
  <c r="T290" i="1"/>
  <c r="Z119" i="1"/>
  <c r="V119" i="1"/>
  <c r="Y119" i="1"/>
  <c r="W119" i="1"/>
  <c r="T119" i="1"/>
  <c r="U119" i="1"/>
  <c r="Z232" i="1"/>
  <c r="W232" i="1"/>
  <c r="T232" i="1"/>
  <c r="U232" i="1"/>
  <c r="Y232" i="1"/>
  <c r="V232" i="1"/>
  <c r="W108" i="1"/>
  <c r="V108" i="1"/>
  <c r="U108" i="1"/>
  <c r="Z108" i="1"/>
  <c r="Y108" i="1"/>
  <c r="T108" i="1"/>
  <c r="U176" i="1"/>
  <c r="W176" i="1"/>
  <c r="Z176" i="1"/>
  <c r="T176" i="1"/>
  <c r="Y176" i="1"/>
  <c r="V176" i="1"/>
  <c r="Z279" i="1"/>
  <c r="T279" i="1"/>
  <c r="Y279" i="1"/>
  <c r="W279" i="1"/>
  <c r="U279" i="1"/>
  <c r="V279" i="1"/>
  <c r="Z301" i="1"/>
  <c r="W301" i="1"/>
  <c r="Y301" i="1"/>
  <c r="V301" i="1"/>
  <c r="U301" i="1"/>
  <c r="T301" i="1"/>
  <c r="U28" i="1"/>
  <c r="Z28" i="1"/>
  <c r="T28" i="1"/>
  <c r="W28" i="1"/>
  <c r="V28" i="1"/>
  <c r="Y28" i="1"/>
  <c r="Z87" i="1"/>
  <c r="W87" i="1"/>
  <c r="V87" i="1"/>
  <c r="Y87" i="1"/>
  <c r="T87" i="1"/>
  <c r="U87" i="1"/>
  <c r="V36" i="1"/>
  <c r="U36" i="1"/>
  <c r="W36" i="1"/>
  <c r="Z36" i="1"/>
  <c r="T36" i="1"/>
  <c r="Y36" i="1"/>
  <c r="Z355" i="1"/>
  <c r="U355" i="1"/>
  <c r="W355" i="1"/>
  <c r="Y355" i="1"/>
  <c r="T355" i="1"/>
  <c r="V355" i="1"/>
  <c r="Z316" i="1"/>
  <c r="V316" i="1"/>
  <c r="T316" i="1"/>
  <c r="Y316" i="1"/>
  <c r="W316" i="1"/>
  <c r="U316" i="1"/>
  <c r="Z186" i="1"/>
  <c r="V186" i="1"/>
  <c r="Y186" i="1"/>
  <c r="W186" i="1"/>
  <c r="U186" i="1"/>
  <c r="T186" i="1"/>
  <c r="Z353" i="1"/>
  <c r="U353" i="1"/>
  <c r="Y353" i="1"/>
  <c r="W353" i="1"/>
  <c r="V353" i="1"/>
  <c r="T353" i="1"/>
  <c r="Z124" i="1"/>
  <c r="U124" i="1"/>
  <c r="T124" i="1"/>
  <c r="V124" i="1"/>
  <c r="Y124" i="1"/>
  <c r="W124" i="1"/>
  <c r="Z144" i="1"/>
  <c r="T144" i="1"/>
  <c r="U144" i="1"/>
  <c r="Y144" i="1"/>
  <c r="W144" i="1"/>
  <c r="V144" i="1"/>
  <c r="Z66" i="1"/>
  <c r="U66" i="1"/>
  <c r="T66" i="1"/>
  <c r="V66" i="1"/>
  <c r="Y66" i="1"/>
  <c r="W66" i="1"/>
  <c r="Z241" i="1"/>
  <c r="W241" i="1"/>
  <c r="T241" i="1"/>
  <c r="V241" i="1"/>
  <c r="Y241" i="1"/>
  <c r="U241" i="1"/>
  <c r="Z310" i="1"/>
  <c r="W310" i="1"/>
  <c r="V310" i="1"/>
  <c r="Y310" i="1"/>
  <c r="T310" i="1"/>
  <c r="U310" i="1"/>
  <c r="Z171" i="1"/>
  <c r="T171" i="1"/>
  <c r="W171" i="1"/>
  <c r="V171" i="1"/>
  <c r="U171" i="1"/>
  <c r="Y171" i="1"/>
  <c r="Z74" i="1"/>
  <c r="U74" i="1"/>
  <c r="W74" i="1"/>
  <c r="T74" i="1"/>
  <c r="Y74" i="1"/>
  <c r="V74" i="1"/>
  <c r="Z73" i="1"/>
  <c r="W73" i="1"/>
  <c r="T73" i="1"/>
  <c r="Y73" i="1"/>
  <c r="U73" i="1"/>
  <c r="V73" i="1"/>
  <c r="Z259" i="1"/>
  <c r="W259" i="1"/>
  <c r="V259" i="1"/>
  <c r="Y259" i="1"/>
  <c r="U259" i="1"/>
  <c r="T259" i="1"/>
  <c r="Z286" i="1"/>
  <c r="V286" i="1"/>
  <c r="U286" i="1"/>
  <c r="W286" i="1"/>
  <c r="T286" i="1"/>
  <c r="Y286" i="1"/>
  <c r="Z104" i="1"/>
  <c r="T104" i="1"/>
  <c r="Y104" i="1"/>
  <c r="W104" i="1"/>
  <c r="U104" i="1"/>
  <c r="V104" i="1"/>
  <c r="U155" i="1"/>
  <c r="T155" i="1"/>
  <c r="Y155" i="1"/>
  <c r="V155" i="1"/>
  <c r="Z155" i="1"/>
  <c r="W155" i="1"/>
  <c r="U72" i="1"/>
  <c r="T72" i="1"/>
  <c r="Y72" i="1"/>
  <c r="V72" i="1"/>
  <c r="W72" i="1"/>
  <c r="Z72" i="1"/>
  <c r="Z325" i="1"/>
  <c r="V325" i="1"/>
  <c r="T325" i="1"/>
  <c r="Y325" i="1"/>
  <c r="W325" i="1"/>
  <c r="U325" i="1"/>
  <c r="Z172" i="1"/>
  <c r="T172" i="1"/>
  <c r="Y172" i="1"/>
  <c r="W172" i="1"/>
  <c r="V172" i="1"/>
  <c r="U172" i="1"/>
  <c r="Z75" i="1"/>
  <c r="W75" i="1"/>
  <c r="V75" i="1"/>
  <c r="Y75" i="1"/>
  <c r="T75" i="1"/>
  <c r="U75" i="1"/>
  <c r="Z19" i="1"/>
  <c r="T19" i="1"/>
  <c r="Y19" i="1"/>
  <c r="W19" i="1"/>
  <c r="V19" i="1"/>
  <c r="U19" i="1"/>
  <c r="Z68" i="1"/>
  <c r="T68" i="1"/>
  <c r="Y68" i="1"/>
  <c r="W68" i="1"/>
  <c r="V68" i="1"/>
  <c r="U68" i="1"/>
  <c r="Z366" i="1"/>
  <c r="U366" i="1"/>
  <c r="Y366" i="1"/>
  <c r="W366" i="1"/>
  <c r="T366" i="1"/>
  <c r="V366" i="1"/>
  <c r="Z82" i="1"/>
  <c r="U82" i="1"/>
  <c r="Y82" i="1"/>
  <c r="W82" i="1"/>
  <c r="T82" i="1"/>
  <c r="V82" i="1"/>
  <c r="Z25" i="1"/>
  <c r="T25" i="1"/>
  <c r="W25" i="1"/>
  <c r="Y25" i="1"/>
  <c r="V25" i="1"/>
  <c r="U25" i="1"/>
  <c r="Z128" i="1"/>
  <c r="V128" i="1"/>
  <c r="U128" i="1"/>
  <c r="W128" i="1"/>
  <c r="Y128" i="1"/>
  <c r="T128" i="1"/>
  <c r="Z382" i="1"/>
  <c r="V382" i="1"/>
  <c r="W382" i="1"/>
  <c r="Y382" i="1"/>
  <c r="T382" i="1"/>
  <c r="U382" i="1"/>
  <c r="Z213" i="1"/>
  <c r="T213" i="1"/>
  <c r="Y213" i="1"/>
  <c r="W213" i="1"/>
  <c r="U213" i="1"/>
  <c r="V213" i="1"/>
  <c r="Z196" i="1"/>
  <c r="U196" i="1"/>
  <c r="Y196" i="1"/>
  <c r="W196" i="1"/>
  <c r="V196" i="1"/>
  <c r="T196" i="1"/>
  <c r="Z275" i="1"/>
  <c r="W275" i="1"/>
  <c r="V275" i="1"/>
  <c r="Y275" i="1"/>
  <c r="U275" i="1"/>
  <c r="T275" i="1"/>
  <c r="Z101" i="1"/>
  <c r="T101" i="1"/>
  <c r="Y101" i="1"/>
  <c r="W101" i="1"/>
  <c r="U101" i="1"/>
  <c r="V101" i="1"/>
  <c r="Z174" i="1"/>
  <c r="V174" i="1"/>
  <c r="W174" i="1"/>
  <c r="Y174" i="1"/>
  <c r="T174" i="1"/>
  <c r="U174" i="1"/>
  <c r="Z250" i="1"/>
  <c r="W250" i="1"/>
  <c r="T250" i="1"/>
  <c r="Y250" i="1"/>
  <c r="V250" i="1"/>
  <c r="U250" i="1"/>
  <c r="Z327" i="1"/>
  <c r="W327" i="1"/>
  <c r="T327" i="1"/>
  <c r="Y327" i="1"/>
  <c r="V327" i="1"/>
  <c r="U327" i="1"/>
  <c r="Z209" i="1"/>
  <c r="W209" i="1"/>
  <c r="V209" i="1"/>
  <c r="U209" i="1"/>
  <c r="Y209" i="1"/>
  <c r="T209" i="1"/>
  <c r="Z138" i="1"/>
  <c r="W138" i="1"/>
  <c r="T138" i="1"/>
  <c r="Y138" i="1"/>
  <c r="V138" i="1"/>
  <c r="U138" i="1"/>
  <c r="Z360" i="1"/>
  <c r="W360" i="1"/>
  <c r="V360" i="1"/>
  <c r="Y360" i="1"/>
  <c r="U360" i="1"/>
  <c r="T360" i="1"/>
  <c r="Z343" i="1"/>
  <c r="W343" i="1"/>
  <c r="T343" i="1"/>
  <c r="Y343" i="1"/>
  <c r="U343" i="1"/>
  <c r="V343" i="1"/>
  <c r="Z109" i="1"/>
  <c r="T109" i="1"/>
  <c r="Y109" i="1"/>
  <c r="W109" i="1"/>
  <c r="U109" i="1"/>
  <c r="V109" i="1"/>
  <c r="U141" i="1"/>
  <c r="T141" i="1"/>
  <c r="Z141" i="1"/>
  <c r="Y141" i="1"/>
  <c r="W141" i="1"/>
  <c r="V141" i="1"/>
  <c r="Z269" i="1"/>
  <c r="U269" i="1"/>
  <c r="W269" i="1"/>
  <c r="V269" i="1"/>
  <c r="Y269" i="1"/>
  <c r="T269" i="1"/>
  <c r="W291" i="1"/>
  <c r="U291" i="1"/>
  <c r="Z291" i="1"/>
  <c r="T291" i="1"/>
  <c r="V291" i="1"/>
  <c r="Y291" i="1"/>
  <c r="AE99" i="1"/>
  <c r="AC99" i="1"/>
  <c r="AD99" i="1"/>
  <c r="AE83" i="1"/>
  <c r="AC83" i="1"/>
  <c r="AD83" i="1"/>
  <c r="AC216" i="1"/>
  <c r="AE216" i="1"/>
  <c r="AD216" i="1"/>
  <c r="AE150" i="1"/>
  <c r="AC150" i="1"/>
  <c r="AD150" i="1"/>
  <c r="AC242" i="1"/>
  <c r="AD242" i="1"/>
  <c r="AE242" i="1"/>
  <c r="AC254" i="1"/>
  <c r="AD254" i="1"/>
  <c r="AE254" i="1"/>
  <c r="AC284" i="1"/>
  <c r="AD284" i="1"/>
  <c r="AE284" i="1"/>
  <c r="AC156" i="1"/>
  <c r="AD156" i="1"/>
  <c r="AE156" i="1"/>
  <c r="AC224" i="1"/>
  <c r="AE224" i="1"/>
  <c r="AD224" i="1"/>
  <c r="AC367" i="1"/>
  <c r="AD367" i="1"/>
  <c r="AE367" i="1"/>
  <c r="AC230" i="1"/>
  <c r="AD230" i="1"/>
  <c r="AE230" i="1"/>
  <c r="AE394" i="1"/>
  <c r="AC394" i="1"/>
  <c r="AD394" i="1"/>
  <c r="AD369" i="1"/>
  <c r="AC369" i="1"/>
  <c r="AE369" i="1"/>
  <c r="AD316" i="1"/>
  <c r="AE316" i="1"/>
  <c r="AC316" i="1"/>
  <c r="AD152" i="1"/>
  <c r="AE152" i="1"/>
  <c r="AC152" i="1"/>
  <c r="AC295" i="1"/>
  <c r="AD295" i="1"/>
  <c r="AE295" i="1"/>
  <c r="AC158" i="1"/>
  <c r="AD158" i="1"/>
  <c r="AE158" i="1"/>
  <c r="AE322" i="1"/>
  <c r="AC322" i="1"/>
  <c r="AD322" i="1"/>
  <c r="AE141" i="1"/>
  <c r="AD141" i="1"/>
  <c r="AC141" i="1"/>
  <c r="AE37" i="1"/>
  <c r="AD37" i="1"/>
  <c r="AC37" i="1"/>
  <c r="AD80" i="1"/>
  <c r="AC80" i="1"/>
  <c r="AE80" i="1"/>
  <c r="AD223" i="1"/>
  <c r="AE223" i="1"/>
  <c r="AC223" i="1"/>
  <c r="AE86" i="1"/>
  <c r="AC86" i="1"/>
  <c r="AD86" i="1"/>
  <c r="AC250" i="1"/>
  <c r="AD250" i="1"/>
  <c r="AE250" i="1"/>
  <c r="AD313" i="1"/>
  <c r="AE313" i="1"/>
  <c r="AC313" i="1"/>
  <c r="AC124" i="1"/>
  <c r="AD124" i="1"/>
  <c r="AE124" i="1"/>
  <c r="AE289" i="1"/>
  <c r="AC289" i="1"/>
  <c r="AD289" i="1"/>
  <c r="AC151" i="1"/>
  <c r="AD151" i="1"/>
  <c r="AE151" i="1"/>
  <c r="AD307" i="1"/>
  <c r="AE307" i="1"/>
  <c r="AC307" i="1"/>
  <c r="AE178" i="1"/>
  <c r="AD178" i="1"/>
  <c r="AC178" i="1"/>
  <c r="AC339" i="1"/>
  <c r="AD339" i="1"/>
  <c r="AE339" i="1"/>
  <c r="AE213" i="1"/>
  <c r="AD213" i="1"/>
  <c r="AC213" i="1"/>
  <c r="AC217" i="1"/>
  <c r="AE217" i="1"/>
  <c r="AD217" i="1"/>
  <c r="AC79" i="1"/>
  <c r="AE79" i="1"/>
  <c r="AD79" i="1"/>
  <c r="AD235" i="1"/>
  <c r="AE235" i="1"/>
  <c r="AC235" i="1"/>
  <c r="AC106" i="1"/>
  <c r="AD106" i="1"/>
  <c r="AE106" i="1"/>
  <c r="B42" i="1"/>
  <c r="G42" i="1"/>
  <c r="H42" i="1"/>
  <c r="Z162" i="1"/>
  <c r="T162" i="1"/>
  <c r="Y162" i="1"/>
  <c r="W162" i="1"/>
  <c r="V162" i="1"/>
  <c r="U162" i="1"/>
  <c r="Z29" i="1"/>
  <c r="U29" i="1"/>
  <c r="Y29" i="1"/>
  <c r="W29" i="1"/>
  <c r="T29" i="1"/>
  <c r="V29" i="1"/>
  <c r="Z63" i="1"/>
  <c r="V63" i="1"/>
  <c r="Y63" i="1"/>
  <c r="W63" i="1"/>
  <c r="U63" i="1"/>
  <c r="T63" i="1"/>
  <c r="Z395" i="1"/>
  <c r="V395" i="1"/>
  <c r="W395" i="1"/>
  <c r="U395" i="1"/>
  <c r="Y395" i="1"/>
  <c r="T395" i="1"/>
  <c r="Z211" i="1"/>
  <c r="W211" i="1"/>
  <c r="U211" i="1"/>
  <c r="T211" i="1"/>
  <c r="V211" i="1"/>
  <c r="Y211" i="1"/>
  <c r="Z284" i="1"/>
  <c r="U284" i="1"/>
  <c r="V284" i="1"/>
  <c r="T284" i="1"/>
  <c r="W284" i="1"/>
  <c r="Y284" i="1"/>
  <c r="Z352" i="1"/>
  <c r="W352" i="1"/>
  <c r="V352" i="1"/>
  <c r="Y352" i="1"/>
  <c r="T352" i="1"/>
  <c r="U352" i="1"/>
  <c r="Z20" i="1"/>
  <c r="U20" i="1"/>
  <c r="T20" i="1"/>
  <c r="Y20" i="1"/>
  <c r="W20" i="1"/>
  <c r="V20" i="1"/>
  <c r="Z364" i="1"/>
  <c r="V364" i="1"/>
  <c r="Y364" i="1"/>
  <c r="W364" i="1"/>
  <c r="T364" i="1"/>
  <c r="U364" i="1"/>
  <c r="Z358" i="1"/>
  <c r="V358" i="1"/>
  <c r="W358" i="1"/>
  <c r="Y358" i="1"/>
  <c r="U358" i="1"/>
  <c r="T358" i="1"/>
  <c r="Z293" i="1"/>
  <c r="T293" i="1"/>
  <c r="Y293" i="1"/>
  <c r="V293" i="1"/>
  <c r="U293" i="1"/>
  <c r="W293" i="1"/>
  <c r="Z38" i="1"/>
  <c r="V38" i="1"/>
  <c r="T38" i="1"/>
  <c r="Y38" i="1"/>
  <c r="U38" i="1"/>
  <c r="W38" i="1"/>
  <c r="Z198" i="1"/>
  <c r="W198" i="1"/>
  <c r="V198" i="1"/>
  <c r="Y198" i="1"/>
  <c r="U198" i="1"/>
  <c r="T198" i="1"/>
  <c r="Z313" i="1"/>
  <c r="W313" i="1"/>
  <c r="U313" i="1"/>
  <c r="T313" i="1"/>
  <c r="V313" i="1"/>
  <c r="Y313" i="1"/>
  <c r="Z216" i="1"/>
  <c r="T216" i="1"/>
  <c r="V216" i="1"/>
  <c r="W216" i="1"/>
  <c r="Y216" i="1"/>
  <c r="U216" i="1"/>
  <c r="Z76" i="1"/>
  <c r="T76" i="1"/>
  <c r="Y76" i="1"/>
  <c r="W76" i="1"/>
  <c r="U76" i="1"/>
  <c r="V76" i="1"/>
  <c r="Z195" i="1"/>
  <c r="T195" i="1"/>
  <c r="Y195" i="1"/>
  <c r="W195" i="1"/>
  <c r="U195" i="1"/>
  <c r="V195" i="1"/>
  <c r="Z217" i="1"/>
  <c r="T217" i="1"/>
  <c r="Y217" i="1"/>
  <c r="W217" i="1"/>
  <c r="V217" i="1"/>
  <c r="U217" i="1"/>
  <c r="Z367" i="1"/>
  <c r="V367" i="1"/>
  <c r="U367" i="1"/>
  <c r="T367" i="1"/>
  <c r="W367" i="1"/>
  <c r="Y367" i="1"/>
  <c r="Z71" i="1"/>
  <c r="V71" i="1"/>
  <c r="T71" i="1"/>
  <c r="W71" i="1"/>
  <c r="Y71" i="1"/>
  <c r="U71" i="1"/>
  <c r="Z212" i="1"/>
  <c r="W212" i="1"/>
  <c r="V212" i="1"/>
  <c r="Y212" i="1"/>
  <c r="U212" i="1"/>
  <c r="T212" i="1"/>
  <c r="U22" i="1"/>
  <c r="W22" i="1"/>
  <c r="Z22" i="1"/>
  <c r="V22" i="1"/>
  <c r="T22" i="1"/>
  <c r="Y22" i="1"/>
  <c r="V303" i="1"/>
  <c r="W303" i="1"/>
  <c r="Z303" i="1"/>
  <c r="T303" i="1"/>
  <c r="U303" i="1"/>
  <c r="Y303" i="1"/>
  <c r="Z116" i="1"/>
  <c r="W116" i="1"/>
  <c r="U116" i="1"/>
  <c r="T116" i="1"/>
  <c r="V116" i="1"/>
  <c r="Y116" i="1"/>
  <c r="Z129" i="1"/>
  <c r="W129" i="1"/>
  <c r="U129" i="1"/>
  <c r="Y129" i="1"/>
  <c r="V129" i="1"/>
  <c r="T129" i="1"/>
  <c r="Z203" i="1"/>
  <c r="W203" i="1"/>
  <c r="T203" i="1"/>
  <c r="Y203" i="1"/>
  <c r="U203" i="1"/>
  <c r="V203" i="1"/>
  <c r="Z377" i="1"/>
  <c r="V377" i="1"/>
  <c r="T377" i="1"/>
  <c r="W377" i="1"/>
  <c r="U377" i="1"/>
  <c r="Y377" i="1"/>
  <c r="Z191" i="1"/>
  <c r="W191" i="1"/>
  <c r="T191" i="1"/>
  <c r="Y191" i="1"/>
  <c r="U191" i="1"/>
  <c r="V191" i="1"/>
  <c r="Z93" i="1"/>
  <c r="V93" i="1"/>
  <c r="W93" i="1"/>
  <c r="Y93" i="1"/>
  <c r="T93" i="1"/>
  <c r="U93" i="1"/>
  <c r="Z391" i="1"/>
  <c r="V391" i="1"/>
  <c r="W391" i="1"/>
  <c r="Y391" i="1"/>
  <c r="T391" i="1"/>
  <c r="U391" i="1"/>
  <c r="Z368" i="1"/>
  <c r="V368" i="1"/>
  <c r="T368" i="1"/>
  <c r="Y368" i="1"/>
  <c r="U368" i="1"/>
  <c r="W368" i="1"/>
  <c r="Z228" i="1"/>
  <c r="V228" i="1"/>
  <c r="Y228" i="1"/>
  <c r="W228" i="1"/>
  <c r="U228" i="1"/>
  <c r="T228" i="1"/>
  <c r="Z127" i="1"/>
  <c r="Y127" i="1"/>
  <c r="W127" i="1"/>
  <c r="U127" i="1"/>
  <c r="V127" i="1"/>
  <c r="T127" i="1"/>
  <c r="Z337" i="1"/>
  <c r="T337" i="1"/>
  <c r="W337" i="1"/>
  <c r="Y337" i="1"/>
  <c r="V337" i="1"/>
  <c r="U337" i="1"/>
  <c r="Z230" i="1"/>
  <c r="V230" i="1"/>
  <c r="W230" i="1"/>
  <c r="Y230" i="1"/>
  <c r="T230" i="1"/>
  <c r="U230" i="1"/>
  <c r="Z359" i="1"/>
  <c r="V359" i="1"/>
  <c r="W359" i="1"/>
  <c r="U359" i="1"/>
  <c r="Y359" i="1"/>
  <c r="T359" i="1"/>
  <c r="Z64" i="1"/>
  <c r="T64" i="1"/>
  <c r="W64" i="1"/>
  <c r="Y64" i="1"/>
  <c r="V64" i="1"/>
  <c r="U64" i="1"/>
  <c r="Z274" i="1"/>
  <c r="V274" i="1"/>
  <c r="Y274" i="1"/>
  <c r="W274" i="1"/>
  <c r="U274" i="1"/>
  <c r="T274" i="1"/>
  <c r="Z85" i="1"/>
  <c r="Y85" i="1"/>
  <c r="W85" i="1"/>
  <c r="T85" i="1"/>
  <c r="U85" i="1"/>
  <c r="V85" i="1"/>
  <c r="Z247" i="1"/>
  <c r="Y247" i="1"/>
  <c r="W247" i="1"/>
  <c r="U247" i="1"/>
  <c r="V247" i="1"/>
  <c r="T247" i="1"/>
  <c r="Z394" i="1"/>
  <c r="Y394" i="1"/>
  <c r="V394" i="1"/>
  <c r="W394" i="1"/>
  <c r="U394" i="1"/>
  <c r="T394" i="1"/>
  <c r="Y357" i="1"/>
  <c r="W357" i="1"/>
  <c r="U357" i="1"/>
  <c r="Z357" i="1"/>
  <c r="T357" i="1"/>
  <c r="V357" i="1"/>
  <c r="Z201" i="1"/>
  <c r="Y201" i="1"/>
  <c r="W201" i="1"/>
  <c r="V201" i="1"/>
  <c r="T201" i="1"/>
  <c r="U201" i="1"/>
  <c r="Z157" i="1"/>
  <c r="W157" i="1"/>
  <c r="T157" i="1"/>
  <c r="Y157" i="1"/>
  <c r="V157" i="1"/>
  <c r="U157" i="1"/>
  <c r="W31" i="1"/>
  <c r="Y31" i="1"/>
  <c r="U31" i="1"/>
  <c r="Z31" i="1"/>
  <c r="V31" i="1"/>
  <c r="T31" i="1"/>
  <c r="V384" i="1"/>
  <c r="U384" i="1"/>
  <c r="T384" i="1"/>
  <c r="Z384" i="1"/>
  <c r="Y384" i="1"/>
  <c r="W384" i="1"/>
  <c r="U370" i="1"/>
  <c r="Y370" i="1"/>
  <c r="W370" i="1"/>
  <c r="T370" i="1"/>
  <c r="Z370" i="1"/>
  <c r="V370" i="1"/>
  <c r="V280" i="1"/>
  <c r="Y280" i="1"/>
  <c r="W280" i="1"/>
  <c r="T280" i="1"/>
  <c r="Z280" i="1"/>
  <c r="U280" i="1"/>
  <c r="AC318" i="1"/>
  <c r="AD318" i="1"/>
  <c r="AE318" i="1"/>
  <c r="AE73" i="1"/>
  <c r="AD73" i="1"/>
  <c r="AC73" i="1"/>
  <c r="AE65" i="1"/>
  <c r="AC65" i="1"/>
  <c r="AD65" i="1"/>
  <c r="AC57" i="1"/>
  <c r="AE57" i="1"/>
  <c r="AD57" i="1"/>
  <c r="AC359" i="1"/>
  <c r="AE359" i="1"/>
  <c r="AD359" i="1"/>
  <c r="AD287" i="1"/>
  <c r="AE287" i="1"/>
  <c r="AC287" i="1"/>
  <c r="AD78" i="1"/>
  <c r="AE78" i="1"/>
  <c r="AC78" i="1"/>
  <c r="AE170" i="1"/>
  <c r="AC170" i="1"/>
  <c r="AD170" i="1"/>
  <c r="AE35" i="1"/>
  <c r="AC35" i="1"/>
  <c r="AD35" i="1"/>
  <c r="AE27" i="1"/>
  <c r="AD27" i="1"/>
  <c r="AC27" i="1"/>
  <c r="AE19" i="1"/>
  <c r="AD19" i="1"/>
  <c r="AC19" i="1"/>
  <c r="AC327" i="1"/>
  <c r="AD327" i="1"/>
  <c r="AE327" i="1"/>
  <c r="AC190" i="1"/>
  <c r="AD190" i="1"/>
  <c r="AE190" i="1"/>
  <c r="AE354" i="1"/>
  <c r="AC354" i="1"/>
  <c r="AD354" i="1"/>
  <c r="AC116" i="1"/>
  <c r="AE116" i="1"/>
  <c r="AD116" i="1"/>
  <c r="AE364" i="1"/>
  <c r="AC364" i="1"/>
  <c r="AD364" i="1"/>
  <c r="AD176" i="1"/>
  <c r="AC176" i="1"/>
  <c r="AE176" i="1"/>
  <c r="AC319" i="1"/>
  <c r="AD319" i="1"/>
  <c r="AE319" i="1"/>
  <c r="AC182" i="1"/>
  <c r="AD182" i="1"/>
  <c r="AE182" i="1"/>
  <c r="AD346" i="1"/>
  <c r="AC346" i="1"/>
  <c r="AE346" i="1"/>
  <c r="AD52" i="1"/>
  <c r="AC52" i="1"/>
  <c r="AE52" i="1"/>
  <c r="AC348" i="1"/>
  <c r="AD348" i="1"/>
  <c r="AE348" i="1"/>
  <c r="AC168" i="1"/>
  <c r="AD168" i="1"/>
  <c r="AE168" i="1"/>
  <c r="AC311" i="1"/>
  <c r="AD311" i="1"/>
  <c r="AE311" i="1"/>
  <c r="AC174" i="1"/>
  <c r="AD174" i="1"/>
  <c r="AE174" i="1"/>
  <c r="AE338" i="1"/>
  <c r="AD338" i="1"/>
  <c r="AC338" i="1"/>
  <c r="AC385" i="1"/>
  <c r="AD385" i="1"/>
  <c r="AE385" i="1"/>
  <c r="AD332" i="1"/>
  <c r="AE332" i="1"/>
  <c r="AC332" i="1"/>
  <c r="AD160" i="1"/>
  <c r="AC160" i="1"/>
  <c r="AE160" i="1"/>
  <c r="AC303" i="1"/>
  <c r="AD303" i="1"/>
  <c r="AE303" i="1"/>
  <c r="AD166" i="1"/>
  <c r="AE166" i="1"/>
  <c r="AC166" i="1"/>
  <c r="AC330" i="1"/>
  <c r="AD330" i="1"/>
  <c r="AE330" i="1"/>
  <c r="AC173" i="1"/>
  <c r="AD173" i="1"/>
  <c r="AE173" i="1"/>
  <c r="AE69" i="1"/>
  <c r="AD69" i="1"/>
  <c r="AC69" i="1"/>
  <c r="AC88" i="1"/>
  <c r="AD88" i="1"/>
  <c r="AE88" i="1"/>
  <c r="AD231" i="1"/>
  <c r="AE231" i="1"/>
  <c r="AC231" i="1"/>
  <c r="AC94" i="1"/>
  <c r="AD94" i="1"/>
  <c r="AE94" i="1"/>
  <c r="AC258" i="1"/>
  <c r="AD258" i="1"/>
  <c r="AE258" i="1"/>
  <c r="AC377" i="1"/>
  <c r="AD377" i="1"/>
  <c r="AE377" i="1"/>
  <c r="AC252" i="1"/>
  <c r="AD252" i="1"/>
  <c r="AE252" i="1"/>
  <c r="AE297" i="1"/>
  <c r="AC297" i="1"/>
  <c r="AD297" i="1"/>
  <c r="AE159" i="1"/>
  <c r="AD159" i="1"/>
  <c r="AC159" i="1"/>
  <c r="AD22" i="1"/>
  <c r="AE22" i="1"/>
  <c r="AC22" i="1"/>
  <c r="AD186" i="1"/>
  <c r="AE186" i="1"/>
  <c r="AC186" i="1"/>
  <c r="AC355" i="1"/>
  <c r="AD355" i="1"/>
  <c r="AE355" i="1"/>
  <c r="AE245" i="1"/>
  <c r="AC245" i="1"/>
  <c r="AD245" i="1"/>
  <c r="AE225" i="1"/>
  <c r="AD225" i="1"/>
  <c r="AC225" i="1"/>
  <c r="AE87" i="1"/>
  <c r="AC87" i="1"/>
  <c r="AD87" i="1"/>
  <c r="AE243" i="1"/>
  <c r="AC243" i="1"/>
  <c r="AD243" i="1"/>
  <c r="AD114" i="1"/>
  <c r="AE114" i="1"/>
  <c r="AC114" i="1"/>
  <c r="AD317" i="1"/>
  <c r="AE317" i="1"/>
  <c r="AC317" i="1"/>
  <c r="AD384" i="1"/>
  <c r="AE384" i="1"/>
  <c r="AC384" i="1"/>
  <c r="AD153" i="1"/>
  <c r="AC153" i="1"/>
  <c r="AE153" i="1"/>
  <c r="AE390" i="1"/>
  <c r="AC390" i="1"/>
  <c r="AD390" i="1"/>
  <c r="AE171" i="1"/>
  <c r="AC171" i="1"/>
  <c r="AD171" i="1"/>
  <c r="AD42" i="1"/>
  <c r="AC42" i="1"/>
  <c r="AE42" i="1"/>
  <c r="B41" i="1"/>
  <c r="H41" i="1"/>
  <c r="G41" i="1"/>
  <c r="Z215" i="1"/>
  <c r="T215" i="1"/>
  <c r="U215" i="1"/>
  <c r="Y215" i="1"/>
  <c r="V215" i="1"/>
  <c r="W215" i="1"/>
  <c r="Z80" i="1"/>
  <c r="V80" i="1"/>
  <c r="Y80" i="1"/>
  <c r="W80" i="1"/>
  <c r="T80" i="1"/>
  <c r="U80" i="1"/>
  <c r="Z125" i="1"/>
  <c r="T125" i="1"/>
  <c r="W125" i="1"/>
  <c r="Y125" i="1"/>
  <c r="V125" i="1"/>
  <c r="U125" i="1"/>
  <c r="Z363" i="1"/>
  <c r="W363" i="1"/>
  <c r="U363" i="1"/>
  <c r="Y363" i="1"/>
  <c r="T363" i="1"/>
  <c r="V363" i="1"/>
  <c r="Z49" i="1"/>
  <c r="V49" i="1"/>
  <c r="W49" i="1"/>
  <c r="U49" i="1"/>
  <c r="Y49" i="1"/>
  <c r="T49" i="1"/>
  <c r="Z152" i="1"/>
  <c r="W152" i="1"/>
  <c r="U152" i="1"/>
  <c r="T152" i="1"/>
  <c r="Y152" i="1"/>
  <c r="V152" i="1"/>
  <c r="Z252" i="1"/>
  <c r="W252" i="1"/>
  <c r="V252" i="1"/>
  <c r="Y252" i="1"/>
  <c r="U252" i="1"/>
  <c r="T252" i="1"/>
  <c r="Z220" i="1"/>
  <c r="U220" i="1"/>
  <c r="W220" i="1"/>
  <c r="V220" i="1"/>
  <c r="T220" i="1"/>
  <c r="Y220" i="1"/>
  <c r="Z321" i="1"/>
  <c r="V321" i="1"/>
  <c r="W321" i="1"/>
  <c r="T321" i="1"/>
  <c r="Y321" i="1"/>
  <c r="U321" i="1"/>
  <c r="Z163" i="1"/>
  <c r="U163" i="1"/>
  <c r="V163" i="1"/>
  <c r="W163" i="1"/>
  <c r="T163" i="1"/>
  <c r="Y163" i="1"/>
  <c r="Z150" i="1"/>
  <c r="U150" i="1"/>
  <c r="W150" i="1"/>
  <c r="T150" i="1"/>
  <c r="V150" i="1"/>
  <c r="Y150" i="1"/>
  <c r="Z350" i="1"/>
  <c r="T350" i="1"/>
  <c r="W350" i="1"/>
  <c r="V350" i="1"/>
  <c r="U350" i="1"/>
  <c r="Y350" i="1"/>
  <c r="Z345" i="1"/>
  <c r="T345" i="1"/>
  <c r="U345" i="1"/>
  <c r="Y345" i="1"/>
  <c r="W345" i="1"/>
  <c r="V345" i="1"/>
  <c r="Z173" i="1"/>
  <c r="V173" i="1"/>
  <c r="U173" i="1"/>
  <c r="Y173" i="1"/>
  <c r="W173" i="1"/>
  <c r="T173" i="1"/>
  <c r="Z48" i="1"/>
  <c r="V48" i="1"/>
  <c r="T48" i="1"/>
  <c r="W48" i="1"/>
  <c r="Y48" i="1"/>
  <c r="U48" i="1"/>
  <c r="Z297" i="1"/>
  <c r="T297" i="1"/>
  <c r="Y297" i="1"/>
  <c r="W297" i="1"/>
  <c r="U297" i="1"/>
  <c r="V297" i="1"/>
  <c r="Z305" i="1"/>
  <c r="T305" i="1"/>
  <c r="Y305" i="1"/>
  <c r="W305" i="1"/>
  <c r="U305" i="1"/>
  <c r="V305" i="1"/>
  <c r="Z178" i="1"/>
  <c r="U178" i="1"/>
  <c r="Y178" i="1"/>
  <c r="T178" i="1"/>
  <c r="W178" i="1"/>
  <c r="V178" i="1"/>
  <c r="Z103" i="1"/>
  <c r="V103" i="1"/>
  <c r="T103" i="1"/>
  <c r="U103" i="1"/>
  <c r="W103" i="1"/>
  <c r="Y103" i="1"/>
  <c r="Z388" i="1"/>
  <c r="T388" i="1"/>
  <c r="Y388" i="1"/>
  <c r="W388" i="1"/>
  <c r="V388" i="1"/>
  <c r="U388" i="1"/>
  <c r="Z349" i="1"/>
  <c r="U349" i="1"/>
  <c r="W349" i="1"/>
  <c r="Y349" i="1"/>
  <c r="T349" i="1"/>
  <c r="V349" i="1"/>
  <c r="Z67" i="1"/>
  <c r="T67" i="1"/>
  <c r="V67" i="1"/>
  <c r="Y67" i="1"/>
  <c r="W67" i="1"/>
  <c r="U67" i="1"/>
  <c r="V92" i="1"/>
  <c r="T92" i="1"/>
  <c r="Y92" i="1"/>
  <c r="U92" i="1"/>
  <c r="W92" i="1"/>
  <c r="Z92" i="1"/>
  <c r="U98" i="1"/>
  <c r="T98" i="1"/>
  <c r="Y98" i="1"/>
  <c r="V98" i="1"/>
  <c r="W98" i="1"/>
  <c r="Z98" i="1"/>
  <c r="Z243" i="1"/>
  <c r="V243" i="1"/>
  <c r="W243" i="1"/>
  <c r="Y243" i="1"/>
  <c r="U243" i="1"/>
  <c r="T243" i="1"/>
  <c r="Z334" i="1"/>
  <c r="W334" i="1"/>
  <c r="U334" i="1"/>
  <c r="Y334" i="1"/>
  <c r="V334" i="1"/>
  <c r="T334" i="1"/>
  <c r="Z91" i="1"/>
  <c r="V91" i="1"/>
  <c r="T91" i="1"/>
  <c r="W91" i="1"/>
  <c r="U91" i="1"/>
  <c r="Y91" i="1"/>
  <c r="Z381" i="1"/>
  <c r="U381" i="1"/>
  <c r="V381" i="1"/>
  <c r="W381" i="1"/>
  <c r="Y381" i="1"/>
  <c r="T381" i="1"/>
  <c r="Z30" i="1"/>
  <c r="W30" i="1"/>
  <c r="T30" i="1"/>
  <c r="Y30" i="1"/>
  <c r="U30" i="1"/>
  <c r="V30" i="1"/>
  <c r="Z151" i="1"/>
  <c r="U151" i="1"/>
  <c r="W151" i="1"/>
  <c r="T151" i="1"/>
  <c r="Y151" i="1"/>
  <c r="V151" i="1"/>
  <c r="Z270" i="1"/>
  <c r="W270" i="1"/>
  <c r="V270" i="1"/>
  <c r="Y270" i="1"/>
  <c r="T270" i="1"/>
  <c r="U270" i="1"/>
  <c r="Z40" i="1"/>
  <c r="W40" i="1"/>
  <c r="V40" i="1"/>
  <c r="U40" i="1"/>
  <c r="Y40" i="1"/>
  <c r="T40" i="1"/>
  <c r="Z253" i="1"/>
  <c r="W253" i="1"/>
  <c r="U253" i="1"/>
  <c r="Y253" i="1"/>
  <c r="T253" i="1"/>
  <c r="V253" i="1"/>
  <c r="Z78" i="1"/>
  <c r="W78" i="1"/>
  <c r="U78" i="1"/>
  <c r="Y78" i="1"/>
  <c r="T78" i="1"/>
  <c r="V78" i="1"/>
  <c r="Z273" i="1"/>
  <c r="U273" i="1"/>
  <c r="W273" i="1"/>
  <c r="T273" i="1"/>
  <c r="Y273" i="1"/>
  <c r="V273" i="1"/>
  <c r="Z264" i="1"/>
  <c r="V264" i="1"/>
  <c r="W264" i="1"/>
  <c r="T264" i="1"/>
  <c r="Y264" i="1"/>
  <c r="U264" i="1"/>
  <c r="Z164" i="1"/>
  <c r="U164" i="1"/>
  <c r="W164" i="1"/>
  <c r="Y164" i="1"/>
  <c r="V164" i="1"/>
  <c r="T164" i="1"/>
  <c r="Z295" i="1"/>
  <c r="T295" i="1"/>
  <c r="W295" i="1"/>
  <c r="Y295" i="1"/>
  <c r="V295" i="1"/>
  <c r="U295" i="1"/>
  <c r="Z385" i="1"/>
  <c r="T385" i="1"/>
  <c r="Y385" i="1"/>
  <c r="W385" i="1"/>
  <c r="V385" i="1"/>
  <c r="U385" i="1"/>
  <c r="Z365" i="1"/>
  <c r="U365" i="1"/>
  <c r="Y365" i="1"/>
  <c r="W365" i="1"/>
  <c r="V365" i="1"/>
  <c r="T365" i="1"/>
  <c r="Z221" i="1"/>
  <c r="U221" i="1"/>
  <c r="Y221" i="1"/>
  <c r="W221" i="1"/>
  <c r="V221" i="1"/>
  <c r="T221" i="1"/>
  <c r="Z206" i="1"/>
  <c r="W206" i="1"/>
  <c r="T206" i="1"/>
  <c r="Y206" i="1"/>
  <c r="U206" i="1"/>
  <c r="V206" i="1"/>
  <c r="Z110" i="1"/>
  <c r="W110" i="1"/>
  <c r="U110" i="1"/>
  <c r="Y110" i="1"/>
  <c r="V110" i="1"/>
  <c r="T110" i="1"/>
  <c r="Z27" i="1"/>
  <c r="W27" i="1"/>
  <c r="Y27" i="1"/>
  <c r="V27" i="1"/>
  <c r="U27" i="1"/>
  <c r="T27" i="1"/>
  <c r="Z88" i="1"/>
  <c r="V88" i="1"/>
  <c r="T88" i="1"/>
  <c r="Y88" i="1"/>
  <c r="W88" i="1"/>
  <c r="U88" i="1"/>
  <c r="U197" i="1"/>
  <c r="V197" i="1"/>
  <c r="Z197" i="1"/>
  <c r="Y197" i="1"/>
  <c r="W197" i="1"/>
  <c r="T197" i="1"/>
  <c r="V311" i="1"/>
  <c r="Z311" i="1"/>
  <c r="U311" i="1"/>
  <c r="T311" i="1"/>
  <c r="Y311" i="1"/>
  <c r="W311" i="1"/>
  <c r="Z154" i="1"/>
  <c r="W154" i="1"/>
  <c r="T154" i="1"/>
  <c r="Y154" i="1"/>
  <c r="V154" i="1"/>
  <c r="U154" i="1"/>
  <c r="B31" i="1" l="1"/>
  <c r="H33" i="1"/>
  <c r="G33" i="1"/>
  <c r="B38" i="1"/>
  <c r="G38" i="1"/>
  <c r="B30" i="1"/>
  <c r="H30" i="1"/>
  <c r="G31" i="1"/>
  <c r="B15" i="1" s="1"/>
  <c r="B40" i="1"/>
  <c r="H40" i="1"/>
  <c r="G34" i="1"/>
  <c r="B34" i="1"/>
  <c r="H34" i="1"/>
  <c r="D1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<sst xmlns="http://schemas.openxmlformats.org/spreadsheetml/2006/main" count="424" uniqueCount="245">
  <si>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</si>
  <si>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</si>
  <si>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</si>
  <si>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</si>
  <si>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</si>
  <si>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</si>
  <si>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</si>
  <si>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</si>
  <si>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</si>
  <si>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</si>
  <si>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</si>
  <si>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</si>
  <si>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</si>
  <si>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</si>
  <si>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</si>
  <si>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</si>
  <si>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</si>
  <si>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</si>
  <si>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InitialN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</si>
  <si>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</si>
  <si>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</si>
  <si>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</si>
  <si>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</si>
  <si>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</si>
  <si>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</si>
  <si>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</si>
  <si>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</si>
  <si>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Trigger</t>
  </si>
  <si>
    <t>Efficiency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</si>
  <si>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</si>
  <si>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</si>
  <si>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</si>
  <si>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</si>
  <si>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</si>
  <si>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</si>
  <si>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</si>
  <si>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</si>
  <si>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</si>
  <si>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</si>
  <si>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</si>
  <si>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</si>
  <si>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</si>
  <si>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</si>
  <si>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</si>
  <si>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</si>
  <si>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</si>
  <si>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</si>
  <si>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</si>
  <si>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</si>
  <si>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</si>
  <si>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</si>
  <si>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</si>
  <si>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</si>
  <si>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</si>
  <si>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</si>
  <si>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</si>
  <si>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</si>
  <si>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</si>
  <si>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</si>
  <si>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</si>
  <si>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</si>
  <si>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</si>
  <si>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</si>
  <si>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</si>
  <si>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</si>
  <si>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</si>
  <si>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</si>
  <si>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</si>
  <si>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</si>
  <si>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</si>
  <si>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</si>
  <si>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</si>
  <si>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</si>
  <si>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</si>
  <si>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</si>
  <si>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</si>
  <si>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</si>
  <si>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</si>
  <si>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</si>
  <si>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</si>
  <si>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</si>
  <si>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</si>
  <si>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</si>
  <si>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</si>
  <si>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</si>
  <si>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</si>
  <si>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</si>
  <si>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</si>
  <si>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</si>
  <si>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</si>
  <si>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</si>
  <si>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</si>
  <si>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</si>
  <si>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</si>
  <si>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</si>
  <si>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</si>
  <si>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</si>
  <si>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</si>
  <si>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</si>
  <si>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</si>
  <si>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</si>
  <si>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</si>
  <si>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</si>
  <si>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</si>
  <si>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</si>
  <si>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</si>
  <si>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</si>
  <si>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</si>
  <si>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</si>
  <si>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</si>
  <si>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</si>
  <si>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</si>
  <si>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</si>
  <si>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</si>
  <si>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</si>
  <si>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</si>
  <si>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</si>
  <si>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</si>
  <si>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</si>
  <si>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</si>
  <si>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</si>
  <si>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</si>
  <si>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</si>
  <si>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</si>
  <si>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</si>
  <si>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</si>
  <si>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</si>
  <si>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</si>
  <si>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</si>
  <si>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</si>
  <si>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</si>
  <si>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</si>
  <si>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</si>
  <si>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</si>
  <si>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</si>
  <si>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</si>
  <si>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</si>
  <si>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</si>
  <si>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</si>
  <si>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</si>
  <si>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</si>
  <si>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</si>
  <si>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</si>
  <si>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</si>
  <si>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</si>
  <si>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</si>
  <si>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</si>
  <si>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</si>
  <si>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</si>
  <si>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</si>
  <si>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</si>
  <si>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</si>
  <si>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</si>
  <si>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</si>
  <si>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</si>
  <si>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</si>
  <si>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</si>
  <si>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</si>
  <si>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</si>
  <si>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</si>
  <si>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</si>
  <si>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</si>
  <si>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</si>
  <si>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</si>
  <si>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</si>
  <si>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</si>
  <si>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</si>
  <si>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</si>
  <si>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</si>
  <si>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</si>
  <si>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</si>
  <si>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</si>
  <si>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</si>
  <si>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</si>
  <si>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</si>
  <si>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</si>
  <si>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</si>
  <si>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</si>
  <si>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</si>
  <si>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</si>
  <si>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</si>
  <si>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</si>
  <si>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</si>
  <si>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</si>
  <si>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</si>
  <si>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</si>
  <si>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</si>
  <si>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</si>
  <si>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</si>
  <si>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</si>
  <si>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</si>
  <si>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</si>
  <si>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</si>
  <si>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</si>
  <si>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</si>
  <si>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</si>
  <si>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</si>
  <si>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</si>
  <si>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</si>
  <si>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</si>
  <si>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</si>
  <si>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</si>
  <si>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</si>
  <si>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</si>
  <si>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</si>
  <si>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</si>
  <si>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</si>
  <si>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</si>
  <si>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</si>
  <si>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</si>
  <si>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</si>
  <si>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</si>
  <si>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</si>
  <si>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</si>
  <si>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AWC</t>
  </si>
  <si>
    <t>SWC</t>
  </si>
  <si>
    <t>Drainage</t>
  </si>
  <si>
    <t>Very Wet</t>
  </si>
  <si>
    <t>Very Dry</t>
  </si>
  <si>
    <t>Green Cover</t>
  </si>
  <si>
    <t>PMN</t>
  </si>
  <si>
    <t>SoilOrder</t>
  </si>
  <si>
    <t>SampleDepth</t>
  </si>
  <si>
    <t>BulkDensity</t>
  </si>
  <si>
    <t>PMNtype</t>
  </si>
  <si>
    <t>Sample Depth (cm)</t>
  </si>
  <si>
    <t>Soil Order</t>
  </si>
  <si>
    <t>PMN result type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</si>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</sst>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8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0" fontId="0" fillId="3" borderId="0" xfId="0" applyFill="1" applyAlignment="1">
      <alignment horizontal="left"/>
    </xf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54.878448981522396</c:v>
                </c:pt>
                <c:pt idx="1">
                  <c:v>30.854706948692836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2.1395394063631921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28.63071070687705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23.999999999999993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105.63185466866712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47.157077977083432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1.9949404996807516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45139</c:v>
                </c:pt>
                <c:pt idx="1">
                  <c:v>45140</c:v>
                </c:pt>
                <c:pt idx="2">
                  <c:v>45141</c:v>
                </c:pt>
                <c:pt idx="3">
                  <c:v>45142</c:v>
                </c:pt>
                <c:pt idx="4">
                  <c:v>45143</c:v>
                </c:pt>
                <c:pt idx="5">
                  <c:v>45144</c:v>
                </c:pt>
                <c:pt idx="6">
                  <c:v>45145</c:v>
                </c:pt>
                <c:pt idx="7">
                  <c:v>45146</c:v>
                </c:pt>
                <c:pt idx="8">
                  <c:v>45147</c:v>
                </c:pt>
                <c:pt idx="9">
                  <c:v>45148</c:v>
                </c:pt>
                <c:pt idx="10">
                  <c:v>45149</c:v>
                </c:pt>
                <c:pt idx="11">
                  <c:v>45150</c:v>
                </c:pt>
                <c:pt idx="12">
                  <c:v>45151</c:v>
                </c:pt>
                <c:pt idx="13">
                  <c:v>45152</c:v>
                </c:pt>
                <c:pt idx="14">
                  <c:v>45153</c:v>
                </c:pt>
                <c:pt idx="15">
                  <c:v>45154</c:v>
                </c:pt>
                <c:pt idx="16">
                  <c:v>45155</c:v>
                </c:pt>
                <c:pt idx="17">
                  <c:v>45156</c:v>
                </c:pt>
                <c:pt idx="18">
                  <c:v>45157</c:v>
                </c:pt>
                <c:pt idx="19">
                  <c:v>45158</c:v>
                </c:pt>
                <c:pt idx="20">
                  <c:v>45159</c:v>
                </c:pt>
                <c:pt idx="21">
                  <c:v>45160</c:v>
                </c:pt>
                <c:pt idx="22">
                  <c:v>45161</c:v>
                </c:pt>
                <c:pt idx="23">
                  <c:v>45162</c:v>
                </c:pt>
                <c:pt idx="24">
                  <c:v>45163</c:v>
                </c:pt>
                <c:pt idx="25">
                  <c:v>45164</c:v>
                </c:pt>
                <c:pt idx="26">
                  <c:v>45165</c:v>
                </c:pt>
                <c:pt idx="27">
                  <c:v>45166</c:v>
                </c:pt>
                <c:pt idx="28">
                  <c:v>45167</c:v>
                </c:pt>
                <c:pt idx="29">
                  <c:v>45168</c:v>
                </c:pt>
                <c:pt idx="30">
                  <c:v>45169</c:v>
                </c:pt>
                <c:pt idx="31">
                  <c:v>45170</c:v>
                </c:pt>
                <c:pt idx="32">
                  <c:v>45171</c:v>
                </c:pt>
                <c:pt idx="33">
                  <c:v>45172</c:v>
                </c:pt>
                <c:pt idx="34">
                  <c:v>45173</c:v>
                </c:pt>
                <c:pt idx="35">
                  <c:v>45174</c:v>
                </c:pt>
                <c:pt idx="36">
                  <c:v>45175</c:v>
                </c:pt>
                <c:pt idx="37">
                  <c:v>45176</c:v>
                </c:pt>
                <c:pt idx="38">
                  <c:v>45177</c:v>
                </c:pt>
                <c:pt idx="39">
                  <c:v>45178</c:v>
                </c:pt>
                <c:pt idx="40">
                  <c:v>45179</c:v>
                </c:pt>
                <c:pt idx="41">
                  <c:v>45180</c:v>
                </c:pt>
                <c:pt idx="42">
                  <c:v>45181</c:v>
                </c:pt>
                <c:pt idx="43">
                  <c:v>45182</c:v>
                </c:pt>
                <c:pt idx="44">
                  <c:v>45183</c:v>
                </c:pt>
                <c:pt idx="45">
                  <c:v>45184</c:v>
                </c:pt>
                <c:pt idx="46">
                  <c:v>45185</c:v>
                </c:pt>
                <c:pt idx="47">
                  <c:v>45186</c:v>
                </c:pt>
                <c:pt idx="48">
                  <c:v>45187</c:v>
                </c:pt>
                <c:pt idx="49">
                  <c:v>45188</c:v>
                </c:pt>
                <c:pt idx="50">
                  <c:v>45189</c:v>
                </c:pt>
                <c:pt idx="51">
                  <c:v>45190</c:v>
                </c:pt>
                <c:pt idx="52">
                  <c:v>45191</c:v>
                </c:pt>
                <c:pt idx="53">
                  <c:v>45192</c:v>
                </c:pt>
                <c:pt idx="54">
                  <c:v>45193</c:v>
                </c:pt>
                <c:pt idx="55">
                  <c:v>45194</c:v>
                </c:pt>
                <c:pt idx="56">
                  <c:v>45195</c:v>
                </c:pt>
                <c:pt idx="57">
                  <c:v>45196</c:v>
                </c:pt>
                <c:pt idx="58">
                  <c:v>45197</c:v>
                </c:pt>
                <c:pt idx="59">
                  <c:v>45198</c:v>
                </c:pt>
                <c:pt idx="60">
                  <c:v>45199</c:v>
                </c:pt>
                <c:pt idx="61">
                  <c:v>45200</c:v>
                </c:pt>
                <c:pt idx="62">
                  <c:v>45201</c:v>
                </c:pt>
                <c:pt idx="63">
                  <c:v>45202</c:v>
                </c:pt>
                <c:pt idx="64">
                  <c:v>45203</c:v>
                </c:pt>
                <c:pt idx="65">
                  <c:v>45204</c:v>
                </c:pt>
                <c:pt idx="66">
                  <c:v>45205</c:v>
                </c:pt>
                <c:pt idx="67">
                  <c:v>45206</c:v>
                </c:pt>
                <c:pt idx="68">
                  <c:v>45207</c:v>
                </c:pt>
                <c:pt idx="69">
                  <c:v>45208</c:v>
                </c:pt>
                <c:pt idx="70">
                  <c:v>45209</c:v>
                </c:pt>
                <c:pt idx="71">
                  <c:v>45210</c:v>
                </c:pt>
                <c:pt idx="72">
                  <c:v>45211</c:v>
                </c:pt>
                <c:pt idx="73">
                  <c:v>45212</c:v>
                </c:pt>
                <c:pt idx="74">
                  <c:v>45213</c:v>
                </c:pt>
                <c:pt idx="75">
                  <c:v>45214</c:v>
                </c:pt>
                <c:pt idx="76">
                  <c:v>45215</c:v>
                </c:pt>
                <c:pt idx="77">
                  <c:v>45216</c:v>
                </c:pt>
                <c:pt idx="78">
                  <c:v>45217</c:v>
                </c:pt>
                <c:pt idx="79">
                  <c:v>45218</c:v>
                </c:pt>
                <c:pt idx="80">
                  <c:v>45219</c:v>
                </c:pt>
                <c:pt idx="81">
                  <c:v>45220</c:v>
                </c:pt>
                <c:pt idx="82">
                  <c:v>45221</c:v>
                </c:pt>
                <c:pt idx="83">
                  <c:v>45222</c:v>
                </c:pt>
                <c:pt idx="84">
                  <c:v>45223</c:v>
                </c:pt>
                <c:pt idx="85">
                  <c:v>45224</c:v>
                </c:pt>
                <c:pt idx="86">
                  <c:v>45225</c:v>
                </c:pt>
                <c:pt idx="87">
                  <c:v>45226</c:v>
                </c:pt>
                <c:pt idx="88">
                  <c:v>45227</c:v>
                </c:pt>
                <c:pt idx="89">
                  <c:v>45228</c:v>
                </c:pt>
                <c:pt idx="90">
                  <c:v>45229</c:v>
                </c:pt>
                <c:pt idx="91">
                  <c:v>45230</c:v>
                </c:pt>
                <c:pt idx="92">
                  <c:v>45231</c:v>
                </c:pt>
                <c:pt idx="93">
                  <c:v>45232</c:v>
                </c:pt>
                <c:pt idx="94">
                  <c:v>45233</c:v>
                </c:pt>
                <c:pt idx="95">
                  <c:v>45234</c:v>
                </c:pt>
                <c:pt idx="96">
                  <c:v>45235</c:v>
                </c:pt>
                <c:pt idx="97">
                  <c:v>45236</c:v>
                </c:pt>
                <c:pt idx="98">
                  <c:v>45237</c:v>
                </c:pt>
                <c:pt idx="99">
                  <c:v>45238</c:v>
                </c:pt>
                <c:pt idx="100">
                  <c:v>45239</c:v>
                </c:pt>
                <c:pt idx="101">
                  <c:v>45240</c:v>
                </c:pt>
                <c:pt idx="102">
                  <c:v>45241</c:v>
                </c:pt>
                <c:pt idx="103">
                  <c:v>45242</c:v>
                </c:pt>
                <c:pt idx="104">
                  <c:v>45243</c:v>
                </c:pt>
                <c:pt idx="105">
                  <c:v>45244</c:v>
                </c:pt>
                <c:pt idx="106">
                  <c:v>45245</c:v>
                </c:pt>
                <c:pt idx="107">
                  <c:v>45246</c:v>
                </c:pt>
                <c:pt idx="108">
                  <c:v>45247</c:v>
                </c:pt>
                <c:pt idx="109">
                  <c:v>45248</c:v>
                </c:pt>
                <c:pt idx="110">
                  <c:v>45249</c:v>
                </c:pt>
                <c:pt idx="111">
                  <c:v>45250</c:v>
                </c:pt>
                <c:pt idx="112">
                  <c:v>45251</c:v>
                </c:pt>
                <c:pt idx="113">
                  <c:v>45252</c:v>
                </c:pt>
                <c:pt idx="114">
                  <c:v>45253</c:v>
                </c:pt>
                <c:pt idx="115">
                  <c:v>45254</c:v>
                </c:pt>
                <c:pt idx="116">
                  <c:v>45255</c:v>
                </c:pt>
                <c:pt idx="117">
                  <c:v>45256</c:v>
                </c:pt>
                <c:pt idx="118">
                  <c:v>45257</c:v>
                </c:pt>
                <c:pt idx="119">
                  <c:v>45258</c:v>
                </c:pt>
                <c:pt idx="120">
                  <c:v>45259</c:v>
                </c:pt>
                <c:pt idx="121">
                  <c:v>45260</c:v>
                </c:pt>
                <c:pt idx="122">
                  <c:v>45261</c:v>
                </c:pt>
                <c:pt idx="123">
                  <c:v>45262</c:v>
                </c:pt>
                <c:pt idx="124">
                  <c:v>45263</c:v>
                </c:pt>
                <c:pt idx="125">
                  <c:v>45264</c:v>
                </c:pt>
                <c:pt idx="126">
                  <c:v>45265</c:v>
                </c:pt>
                <c:pt idx="127">
                  <c:v>45266</c:v>
                </c:pt>
                <c:pt idx="128">
                  <c:v>45267</c:v>
                </c:pt>
                <c:pt idx="129">
                  <c:v>45268</c:v>
                </c:pt>
                <c:pt idx="130">
                  <c:v>45269</c:v>
                </c:pt>
                <c:pt idx="131">
                  <c:v>45270</c:v>
                </c:pt>
                <c:pt idx="132">
                  <c:v>45271</c:v>
                </c:pt>
                <c:pt idx="133">
                  <c:v>45272</c:v>
                </c:pt>
                <c:pt idx="134">
                  <c:v>45273</c:v>
                </c:pt>
                <c:pt idx="135">
                  <c:v>45274</c:v>
                </c:pt>
                <c:pt idx="136">
                  <c:v>45275</c:v>
                </c:pt>
                <c:pt idx="137">
                  <c:v>45276</c:v>
                </c:pt>
                <c:pt idx="138">
                  <c:v>45277</c:v>
                </c:pt>
                <c:pt idx="139">
                  <c:v>45278</c:v>
                </c:pt>
                <c:pt idx="140">
                  <c:v>45279</c:v>
                </c:pt>
                <c:pt idx="141">
                  <c:v>45280</c:v>
                </c:pt>
                <c:pt idx="142">
                  <c:v>45281</c:v>
                </c:pt>
                <c:pt idx="143">
                  <c:v>45282</c:v>
                </c:pt>
                <c:pt idx="144">
                  <c:v>45283</c:v>
                </c:pt>
                <c:pt idx="145">
                  <c:v>45284</c:v>
                </c:pt>
                <c:pt idx="146">
                  <c:v>45285</c:v>
                </c:pt>
                <c:pt idx="147">
                  <c:v>45286</c:v>
                </c:pt>
                <c:pt idx="148">
                  <c:v>45287</c:v>
                </c:pt>
                <c:pt idx="149">
                  <c:v>45288</c:v>
                </c:pt>
                <c:pt idx="150">
                  <c:v>45289</c:v>
                </c:pt>
                <c:pt idx="151">
                  <c:v>45290</c:v>
                </c:pt>
                <c:pt idx="152">
                  <c:v>45291</c:v>
                </c:pt>
                <c:pt idx="153">
                  <c:v>45292</c:v>
                </c:pt>
                <c:pt idx="154">
                  <c:v>45293</c:v>
                </c:pt>
                <c:pt idx="155">
                  <c:v>45294</c:v>
                </c:pt>
                <c:pt idx="156">
                  <c:v>45295</c:v>
                </c:pt>
                <c:pt idx="157">
                  <c:v>45296</c:v>
                </c:pt>
                <c:pt idx="158">
                  <c:v>45297</c:v>
                </c:pt>
                <c:pt idx="159">
                  <c:v>45298</c:v>
                </c:pt>
                <c:pt idx="160">
                  <c:v>45299</c:v>
                </c:pt>
                <c:pt idx="161">
                  <c:v>45300</c:v>
                </c:pt>
                <c:pt idx="162">
                  <c:v>45301</c:v>
                </c:pt>
                <c:pt idx="163">
                  <c:v>45302</c:v>
                </c:pt>
                <c:pt idx="164">
                  <c:v>45303</c:v>
                </c:pt>
                <c:pt idx="165">
                  <c:v>45304</c:v>
                </c:pt>
                <c:pt idx="166">
                  <c:v>45305</c:v>
                </c:pt>
                <c:pt idx="167">
                  <c:v>45306</c:v>
                </c:pt>
                <c:pt idx="168">
                  <c:v>45307</c:v>
                </c:pt>
                <c:pt idx="169">
                  <c:v>45308</c:v>
                </c:pt>
                <c:pt idx="170">
                  <c:v>45309</c:v>
                </c:pt>
                <c:pt idx="171">
                  <c:v>45310</c:v>
                </c:pt>
                <c:pt idx="172">
                  <c:v>45311</c:v>
                </c:pt>
                <c:pt idx="173">
                  <c:v>45312</c:v>
                </c:pt>
                <c:pt idx="174">
                  <c:v>45313</c:v>
                </c:pt>
                <c:pt idx="175">
                  <c:v>45314</c:v>
                </c:pt>
                <c:pt idx="176">
                  <c:v>45315</c:v>
                </c:pt>
                <c:pt idx="177">
                  <c:v>45316</c:v>
                </c:pt>
                <c:pt idx="178">
                  <c:v>45317</c:v>
                </c:pt>
                <c:pt idx="179">
                  <c:v>45318</c:v>
                </c:pt>
                <c:pt idx="180">
                  <c:v>45319</c:v>
                </c:pt>
                <c:pt idx="181">
                  <c:v>45320</c:v>
                </c:pt>
                <c:pt idx="182">
                  <c:v>45321</c:v>
                </c:pt>
                <c:pt idx="183">
                  <c:v>45322</c:v>
                </c:pt>
                <c:pt idx="184">
                  <c:v>45323</c:v>
                </c:pt>
                <c:pt idx="185">
                  <c:v>45324</c:v>
                </c:pt>
                <c:pt idx="186">
                  <c:v>45325</c:v>
                </c:pt>
                <c:pt idx="187">
                  <c:v>45326</c:v>
                </c:pt>
                <c:pt idx="188">
                  <c:v>45327</c:v>
                </c:pt>
                <c:pt idx="189">
                  <c:v>45328</c:v>
                </c:pt>
                <c:pt idx="190">
                  <c:v>45329</c:v>
                </c:pt>
                <c:pt idx="191">
                  <c:v>45330</c:v>
                </c:pt>
                <c:pt idx="192">
                  <c:v>45331</c:v>
                </c:pt>
                <c:pt idx="193">
                  <c:v>45332</c:v>
                </c:pt>
                <c:pt idx="194">
                  <c:v>45333</c:v>
                </c:pt>
                <c:pt idx="195">
                  <c:v>45334</c:v>
                </c:pt>
                <c:pt idx="196">
                  <c:v>45335</c:v>
                </c:pt>
                <c:pt idx="197">
                  <c:v>45336</c:v>
                </c:pt>
                <c:pt idx="198">
                  <c:v>45337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2.91631595309953</c:v>
                </c:pt>
                <c:pt idx="1">
                  <c:v>3.0146442202364399</c:v>
                </c:pt>
                <c:pt idx="2">
                  <c:v>3.11143756173783</c:v>
                </c:pt>
                <c:pt idx="3">
                  <c:v>3.2120683722339098</c:v>
                </c:pt>
                <c:pt idx="4">
                  <c:v>3.3116152867742201</c:v>
                </c:pt>
                <c:pt idx="5">
                  <c:v>3.4153332097149001</c:v>
                </c:pt>
                <c:pt idx="6">
                  <c:v>3.52341515483206</c:v>
                </c:pt>
                <c:pt idx="7">
                  <c:v>3.6288948389806301</c:v>
                </c:pt>
                <c:pt idx="8">
                  <c:v>3.7254477598006899</c:v>
                </c:pt>
                <c:pt idx="9">
                  <c:v>3.81751890277812</c:v>
                </c:pt>
                <c:pt idx="10">
                  <c:v>3.9233832601816401</c:v>
                </c:pt>
                <c:pt idx="11">
                  <c:v>4.0372787074109304</c:v>
                </c:pt>
                <c:pt idx="12">
                  <c:v>4.1581554161183396</c:v>
                </c:pt>
                <c:pt idx="13">
                  <c:v>4.28631652958794</c:v>
                </c:pt>
                <c:pt idx="14">
                  <c:v>4.4136359779072301</c:v>
                </c:pt>
                <c:pt idx="15">
                  <c:v>4.5483215185409902</c:v>
                </c:pt>
                <c:pt idx="16">
                  <c:v>4.6857822346538303</c:v>
                </c:pt>
                <c:pt idx="17">
                  <c:v>4.8155880061585901</c:v>
                </c:pt>
                <c:pt idx="18">
                  <c:v>4.95882033771242</c:v>
                </c:pt>
                <c:pt idx="19">
                  <c:v>5.1026254249512197</c:v>
                </c:pt>
                <c:pt idx="20">
                  <c:v>5.2587597718644199</c:v>
                </c:pt>
                <c:pt idx="21">
                  <c:v>5.4153299246724798</c:v>
                </c:pt>
                <c:pt idx="22">
                  <c:v>5.5773912227616798</c:v>
                </c:pt>
                <c:pt idx="23">
                  <c:v>5.7495641202410201</c:v>
                </c:pt>
                <c:pt idx="24">
                  <c:v>5.9238125430299604</c:v>
                </c:pt>
                <c:pt idx="25">
                  <c:v>6.12178986202884</c:v>
                </c:pt>
                <c:pt idx="26">
                  <c:v>6.3268328947338599</c:v>
                </c:pt>
                <c:pt idx="27">
                  <c:v>6.5450287301893599</c:v>
                </c:pt>
                <c:pt idx="28">
                  <c:v>6.7599999934369199</c:v>
                </c:pt>
                <c:pt idx="29">
                  <c:v>6.9932404817410401</c:v>
                </c:pt>
                <c:pt idx="30">
                  <c:v>7.2241498438490801</c:v>
                </c:pt>
                <c:pt idx="31">
                  <c:v>7.4499383817340501</c:v>
                </c:pt>
                <c:pt idx="32">
                  <c:v>7.6717463768912904</c:v>
                </c:pt>
                <c:pt idx="33">
                  <c:v>7.9020034391471397</c:v>
                </c:pt>
                <c:pt idx="34">
                  <c:v>8.1462853734105405</c:v>
                </c:pt>
                <c:pt idx="35">
                  <c:v>8.3905125271912002</c:v>
                </c:pt>
                <c:pt idx="36">
                  <c:v>8.6561920464231594</c:v>
                </c:pt>
                <c:pt idx="37">
                  <c:v>8.9415393444262907</c:v>
                </c:pt>
                <c:pt idx="38">
                  <c:v>9.2303941247249703</c:v>
                </c:pt>
                <c:pt idx="39">
                  <c:v>9.5004196097064995</c:v>
                </c:pt>
                <c:pt idx="40">
                  <c:v>9.7917236785062105</c:v>
                </c:pt>
                <c:pt idx="41">
                  <c:v>10.108053843131801</c:v>
                </c:pt>
                <c:pt idx="42">
                  <c:v>10.428054509431099</c:v>
                </c:pt>
                <c:pt idx="43">
                  <c:v>10.7818420483281</c:v>
                </c:pt>
                <c:pt idx="44">
                  <c:v>11.142866213069899</c:v>
                </c:pt>
                <c:pt idx="45">
                  <c:v>11.5242489350711</c:v>
                </c:pt>
                <c:pt idx="46">
                  <c:v>11.9148374968747</c:v>
                </c:pt>
                <c:pt idx="47">
                  <c:v>12.3509271915315</c:v>
                </c:pt>
                <c:pt idx="48">
                  <c:v>12.7692575094033</c:v>
                </c:pt>
                <c:pt idx="49">
                  <c:v>13.167878088165001</c:v>
                </c:pt>
                <c:pt idx="50">
                  <c:v>13.5731554962784</c:v>
                </c:pt>
                <c:pt idx="51">
                  <c:v>13.9678592820585</c:v>
                </c:pt>
                <c:pt idx="52">
                  <c:v>14.385738118249</c:v>
                </c:pt>
                <c:pt idx="53">
                  <c:v>14.849276685026</c:v>
                </c:pt>
                <c:pt idx="54">
                  <c:v>15.3563188171936</c:v>
                </c:pt>
                <c:pt idx="55">
                  <c:v>15.899999523232101</c:v>
                </c:pt>
                <c:pt idx="56">
                  <c:v>16.440726085644101</c:v>
                </c:pt>
                <c:pt idx="57">
                  <c:v>17.0153627345533</c:v>
                </c:pt>
                <c:pt idx="58">
                  <c:v>17.621285902956298</c:v>
                </c:pt>
                <c:pt idx="59">
                  <c:v>18.262483062605298</c:v>
                </c:pt>
                <c:pt idx="60">
                  <c:v>18.916987277450399</c:v>
                </c:pt>
                <c:pt idx="61">
                  <c:v>19.544053106673498</c:v>
                </c:pt>
                <c:pt idx="62">
                  <c:v>20.209451382862301</c:v>
                </c:pt>
                <c:pt idx="63">
                  <c:v>20.947563913165201</c:v>
                </c:pt>
                <c:pt idx="64">
                  <c:v>21.6492482370479</c:v>
                </c:pt>
                <c:pt idx="65">
                  <c:v>22.367257257281199</c:v>
                </c:pt>
                <c:pt idx="66">
                  <c:v>23.101085505639698</c:v>
                </c:pt>
                <c:pt idx="67">
                  <c:v>23.8740887943265</c:v>
                </c:pt>
                <c:pt idx="68">
                  <c:v>24.650786765624101</c:v>
                </c:pt>
                <c:pt idx="69">
                  <c:v>25.4246911451493</c:v>
                </c:pt>
                <c:pt idx="70">
                  <c:v>26.203277391386401</c:v>
                </c:pt>
                <c:pt idx="71">
                  <c:v>27.082925471237001</c:v>
                </c:pt>
                <c:pt idx="72">
                  <c:v>27.993120557068</c:v>
                </c:pt>
                <c:pt idx="73">
                  <c:v>28.8944893406053</c:v>
                </c:pt>
                <c:pt idx="74">
                  <c:v>29.866680178871199</c:v>
                </c:pt>
                <c:pt idx="75">
                  <c:v>30.8567790133784</c:v>
                </c:pt>
                <c:pt idx="76">
                  <c:v>31.841433537067601</c:v>
                </c:pt>
                <c:pt idx="77">
                  <c:v>32.905981795769598</c:v>
                </c:pt>
                <c:pt idx="78">
                  <c:v>33.975570059046902</c:v>
                </c:pt>
                <c:pt idx="79">
                  <c:v>35.019082564528297</c:v>
                </c:pt>
                <c:pt idx="80">
                  <c:v>36.1306953615249</c:v>
                </c:pt>
                <c:pt idx="81">
                  <c:v>37.250949047220097</c:v>
                </c:pt>
                <c:pt idx="82">
                  <c:v>38.435007974267798</c:v>
                </c:pt>
                <c:pt idx="83">
                  <c:v>39.578503178314797</c:v>
                </c:pt>
                <c:pt idx="84">
                  <c:v>40.748335677772801</c:v>
                </c:pt>
                <c:pt idx="85">
                  <c:v>41.998018184433903</c:v>
                </c:pt>
                <c:pt idx="86">
                  <c:v>43.363053495176601</c:v>
                </c:pt>
                <c:pt idx="87">
                  <c:v>44.768370347832899</c:v>
                </c:pt>
                <c:pt idx="88">
                  <c:v>46.151324791925298</c:v>
                </c:pt>
                <c:pt idx="89">
                  <c:v>47.615751847086699</c:v>
                </c:pt>
                <c:pt idx="90">
                  <c:v>49.007437663843497</c:v>
                </c:pt>
                <c:pt idx="91">
                  <c:v>50.374200937150597</c:v>
                </c:pt>
                <c:pt idx="92">
                  <c:v>51.745591982519201</c:v>
                </c:pt>
                <c:pt idx="93">
                  <c:v>53.2291867417334</c:v>
                </c:pt>
                <c:pt idx="94">
                  <c:v>54.8512371223485</c:v>
                </c:pt>
                <c:pt idx="95">
                  <c:v>56.441016030772701</c:v>
                </c:pt>
                <c:pt idx="96">
                  <c:v>57.985538749121098</c:v>
                </c:pt>
                <c:pt idx="97">
                  <c:v>59.527109369196502</c:v>
                </c:pt>
                <c:pt idx="98">
                  <c:v>61.1166598607522</c:v>
                </c:pt>
                <c:pt idx="99">
                  <c:v>62.775906347883499</c:v>
                </c:pt>
                <c:pt idx="100">
                  <c:v>64.484755979069902</c:v>
                </c:pt>
                <c:pt idx="101">
                  <c:v>66.147392793718794</c:v>
                </c:pt>
                <c:pt idx="102">
                  <c:v>67.849624290689604</c:v>
                </c:pt>
                <c:pt idx="103">
                  <c:v>69.459154531493795</c:v>
                </c:pt>
                <c:pt idx="104">
                  <c:v>71.012836017844606</c:v>
                </c:pt>
                <c:pt idx="105">
                  <c:v>72.577638746508796</c:v>
                </c:pt>
                <c:pt idx="106">
                  <c:v>74.255873538096097</c:v>
                </c:pt>
                <c:pt idx="107">
                  <c:v>76.098496828829198</c:v>
                </c:pt>
                <c:pt idx="108">
                  <c:v>77.968797007658495</c:v>
                </c:pt>
                <c:pt idx="109">
                  <c:v>79.777632880308204</c:v>
                </c:pt>
                <c:pt idx="110">
                  <c:v>81.521559992817302</c:v>
                </c:pt>
                <c:pt idx="111">
                  <c:v>83.284838978693998</c:v>
                </c:pt>
                <c:pt idx="112">
                  <c:v>85.053113090370502</c:v>
                </c:pt>
                <c:pt idx="113">
                  <c:v>86.826047813333801</c:v>
                </c:pt>
                <c:pt idx="114">
                  <c:v>88.661200556772798</c:v>
                </c:pt>
                <c:pt idx="115">
                  <c:v>90.486128848132196</c:v>
                </c:pt>
                <c:pt idx="116">
                  <c:v>92.411570818590306</c:v>
                </c:pt>
                <c:pt idx="117">
                  <c:v>94.335876413135296</c:v>
                </c:pt>
                <c:pt idx="118">
                  <c:v>96.280113490454497</c:v>
                </c:pt>
                <c:pt idx="119">
                  <c:v>98.177165477596901</c:v>
                </c:pt>
                <c:pt idx="120">
                  <c:v>99.929847837461594</c:v>
                </c:pt>
                <c:pt idx="121">
                  <c:v>101.7834594369</c:v>
                </c:pt>
                <c:pt idx="122">
                  <c:v>103.583254405902</c:v>
                </c:pt>
                <c:pt idx="123">
                  <c:v>105.382673142752</c:v>
                </c:pt>
                <c:pt idx="124">
                  <c:v>107.141578468299</c:v>
                </c:pt>
                <c:pt idx="125">
                  <c:v>108.924196951909</c:v>
                </c:pt>
                <c:pt idx="126">
                  <c:v>110.654986857498</c:v>
                </c:pt>
                <c:pt idx="127">
                  <c:v>112.350251460706</c:v>
                </c:pt>
                <c:pt idx="128">
                  <c:v>113.95030066958699</c:v>
                </c:pt>
                <c:pt idx="129">
                  <c:v>115.45377358615499</c:v>
                </c:pt>
                <c:pt idx="130">
                  <c:v>116.985329087842</c:v>
                </c:pt>
                <c:pt idx="131">
                  <c:v>118.5541043093</c:v>
                </c:pt>
                <c:pt idx="132">
                  <c:v>120.15347605467799</c:v>
                </c:pt>
                <c:pt idx="133">
                  <c:v>121.660261312633</c:v>
                </c:pt>
                <c:pt idx="134">
                  <c:v>123.11252595418</c:v>
                </c:pt>
                <c:pt idx="135">
                  <c:v>124.464161820496</c:v>
                </c:pt>
                <c:pt idx="136">
                  <c:v>125.740617526454</c:v>
                </c:pt>
                <c:pt idx="137">
                  <c:v>127.057331998045</c:v>
                </c:pt>
                <c:pt idx="138">
                  <c:v>128.33118692139001</c:v>
                </c:pt>
                <c:pt idx="139">
                  <c:v>129.59317021726201</c:v>
                </c:pt>
                <c:pt idx="140">
                  <c:v>130.778417340967</c:v>
                </c:pt>
                <c:pt idx="141">
                  <c:v>131.87102442307</c:v>
                </c:pt>
                <c:pt idx="142">
                  <c:v>132.93375168323999</c:v>
                </c:pt>
                <c:pt idx="143">
                  <c:v>133.96378351515099</c:v>
                </c:pt>
                <c:pt idx="144">
                  <c:v>134.997728065346</c:v>
                </c:pt>
                <c:pt idx="145">
                  <c:v>135.996119483737</c:v>
                </c:pt>
                <c:pt idx="146">
                  <c:v>136.98465627881899</c:v>
                </c:pt>
                <c:pt idx="147">
                  <c:v>137.96092259500199</c:v>
                </c:pt>
                <c:pt idx="148">
                  <c:v>138.87623554028499</c:v>
                </c:pt>
                <c:pt idx="149">
                  <c:v>139.72729397401801</c:v>
                </c:pt>
                <c:pt idx="150">
                  <c:v>140.54737394611499</c:v>
                </c:pt>
                <c:pt idx="151">
                  <c:v>141.33058387766701</c:v>
                </c:pt>
                <c:pt idx="152">
                  <c:v>142.064636782745</c:v>
                </c:pt>
                <c:pt idx="153">
                  <c:v>142.817960179827</c:v>
                </c:pt>
                <c:pt idx="154">
                  <c:v>143.55821020104401</c:v>
                </c:pt>
                <c:pt idx="155">
                  <c:v>144.26460124382999</c:v>
                </c:pt>
                <c:pt idx="156">
                  <c:v>144.88392205986901</c:v>
                </c:pt>
                <c:pt idx="157">
                  <c:v>145.455626341792</c:v>
                </c:pt>
                <c:pt idx="158">
                  <c:v>146.04176377666801</c:v>
                </c:pt>
                <c:pt idx="159">
                  <c:v>146.58087155285401</c:v>
                </c:pt>
                <c:pt idx="160">
                  <c:v>147.107867967842</c:v>
                </c:pt>
                <c:pt idx="161">
                  <c:v>147.59825982695901</c:v>
                </c:pt>
                <c:pt idx="162">
                  <c:v>148.081387314267</c:v>
                </c:pt>
                <c:pt idx="163">
                  <c:v>148.54232226533901</c:v>
                </c:pt>
                <c:pt idx="164">
                  <c:v>148.99326133043701</c:v>
                </c:pt>
                <c:pt idx="165">
                  <c:v>149.41462352163401</c:v>
                </c:pt>
                <c:pt idx="166">
                  <c:v>149.801630786586</c:v>
                </c:pt>
                <c:pt idx="167">
                  <c:v>150.17475272177899</c:v>
                </c:pt>
                <c:pt idx="168">
                  <c:v>150.53817580250001</c:v>
                </c:pt>
                <c:pt idx="169">
                  <c:v>150.8885723109</c:v>
                </c:pt>
                <c:pt idx="170">
                  <c:v>151.21502488263801</c:v>
                </c:pt>
                <c:pt idx="171">
                  <c:v>151.53299311683099</c:v>
                </c:pt>
                <c:pt idx="172">
                  <c:v>151.828784951785</c:v>
                </c:pt>
                <c:pt idx="173">
                  <c:v>152.10230827988499</c:v>
                </c:pt>
                <c:pt idx="174">
                  <c:v>152.35703465807501</c:v>
                </c:pt>
                <c:pt idx="175">
                  <c:v>152.60092524646501</c:v>
                </c:pt>
                <c:pt idx="176">
                  <c:v>152.83498560978799</c:v>
                </c:pt>
                <c:pt idx="177">
                  <c:v>153.05856079131601</c:v>
                </c:pt>
                <c:pt idx="178">
                  <c:v>153.28279746401699</c:v>
                </c:pt>
                <c:pt idx="179">
                  <c:v>153.49005508114499</c:v>
                </c:pt>
                <c:pt idx="180">
                  <c:v>153.68344902850399</c:v>
                </c:pt>
                <c:pt idx="181">
                  <c:v>153.87281053920699</c:v>
                </c:pt>
                <c:pt idx="182">
                  <c:v>154.05259751366799</c:v>
                </c:pt>
                <c:pt idx="183">
                  <c:v>154.21909810516499</c:v>
                </c:pt>
                <c:pt idx="184">
                  <c:v>154.37631219737301</c:v>
                </c:pt>
                <c:pt idx="185">
                  <c:v>154.523454460669</c:v>
                </c:pt>
                <c:pt idx="186">
                  <c:v>154.66445569515099</c:v>
                </c:pt>
                <c:pt idx="187">
                  <c:v>154.794723444525</c:v>
                </c:pt>
                <c:pt idx="188">
                  <c:v>154.91472287002901</c:v>
                </c:pt>
                <c:pt idx="189">
                  <c:v>155.02457068819299</c:v>
                </c:pt>
                <c:pt idx="190">
                  <c:v>155.12664490865399</c:v>
                </c:pt>
                <c:pt idx="191">
                  <c:v>155.225883244588</c:v>
                </c:pt>
                <c:pt idx="192">
                  <c:v>155.32026930548301</c:v>
                </c:pt>
                <c:pt idx="193">
                  <c:v>155.41034012584001</c:v>
                </c:pt>
                <c:pt idx="194">
                  <c:v>155.495306510614</c:v>
                </c:pt>
                <c:pt idx="195">
                  <c:v>155.57832390116499</c:v>
                </c:pt>
                <c:pt idx="196">
                  <c:v>155.658519356775</c:v>
                </c:pt>
                <c:pt idx="197">
                  <c:v>155.73413617581301</c:v>
                </c:pt>
                <c:pt idx="198">
                  <c:v>155.803576865987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45139</c:v>
                </c:pt>
                <c:pt idx="1">
                  <c:v>45140</c:v>
                </c:pt>
                <c:pt idx="2">
                  <c:v>45141</c:v>
                </c:pt>
                <c:pt idx="3">
                  <c:v>45142</c:v>
                </c:pt>
                <c:pt idx="4">
                  <c:v>45143</c:v>
                </c:pt>
                <c:pt idx="5">
                  <c:v>45144</c:v>
                </c:pt>
                <c:pt idx="6">
                  <c:v>45145</c:v>
                </c:pt>
                <c:pt idx="7">
                  <c:v>45146</c:v>
                </c:pt>
                <c:pt idx="8">
                  <c:v>45147</c:v>
                </c:pt>
                <c:pt idx="9">
                  <c:v>45148</c:v>
                </c:pt>
                <c:pt idx="10">
                  <c:v>45149</c:v>
                </c:pt>
                <c:pt idx="11">
                  <c:v>45150</c:v>
                </c:pt>
                <c:pt idx="12">
                  <c:v>45151</c:v>
                </c:pt>
                <c:pt idx="13">
                  <c:v>45152</c:v>
                </c:pt>
                <c:pt idx="14">
                  <c:v>45153</c:v>
                </c:pt>
                <c:pt idx="15">
                  <c:v>45154</c:v>
                </c:pt>
                <c:pt idx="16">
                  <c:v>45155</c:v>
                </c:pt>
                <c:pt idx="17">
                  <c:v>45156</c:v>
                </c:pt>
                <c:pt idx="18">
                  <c:v>45157</c:v>
                </c:pt>
                <c:pt idx="19">
                  <c:v>45158</c:v>
                </c:pt>
                <c:pt idx="20">
                  <c:v>45159</c:v>
                </c:pt>
                <c:pt idx="21">
                  <c:v>45160</c:v>
                </c:pt>
                <c:pt idx="22">
                  <c:v>45161</c:v>
                </c:pt>
                <c:pt idx="23">
                  <c:v>45162</c:v>
                </c:pt>
                <c:pt idx="24">
                  <c:v>45163</c:v>
                </c:pt>
                <c:pt idx="25">
                  <c:v>45164</c:v>
                </c:pt>
                <c:pt idx="26">
                  <c:v>45165</c:v>
                </c:pt>
                <c:pt idx="27">
                  <c:v>45166</c:v>
                </c:pt>
                <c:pt idx="28">
                  <c:v>45167</c:v>
                </c:pt>
                <c:pt idx="29">
                  <c:v>45168</c:v>
                </c:pt>
                <c:pt idx="30">
                  <c:v>45169</c:v>
                </c:pt>
                <c:pt idx="31">
                  <c:v>45170</c:v>
                </c:pt>
                <c:pt idx="32">
                  <c:v>45171</c:v>
                </c:pt>
                <c:pt idx="33">
                  <c:v>45172</c:v>
                </c:pt>
                <c:pt idx="34">
                  <c:v>45173</c:v>
                </c:pt>
                <c:pt idx="35">
                  <c:v>45174</c:v>
                </c:pt>
                <c:pt idx="36">
                  <c:v>45175</c:v>
                </c:pt>
                <c:pt idx="37">
                  <c:v>45176</c:v>
                </c:pt>
                <c:pt idx="38">
                  <c:v>45177</c:v>
                </c:pt>
                <c:pt idx="39">
                  <c:v>45178</c:v>
                </c:pt>
                <c:pt idx="40">
                  <c:v>45179</c:v>
                </c:pt>
                <c:pt idx="41">
                  <c:v>45180</c:v>
                </c:pt>
                <c:pt idx="42">
                  <c:v>45181</c:v>
                </c:pt>
                <c:pt idx="43">
                  <c:v>45182</c:v>
                </c:pt>
                <c:pt idx="44">
                  <c:v>45183</c:v>
                </c:pt>
                <c:pt idx="45">
                  <c:v>45184</c:v>
                </c:pt>
                <c:pt idx="46">
                  <c:v>45185</c:v>
                </c:pt>
                <c:pt idx="47">
                  <c:v>45186</c:v>
                </c:pt>
                <c:pt idx="48">
                  <c:v>45187</c:v>
                </c:pt>
                <c:pt idx="49">
                  <c:v>45188</c:v>
                </c:pt>
                <c:pt idx="50">
                  <c:v>45189</c:v>
                </c:pt>
                <c:pt idx="51">
                  <c:v>45190</c:v>
                </c:pt>
                <c:pt idx="52">
                  <c:v>45191</c:v>
                </c:pt>
                <c:pt idx="53">
                  <c:v>45192</c:v>
                </c:pt>
                <c:pt idx="54">
                  <c:v>45193</c:v>
                </c:pt>
                <c:pt idx="55">
                  <c:v>45194</c:v>
                </c:pt>
                <c:pt idx="56">
                  <c:v>45195</c:v>
                </c:pt>
                <c:pt idx="57">
                  <c:v>45196</c:v>
                </c:pt>
                <c:pt idx="58">
                  <c:v>45197</c:v>
                </c:pt>
                <c:pt idx="59">
                  <c:v>45198</c:v>
                </c:pt>
                <c:pt idx="60">
                  <c:v>45199</c:v>
                </c:pt>
                <c:pt idx="61">
                  <c:v>45200</c:v>
                </c:pt>
                <c:pt idx="62">
                  <c:v>45201</c:v>
                </c:pt>
                <c:pt idx="63">
                  <c:v>45202</c:v>
                </c:pt>
                <c:pt idx="64">
                  <c:v>45203</c:v>
                </c:pt>
                <c:pt idx="65">
                  <c:v>45204</c:v>
                </c:pt>
                <c:pt idx="66">
                  <c:v>45205</c:v>
                </c:pt>
                <c:pt idx="67">
                  <c:v>45206</c:v>
                </c:pt>
                <c:pt idx="68">
                  <c:v>45207</c:v>
                </c:pt>
                <c:pt idx="69">
                  <c:v>45208</c:v>
                </c:pt>
                <c:pt idx="70">
                  <c:v>45209</c:v>
                </c:pt>
                <c:pt idx="71">
                  <c:v>45210</c:v>
                </c:pt>
                <c:pt idx="72">
                  <c:v>45211</c:v>
                </c:pt>
                <c:pt idx="73">
                  <c:v>45212</c:v>
                </c:pt>
                <c:pt idx="74">
                  <c:v>45213</c:v>
                </c:pt>
                <c:pt idx="75">
                  <c:v>45214</c:v>
                </c:pt>
                <c:pt idx="76">
                  <c:v>45215</c:v>
                </c:pt>
                <c:pt idx="77">
                  <c:v>45216</c:v>
                </c:pt>
                <c:pt idx="78">
                  <c:v>45217</c:v>
                </c:pt>
                <c:pt idx="79">
                  <c:v>45218</c:v>
                </c:pt>
                <c:pt idx="80">
                  <c:v>45219</c:v>
                </c:pt>
                <c:pt idx="81">
                  <c:v>45220</c:v>
                </c:pt>
                <c:pt idx="82">
                  <c:v>45221</c:v>
                </c:pt>
                <c:pt idx="83">
                  <c:v>45222</c:v>
                </c:pt>
                <c:pt idx="84">
                  <c:v>45223</c:v>
                </c:pt>
                <c:pt idx="85">
                  <c:v>45224</c:v>
                </c:pt>
                <c:pt idx="86">
                  <c:v>45225</c:v>
                </c:pt>
                <c:pt idx="87">
                  <c:v>45226</c:v>
                </c:pt>
                <c:pt idx="88">
                  <c:v>45227</c:v>
                </c:pt>
                <c:pt idx="89">
                  <c:v>45228</c:v>
                </c:pt>
                <c:pt idx="90">
                  <c:v>45229</c:v>
                </c:pt>
                <c:pt idx="91">
                  <c:v>45230</c:v>
                </c:pt>
                <c:pt idx="92">
                  <c:v>45231</c:v>
                </c:pt>
                <c:pt idx="93">
                  <c:v>45232</c:v>
                </c:pt>
                <c:pt idx="94">
                  <c:v>45233</c:v>
                </c:pt>
                <c:pt idx="95">
                  <c:v>45234</c:v>
                </c:pt>
                <c:pt idx="96">
                  <c:v>45235</c:v>
                </c:pt>
                <c:pt idx="97">
                  <c:v>45236</c:v>
                </c:pt>
                <c:pt idx="98">
                  <c:v>45237</c:v>
                </c:pt>
                <c:pt idx="99">
                  <c:v>45238</c:v>
                </c:pt>
                <c:pt idx="100">
                  <c:v>45239</c:v>
                </c:pt>
                <c:pt idx="101">
                  <c:v>45240</c:v>
                </c:pt>
                <c:pt idx="102">
                  <c:v>45241</c:v>
                </c:pt>
                <c:pt idx="103">
                  <c:v>45242</c:v>
                </c:pt>
                <c:pt idx="104">
                  <c:v>45243</c:v>
                </c:pt>
                <c:pt idx="105">
                  <c:v>45244</c:v>
                </c:pt>
                <c:pt idx="106">
                  <c:v>45245</c:v>
                </c:pt>
                <c:pt idx="107">
                  <c:v>45246</c:v>
                </c:pt>
                <c:pt idx="108">
                  <c:v>45247</c:v>
                </c:pt>
                <c:pt idx="109">
                  <c:v>45248</c:v>
                </c:pt>
                <c:pt idx="110">
                  <c:v>45249</c:v>
                </c:pt>
                <c:pt idx="111">
                  <c:v>45250</c:v>
                </c:pt>
                <c:pt idx="112">
                  <c:v>45251</c:v>
                </c:pt>
                <c:pt idx="113">
                  <c:v>45252</c:v>
                </c:pt>
                <c:pt idx="114">
                  <c:v>45253</c:v>
                </c:pt>
                <c:pt idx="115">
                  <c:v>45254</c:v>
                </c:pt>
                <c:pt idx="116">
                  <c:v>45255</c:v>
                </c:pt>
                <c:pt idx="117">
                  <c:v>45256</c:v>
                </c:pt>
                <c:pt idx="118">
                  <c:v>45257</c:v>
                </c:pt>
                <c:pt idx="119">
                  <c:v>45258</c:v>
                </c:pt>
                <c:pt idx="120">
                  <c:v>45259</c:v>
                </c:pt>
                <c:pt idx="121">
                  <c:v>45260</c:v>
                </c:pt>
                <c:pt idx="122">
                  <c:v>45261</c:v>
                </c:pt>
                <c:pt idx="123">
                  <c:v>45262</c:v>
                </c:pt>
                <c:pt idx="124">
                  <c:v>45263</c:v>
                </c:pt>
                <c:pt idx="125">
                  <c:v>45264</c:v>
                </c:pt>
                <c:pt idx="126">
                  <c:v>45265</c:v>
                </c:pt>
                <c:pt idx="127">
                  <c:v>45266</c:v>
                </c:pt>
                <c:pt idx="128">
                  <c:v>45267</c:v>
                </c:pt>
                <c:pt idx="129">
                  <c:v>45268</c:v>
                </c:pt>
                <c:pt idx="130">
                  <c:v>45269</c:v>
                </c:pt>
                <c:pt idx="131">
                  <c:v>45270</c:v>
                </c:pt>
                <c:pt idx="132">
                  <c:v>45271</c:v>
                </c:pt>
                <c:pt idx="133">
                  <c:v>45272</c:v>
                </c:pt>
                <c:pt idx="134">
                  <c:v>45273</c:v>
                </c:pt>
                <c:pt idx="135">
                  <c:v>45274</c:v>
                </c:pt>
                <c:pt idx="136">
                  <c:v>45275</c:v>
                </c:pt>
                <c:pt idx="137">
                  <c:v>45276</c:v>
                </c:pt>
                <c:pt idx="138">
                  <c:v>45277</c:v>
                </c:pt>
                <c:pt idx="139">
                  <c:v>45278</c:v>
                </c:pt>
                <c:pt idx="140">
                  <c:v>45279</c:v>
                </c:pt>
                <c:pt idx="141">
                  <c:v>45280</c:v>
                </c:pt>
                <c:pt idx="142">
                  <c:v>45281</c:v>
                </c:pt>
                <c:pt idx="143">
                  <c:v>45282</c:v>
                </c:pt>
                <c:pt idx="144">
                  <c:v>45283</c:v>
                </c:pt>
                <c:pt idx="145">
                  <c:v>45284</c:v>
                </c:pt>
                <c:pt idx="146">
                  <c:v>45285</c:v>
                </c:pt>
                <c:pt idx="147">
                  <c:v>45286</c:v>
                </c:pt>
                <c:pt idx="148">
                  <c:v>45287</c:v>
                </c:pt>
                <c:pt idx="149">
                  <c:v>45288</c:v>
                </c:pt>
                <c:pt idx="150">
                  <c:v>45289</c:v>
                </c:pt>
                <c:pt idx="151">
                  <c:v>45290</c:v>
                </c:pt>
                <c:pt idx="152">
                  <c:v>45291</c:v>
                </c:pt>
                <c:pt idx="153">
                  <c:v>45292</c:v>
                </c:pt>
                <c:pt idx="154">
                  <c:v>45293</c:v>
                </c:pt>
                <c:pt idx="155">
                  <c:v>45294</c:v>
                </c:pt>
                <c:pt idx="156">
                  <c:v>45295</c:v>
                </c:pt>
                <c:pt idx="157">
                  <c:v>45296</c:v>
                </c:pt>
                <c:pt idx="158">
                  <c:v>45297</c:v>
                </c:pt>
                <c:pt idx="159">
                  <c:v>45298</c:v>
                </c:pt>
                <c:pt idx="160">
                  <c:v>45299</c:v>
                </c:pt>
                <c:pt idx="161">
                  <c:v>45300</c:v>
                </c:pt>
                <c:pt idx="162">
                  <c:v>45301</c:v>
                </c:pt>
                <c:pt idx="163">
                  <c:v>45302</c:v>
                </c:pt>
                <c:pt idx="164">
                  <c:v>45303</c:v>
                </c:pt>
                <c:pt idx="165">
                  <c:v>45304</c:v>
                </c:pt>
                <c:pt idx="166">
                  <c:v>45305</c:v>
                </c:pt>
                <c:pt idx="167">
                  <c:v>45306</c:v>
                </c:pt>
                <c:pt idx="168">
                  <c:v>45307</c:v>
                </c:pt>
                <c:pt idx="169">
                  <c:v>45308</c:v>
                </c:pt>
                <c:pt idx="170">
                  <c:v>45309</c:v>
                </c:pt>
                <c:pt idx="171">
                  <c:v>45310</c:v>
                </c:pt>
                <c:pt idx="172">
                  <c:v>45311</c:v>
                </c:pt>
                <c:pt idx="173">
                  <c:v>45312</c:v>
                </c:pt>
                <c:pt idx="174">
                  <c:v>45313</c:v>
                </c:pt>
                <c:pt idx="175">
                  <c:v>45314</c:v>
                </c:pt>
                <c:pt idx="176">
                  <c:v>45315</c:v>
                </c:pt>
                <c:pt idx="177">
                  <c:v>45316</c:v>
                </c:pt>
                <c:pt idx="178">
                  <c:v>45317</c:v>
                </c:pt>
                <c:pt idx="179">
                  <c:v>45318</c:v>
                </c:pt>
                <c:pt idx="180">
                  <c:v>45319</c:v>
                </c:pt>
                <c:pt idx="181">
                  <c:v>45320</c:v>
                </c:pt>
                <c:pt idx="182">
                  <c:v>45321</c:v>
                </c:pt>
                <c:pt idx="183">
                  <c:v>45322</c:v>
                </c:pt>
                <c:pt idx="184">
                  <c:v>45323</c:v>
                </c:pt>
                <c:pt idx="185">
                  <c:v>45324</c:v>
                </c:pt>
                <c:pt idx="186">
                  <c:v>45325</c:v>
                </c:pt>
                <c:pt idx="187">
                  <c:v>45326</c:v>
                </c:pt>
                <c:pt idx="188">
                  <c:v>45327</c:v>
                </c:pt>
                <c:pt idx="189">
                  <c:v>45328</c:v>
                </c:pt>
                <c:pt idx="190">
                  <c:v>45329</c:v>
                </c:pt>
                <c:pt idx="191">
                  <c:v>45330</c:v>
                </c:pt>
                <c:pt idx="192">
                  <c:v>45331</c:v>
                </c:pt>
                <c:pt idx="193">
                  <c:v>45332</c:v>
                </c:pt>
                <c:pt idx="194">
                  <c:v>45333</c:v>
                </c:pt>
                <c:pt idx="195">
                  <c:v>45334</c:v>
                </c:pt>
                <c:pt idx="196">
                  <c:v>45335</c:v>
                </c:pt>
                <c:pt idx="197">
                  <c:v>45336</c:v>
                </c:pt>
                <c:pt idx="198">
                  <c:v>45337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40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40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40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45139</c:v>
                </c:pt>
                <c:pt idx="1">
                  <c:v>45140</c:v>
                </c:pt>
                <c:pt idx="2">
                  <c:v>45141</c:v>
                </c:pt>
                <c:pt idx="3">
                  <c:v>45142</c:v>
                </c:pt>
                <c:pt idx="4">
                  <c:v>45143</c:v>
                </c:pt>
                <c:pt idx="5">
                  <c:v>45144</c:v>
                </c:pt>
                <c:pt idx="6">
                  <c:v>45145</c:v>
                </c:pt>
                <c:pt idx="7">
                  <c:v>45146</c:v>
                </c:pt>
                <c:pt idx="8">
                  <c:v>45147</c:v>
                </c:pt>
                <c:pt idx="9">
                  <c:v>45148</c:v>
                </c:pt>
                <c:pt idx="10">
                  <c:v>45149</c:v>
                </c:pt>
                <c:pt idx="11">
                  <c:v>45150</c:v>
                </c:pt>
                <c:pt idx="12">
                  <c:v>45151</c:v>
                </c:pt>
                <c:pt idx="13">
                  <c:v>45152</c:v>
                </c:pt>
                <c:pt idx="14">
                  <c:v>45153</c:v>
                </c:pt>
                <c:pt idx="15">
                  <c:v>45154</c:v>
                </c:pt>
                <c:pt idx="16">
                  <c:v>45155</c:v>
                </c:pt>
                <c:pt idx="17">
                  <c:v>45156</c:v>
                </c:pt>
                <c:pt idx="18">
                  <c:v>45157</c:v>
                </c:pt>
                <c:pt idx="19">
                  <c:v>45158</c:v>
                </c:pt>
                <c:pt idx="20">
                  <c:v>45159</c:v>
                </c:pt>
                <c:pt idx="21">
                  <c:v>45160</c:v>
                </c:pt>
                <c:pt idx="22">
                  <c:v>45161</c:v>
                </c:pt>
                <c:pt idx="23">
                  <c:v>45162</c:v>
                </c:pt>
                <c:pt idx="24">
                  <c:v>45163</c:v>
                </c:pt>
                <c:pt idx="25">
                  <c:v>45164</c:v>
                </c:pt>
                <c:pt idx="26">
                  <c:v>45165</c:v>
                </c:pt>
                <c:pt idx="27">
                  <c:v>45166</c:v>
                </c:pt>
                <c:pt idx="28">
                  <c:v>45167</c:v>
                </c:pt>
                <c:pt idx="29">
                  <c:v>45168</c:v>
                </c:pt>
                <c:pt idx="30">
                  <c:v>45169</c:v>
                </c:pt>
                <c:pt idx="31">
                  <c:v>45170</c:v>
                </c:pt>
                <c:pt idx="32">
                  <c:v>45171</c:v>
                </c:pt>
                <c:pt idx="33">
                  <c:v>45172</c:v>
                </c:pt>
                <c:pt idx="34">
                  <c:v>45173</c:v>
                </c:pt>
                <c:pt idx="35">
                  <c:v>45174</c:v>
                </c:pt>
                <c:pt idx="36">
                  <c:v>45175</c:v>
                </c:pt>
                <c:pt idx="37">
                  <c:v>45176</c:v>
                </c:pt>
                <c:pt idx="38">
                  <c:v>45177</c:v>
                </c:pt>
                <c:pt idx="39">
                  <c:v>45178</c:v>
                </c:pt>
                <c:pt idx="40">
                  <c:v>45179</c:v>
                </c:pt>
                <c:pt idx="41">
                  <c:v>45180</c:v>
                </c:pt>
                <c:pt idx="42">
                  <c:v>45181</c:v>
                </c:pt>
                <c:pt idx="43">
                  <c:v>45182</c:v>
                </c:pt>
                <c:pt idx="44">
                  <c:v>45183</c:v>
                </c:pt>
                <c:pt idx="45">
                  <c:v>45184</c:v>
                </c:pt>
                <c:pt idx="46">
                  <c:v>45185</c:v>
                </c:pt>
                <c:pt idx="47">
                  <c:v>45186</c:v>
                </c:pt>
                <c:pt idx="48">
                  <c:v>45187</c:v>
                </c:pt>
                <c:pt idx="49">
                  <c:v>45188</c:v>
                </c:pt>
                <c:pt idx="50">
                  <c:v>45189</c:v>
                </c:pt>
                <c:pt idx="51">
                  <c:v>45190</c:v>
                </c:pt>
                <c:pt idx="52">
                  <c:v>45191</c:v>
                </c:pt>
                <c:pt idx="53">
                  <c:v>45192</c:v>
                </c:pt>
                <c:pt idx="54">
                  <c:v>45193</c:v>
                </c:pt>
                <c:pt idx="55">
                  <c:v>45194</c:v>
                </c:pt>
                <c:pt idx="56">
                  <c:v>45195</c:v>
                </c:pt>
                <c:pt idx="57">
                  <c:v>45196</c:v>
                </c:pt>
                <c:pt idx="58">
                  <c:v>45197</c:v>
                </c:pt>
                <c:pt idx="59">
                  <c:v>45198</c:v>
                </c:pt>
                <c:pt idx="60">
                  <c:v>45199</c:v>
                </c:pt>
                <c:pt idx="61">
                  <c:v>45200</c:v>
                </c:pt>
                <c:pt idx="62">
                  <c:v>45201</c:v>
                </c:pt>
                <c:pt idx="63">
                  <c:v>45202</c:v>
                </c:pt>
                <c:pt idx="64">
                  <c:v>45203</c:v>
                </c:pt>
                <c:pt idx="65">
                  <c:v>45204</c:v>
                </c:pt>
                <c:pt idx="66">
                  <c:v>45205</c:v>
                </c:pt>
                <c:pt idx="67">
                  <c:v>45206</c:v>
                </c:pt>
                <c:pt idx="68">
                  <c:v>45207</c:v>
                </c:pt>
                <c:pt idx="69">
                  <c:v>45208</c:v>
                </c:pt>
                <c:pt idx="70">
                  <c:v>45209</c:v>
                </c:pt>
                <c:pt idx="71">
                  <c:v>45210</c:v>
                </c:pt>
                <c:pt idx="72">
                  <c:v>45211</c:v>
                </c:pt>
                <c:pt idx="73">
                  <c:v>45212</c:v>
                </c:pt>
                <c:pt idx="74">
                  <c:v>45213</c:v>
                </c:pt>
                <c:pt idx="75">
                  <c:v>45214</c:v>
                </c:pt>
                <c:pt idx="76">
                  <c:v>45215</c:v>
                </c:pt>
                <c:pt idx="77">
                  <c:v>45216</c:v>
                </c:pt>
                <c:pt idx="78">
                  <c:v>45217</c:v>
                </c:pt>
                <c:pt idx="79">
                  <c:v>45218</c:v>
                </c:pt>
                <c:pt idx="80">
                  <c:v>45219</c:v>
                </c:pt>
                <c:pt idx="81">
                  <c:v>45220</c:v>
                </c:pt>
                <c:pt idx="82">
                  <c:v>45221</c:v>
                </c:pt>
                <c:pt idx="83">
                  <c:v>45222</c:v>
                </c:pt>
                <c:pt idx="84">
                  <c:v>45223</c:v>
                </c:pt>
                <c:pt idx="85">
                  <c:v>45224</c:v>
                </c:pt>
                <c:pt idx="86">
                  <c:v>45225</c:v>
                </c:pt>
                <c:pt idx="87">
                  <c:v>45226</c:v>
                </c:pt>
                <c:pt idx="88">
                  <c:v>45227</c:v>
                </c:pt>
                <c:pt idx="89">
                  <c:v>45228</c:v>
                </c:pt>
                <c:pt idx="90">
                  <c:v>45229</c:v>
                </c:pt>
                <c:pt idx="91">
                  <c:v>45230</c:v>
                </c:pt>
                <c:pt idx="92">
                  <c:v>45231</c:v>
                </c:pt>
                <c:pt idx="93">
                  <c:v>45232</c:v>
                </c:pt>
                <c:pt idx="94">
                  <c:v>45233</c:v>
                </c:pt>
                <c:pt idx="95">
                  <c:v>45234</c:v>
                </c:pt>
                <c:pt idx="96">
                  <c:v>45235</c:v>
                </c:pt>
                <c:pt idx="97">
                  <c:v>45236</c:v>
                </c:pt>
                <c:pt idx="98">
                  <c:v>45237</c:v>
                </c:pt>
                <c:pt idx="99">
                  <c:v>45238</c:v>
                </c:pt>
                <c:pt idx="100">
                  <c:v>45239</c:v>
                </c:pt>
                <c:pt idx="101">
                  <c:v>45240</c:v>
                </c:pt>
                <c:pt idx="102">
                  <c:v>45241</c:v>
                </c:pt>
                <c:pt idx="103">
                  <c:v>45242</c:v>
                </c:pt>
                <c:pt idx="104">
                  <c:v>45243</c:v>
                </c:pt>
                <c:pt idx="105">
                  <c:v>45244</c:v>
                </c:pt>
                <c:pt idx="106">
                  <c:v>45245</c:v>
                </c:pt>
                <c:pt idx="107">
                  <c:v>45246</c:v>
                </c:pt>
                <c:pt idx="108">
                  <c:v>45247</c:v>
                </c:pt>
                <c:pt idx="109">
                  <c:v>45248</c:v>
                </c:pt>
                <c:pt idx="110">
                  <c:v>45249</c:v>
                </c:pt>
                <c:pt idx="111">
                  <c:v>45250</c:v>
                </c:pt>
                <c:pt idx="112">
                  <c:v>45251</c:v>
                </c:pt>
                <c:pt idx="113">
                  <c:v>45252</c:v>
                </c:pt>
                <c:pt idx="114">
                  <c:v>45253</c:v>
                </c:pt>
                <c:pt idx="115">
                  <c:v>45254</c:v>
                </c:pt>
                <c:pt idx="116">
                  <c:v>45255</c:v>
                </c:pt>
                <c:pt idx="117">
                  <c:v>45256</c:v>
                </c:pt>
                <c:pt idx="118">
                  <c:v>45257</c:v>
                </c:pt>
                <c:pt idx="119">
                  <c:v>45258</c:v>
                </c:pt>
                <c:pt idx="120">
                  <c:v>45259</c:v>
                </c:pt>
                <c:pt idx="121">
                  <c:v>45260</c:v>
                </c:pt>
                <c:pt idx="122">
                  <c:v>45261</c:v>
                </c:pt>
                <c:pt idx="123">
                  <c:v>45262</c:v>
                </c:pt>
                <c:pt idx="124">
                  <c:v>45263</c:v>
                </c:pt>
                <c:pt idx="125">
                  <c:v>45264</c:v>
                </c:pt>
                <c:pt idx="126">
                  <c:v>45265</c:v>
                </c:pt>
                <c:pt idx="127">
                  <c:v>45266</c:v>
                </c:pt>
                <c:pt idx="128">
                  <c:v>45267</c:v>
                </c:pt>
                <c:pt idx="129">
                  <c:v>45268</c:v>
                </c:pt>
                <c:pt idx="130">
                  <c:v>45269</c:v>
                </c:pt>
                <c:pt idx="131">
                  <c:v>45270</c:v>
                </c:pt>
                <c:pt idx="132">
                  <c:v>45271</c:v>
                </c:pt>
                <c:pt idx="133">
                  <c:v>45272</c:v>
                </c:pt>
                <c:pt idx="134">
                  <c:v>45273</c:v>
                </c:pt>
                <c:pt idx="135">
                  <c:v>45274</c:v>
                </c:pt>
                <c:pt idx="136">
                  <c:v>45275</c:v>
                </c:pt>
                <c:pt idx="137">
                  <c:v>45276</c:v>
                </c:pt>
                <c:pt idx="138">
                  <c:v>45277</c:v>
                </c:pt>
                <c:pt idx="139">
                  <c:v>45278</c:v>
                </c:pt>
                <c:pt idx="140">
                  <c:v>45279</c:v>
                </c:pt>
                <c:pt idx="141">
                  <c:v>45280</c:v>
                </c:pt>
                <c:pt idx="142">
                  <c:v>45281</c:v>
                </c:pt>
                <c:pt idx="143">
                  <c:v>45282</c:v>
                </c:pt>
                <c:pt idx="144">
                  <c:v>45283</c:v>
                </c:pt>
                <c:pt idx="145">
                  <c:v>45284</c:v>
                </c:pt>
                <c:pt idx="146">
                  <c:v>45285</c:v>
                </c:pt>
                <c:pt idx="147">
                  <c:v>45286</c:v>
                </c:pt>
                <c:pt idx="148">
                  <c:v>45287</c:v>
                </c:pt>
                <c:pt idx="149">
                  <c:v>45288</c:v>
                </c:pt>
                <c:pt idx="150">
                  <c:v>45289</c:v>
                </c:pt>
                <c:pt idx="151">
                  <c:v>45290</c:v>
                </c:pt>
                <c:pt idx="152">
                  <c:v>45291</c:v>
                </c:pt>
                <c:pt idx="153">
                  <c:v>45292</c:v>
                </c:pt>
                <c:pt idx="154">
                  <c:v>45293</c:v>
                </c:pt>
                <c:pt idx="155">
                  <c:v>45294</c:v>
                </c:pt>
                <c:pt idx="156">
                  <c:v>45295</c:v>
                </c:pt>
                <c:pt idx="157">
                  <c:v>45296</c:v>
                </c:pt>
                <c:pt idx="158">
                  <c:v>45297</c:v>
                </c:pt>
                <c:pt idx="159">
                  <c:v>45298</c:v>
                </c:pt>
                <c:pt idx="160">
                  <c:v>45299</c:v>
                </c:pt>
                <c:pt idx="161">
                  <c:v>45300</c:v>
                </c:pt>
                <c:pt idx="162">
                  <c:v>45301</c:v>
                </c:pt>
                <c:pt idx="163">
                  <c:v>45302</c:v>
                </c:pt>
                <c:pt idx="164">
                  <c:v>45303</c:v>
                </c:pt>
                <c:pt idx="165">
                  <c:v>45304</c:v>
                </c:pt>
                <c:pt idx="166">
                  <c:v>45305</c:v>
                </c:pt>
                <c:pt idx="167">
                  <c:v>45306</c:v>
                </c:pt>
                <c:pt idx="168">
                  <c:v>45307</c:v>
                </c:pt>
                <c:pt idx="169">
                  <c:v>45308</c:v>
                </c:pt>
                <c:pt idx="170">
                  <c:v>45309</c:v>
                </c:pt>
                <c:pt idx="171">
                  <c:v>45310</c:v>
                </c:pt>
                <c:pt idx="172">
                  <c:v>45311</c:v>
                </c:pt>
                <c:pt idx="173">
                  <c:v>45312</c:v>
                </c:pt>
                <c:pt idx="174">
                  <c:v>45313</c:v>
                </c:pt>
                <c:pt idx="175">
                  <c:v>45314</c:v>
                </c:pt>
                <c:pt idx="176">
                  <c:v>45315</c:v>
                </c:pt>
                <c:pt idx="177">
                  <c:v>45316</c:v>
                </c:pt>
                <c:pt idx="178">
                  <c:v>45317</c:v>
                </c:pt>
                <c:pt idx="179">
                  <c:v>45318</c:v>
                </c:pt>
                <c:pt idx="180">
                  <c:v>45319</c:v>
                </c:pt>
                <c:pt idx="181">
                  <c:v>45320</c:v>
                </c:pt>
                <c:pt idx="182">
                  <c:v>45321</c:v>
                </c:pt>
                <c:pt idx="183">
                  <c:v>45322</c:v>
                </c:pt>
                <c:pt idx="184">
                  <c:v>45323</c:v>
                </c:pt>
                <c:pt idx="185">
                  <c:v>45324</c:v>
                </c:pt>
                <c:pt idx="186">
                  <c:v>45325</c:v>
                </c:pt>
                <c:pt idx="187">
                  <c:v>45326</c:v>
                </c:pt>
                <c:pt idx="188">
                  <c:v>45327</c:v>
                </c:pt>
                <c:pt idx="189">
                  <c:v>45328</c:v>
                </c:pt>
                <c:pt idx="190">
                  <c:v>45329</c:v>
                </c:pt>
                <c:pt idx="191">
                  <c:v>45330</c:v>
                </c:pt>
                <c:pt idx="192">
                  <c:v>45331</c:v>
                </c:pt>
                <c:pt idx="193">
                  <c:v>45332</c:v>
                </c:pt>
                <c:pt idx="194">
                  <c:v>45333</c:v>
                </c:pt>
                <c:pt idx="195">
                  <c:v>45334</c:v>
                </c:pt>
                <c:pt idx="196">
                  <c:v>45335</c:v>
                </c:pt>
                <c:pt idx="197">
                  <c:v>45336</c:v>
                </c:pt>
                <c:pt idx="198">
                  <c:v>45337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10</c:v>
                </c:pt>
                <c:pt idx="1">
                  <c:v>10.263589135023643</c:v>
                </c:pt>
                <c:pt idx="2">
                  <c:v>10.483012377639312</c:v>
                </c:pt>
                <c:pt idx="3">
                  <c:v>10.676830676309059</c:v>
                </c:pt>
                <c:pt idx="4">
                  <c:v>10.839295652219455</c:v>
                </c:pt>
                <c:pt idx="5">
                  <c:v>10.98291966630476</c:v>
                </c:pt>
                <c:pt idx="6">
                  <c:v>11.109038955065991</c:v>
                </c:pt>
                <c:pt idx="7">
                  <c:v>11.212294084588137</c:v>
                </c:pt>
                <c:pt idx="8">
                  <c:v>11.292755813483559</c:v>
                </c:pt>
                <c:pt idx="9">
                  <c:v>11.359041555815821</c:v>
                </c:pt>
                <c:pt idx="10">
                  <c:v>11.422314904410335</c:v>
                </c:pt>
                <c:pt idx="11">
                  <c:v>11.477814119042833</c:v>
                </c:pt>
                <c:pt idx="12">
                  <c:v>11.524473081754465</c:v>
                </c:pt>
                <c:pt idx="13">
                  <c:v>11.562074972326016</c:v>
                </c:pt>
                <c:pt idx="14">
                  <c:v>11.589047351377957</c:v>
                </c:pt>
                <c:pt idx="15">
                  <c:v>11.607689726047596</c:v>
                </c:pt>
                <c:pt idx="16">
                  <c:v>11.617653628984307</c:v>
                </c:pt>
                <c:pt idx="17">
                  <c:v>11.620140169243449</c:v>
                </c:pt>
                <c:pt idx="18">
                  <c:v>11.615119761826364</c:v>
                </c:pt>
                <c:pt idx="19">
                  <c:v>11.603356278056012</c:v>
                </c:pt>
                <c:pt idx="20">
                  <c:v>11.58349904482278</c:v>
                </c:pt>
                <c:pt idx="21">
                  <c:v>11.557295031480045</c:v>
                </c:pt>
                <c:pt idx="22">
                  <c:v>11.524170778480816</c:v>
                </c:pt>
                <c:pt idx="23">
                  <c:v>11.482788717522453</c:v>
                </c:pt>
                <c:pt idx="24">
                  <c:v>11.43551882390102</c:v>
                </c:pt>
                <c:pt idx="25">
                  <c:v>11.375766548459055</c:v>
                </c:pt>
                <c:pt idx="26">
                  <c:v>11.307688586344049</c:v>
                </c:pt>
                <c:pt idx="27">
                  <c:v>11.229312440484513</c:v>
                </c:pt>
                <c:pt idx="28">
                  <c:v>11.146327873794746</c:v>
                </c:pt>
                <c:pt idx="29">
                  <c:v>11.050903816882254</c:v>
                </c:pt>
                <c:pt idx="30">
                  <c:v>10.950982569514302</c:v>
                </c:pt>
                <c:pt idx="31">
                  <c:v>10.848599018490468</c:v>
                </c:pt>
                <c:pt idx="32">
                  <c:v>10.744167665868027</c:v>
                </c:pt>
                <c:pt idx="33">
                  <c:v>10.631809009286712</c:v>
                </c:pt>
                <c:pt idx="34">
                  <c:v>10.508556960168562</c:v>
                </c:pt>
                <c:pt idx="35">
                  <c:v>10.381590407995901</c:v>
                </c:pt>
                <c:pt idx="36">
                  <c:v>10.239387432210677</c:v>
                </c:pt>
                <c:pt idx="37">
                  <c:v>10.082440377726094</c:v>
                </c:pt>
                <c:pt idx="38">
                  <c:v>9.9192898850381681</c:v>
                </c:pt>
                <c:pt idx="39">
                  <c:v>9.763371632420828</c:v>
                </c:pt>
                <c:pt idx="40">
                  <c:v>9.5914418237900136</c:v>
                </c:pt>
                <c:pt idx="41">
                  <c:v>9.4008652838754827</c:v>
                </c:pt>
                <c:pt idx="42">
                  <c:v>9.204168226963084</c:v>
                </c:pt>
                <c:pt idx="43">
                  <c:v>8.9828051189711076</c:v>
                </c:pt>
                <c:pt idx="44">
                  <c:v>8.752592000957172</c:v>
                </c:pt>
                <c:pt idx="45">
                  <c:v>8.5052444741463944</c:v>
                </c:pt>
                <c:pt idx="46">
                  <c:v>8.2475739814570446</c:v>
                </c:pt>
                <c:pt idx="47">
                  <c:v>7.9560870932060155</c:v>
                </c:pt>
                <c:pt idx="48">
                  <c:v>7.6711866478020028</c:v>
                </c:pt>
                <c:pt idx="49">
                  <c:v>7.3956024092075623</c:v>
                </c:pt>
                <c:pt idx="50">
                  <c:v>7.1119190583457907</c:v>
                </c:pt>
                <c:pt idx="51">
                  <c:v>6.8325245594595998</c:v>
                </c:pt>
                <c:pt idx="52">
                  <c:v>6.5334622949518533</c:v>
                </c:pt>
                <c:pt idx="53">
                  <c:v>6.1982731605465631</c:v>
                </c:pt>
                <c:pt idx="54">
                  <c:v>5.8280437862033949</c:v>
                </c:pt>
                <c:pt idx="55">
                  <c:v>5.4271376843447214</c:v>
                </c:pt>
                <c:pt idx="56">
                  <c:v>5.0236763239138753</c:v>
                </c:pt>
                <c:pt idx="57">
                  <c:v>4.5909863175409811</c:v>
                </c:pt>
                <c:pt idx="58">
                  <c:v>4.1305871021834548</c:v>
                </c:pt>
                <c:pt idx="59">
                  <c:v>3.6391584424805217</c:v>
                </c:pt>
                <c:pt idx="60">
                  <c:v>3.1326741314367439</c:v>
                </c:pt>
                <c:pt idx="61">
                  <c:v>50</c:v>
                </c:pt>
                <c:pt idx="62">
                  <c:v>49.475966902202032</c:v>
                </c:pt>
                <c:pt idx="63">
                  <c:v>48.891502550692202</c:v>
                </c:pt>
                <c:pt idx="64">
                  <c:v>48.33029833026859</c:v>
                </c:pt>
                <c:pt idx="65">
                  <c:v>47.752063420923051</c:v>
                </c:pt>
                <c:pt idx="66">
                  <c:v>47.157199651327176</c:v>
                </c:pt>
                <c:pt idx="67">
                  <c:v>46.527030919537083</c:v>
                </c:pt>
                <c:pt idx="68">
                  <c:v>45.889767477101678</c:v>
                </c:pt>
                <c:pt idx="69">
                  <c:v>45.250950096857679</c:v>
                </c:pt>
                <c:pt idx="70">
                  <c:v>44.604789518850581</c:v>
                </c:pt>
                <c:pt idx="71">
                  <c:v>43.872344538616915</c:v>
                </c:pt>
                <c:pt idx="72">
                  <c:v>43.1106806827596</c:v>
                </c:pt>
                <c:pt idx="73">
                  <c:v>42.352124362933402</c:v>
                </c:pt>
                <c:pt idx="74">
                  <c:v>41.531088800179468</c:v>
                </c:pt>
                <c:pt idx="75">
                  <c:v>40.690964951563714</c:v>
                </c:pt>
                <c:pt idx="76">
                  <c:v>39.851353613840139</c:v>
                </c:pt>
                <c:pt idx="77">
                  <c:v>38.94101103357935</c:v>
                </c:pt>
                <c:pt idx="78">
                  <c:v>38.022290379436967</c:v>
                </c:pt>
                <c:pt idx="79">
                  <c:v>37.121852296344471</c:v>
                </c:pt>
                <c:pt idx="80">
                  <c:v>36.160096000146204</c:v>
                </c:pt>
                <c:pt idx="81">
                  <c:v>35.186156952326577</c:v>
                </c:pt>
                <c:pt idx="82">
                  <c:v>34.155446329270703</c:v>
                </c:pt>
                <c:pt idx="83">
                  <c:v>33.156003298859446</c:v>
                </c:pt>
                <c:pt idx="84">
                  <c:v>32.128942671481795</c:v>
                </c:pt>
                <c:pt idx="85">
                  <c:v>31.027304375384841</c:v>
                </c:pt>
                <c:pt idx="86">
                  <c:v>61.823797585880229</c:v>
                </c:pt>
                <c:pt idx="87">
                  <c:v>60.585461071582884</c:v>
                </c:pt>
                <c:pt idx="88">
                  <c:v>59.362755313291999</c:v>
                </c:pt>
                <c:pt idx="89">
                  <c:v>58.066206476004595</c:v>
                </c:pt>
                <c:pt idx="90">
                  <c:v>56.829517234188444</c:v>
                </c:pt>
                <c:pt idx="91">
                  <c:v>55.6119359812445</c:v>
                </c:pt>
                <c:pt idx="92">
                  <c:v>54.387893014454065</c:v>
                </c:pt>
                <c:pt idx="93">
                  <c:v>53.062290986294073</c:v>
                </c:pt>
                <c:pt idx="94">
                  <c:v>51.613753765357664</c:v>
                </c:pt>
                <c:pt idx="95">
                  <c:v>50.190595343641775</c:v>
                </c:pt>
                <c:pt idx="96">
                  <c:v>48.803236952500754</c:v>
                </c:pt>
                <c:pt idx="97">
                  <c:v>47.412068379037464</c:v>
                </c:pt>
                <c:pt idx="98">
                  <c:v>45.974928264157519</c:v>
                </c:pt>
                <c:pt idx="99">
                  <c:v>44.473957208609967</c:v>
                </c:pt>
                <c:pt idx="100">
                  <c:v>42.927321174735603</c:v>
                </c:pt>
                <c:pt idx="101">
                  <c:v>41.419301951421936</c:v>
                </c:pt>
                <c:pt idx="102">
                  <c:v>39.876687472064454</c:v>
                </c:pt>
                <c:pt idx="103">
                  <c:v>38.415957633288961</c:v>
                </c:pt>
                <c:pt idx="104">
                  <c:v>37.001464322347303</c:v>
                </c:pt>
                <c:pt idx="105">
                  <c:v>35.573561645470846</c:v>
                </c:pt>
                <c:pt idx="106">
                  <c:v>34.041285044942853</c:v>
                </c:pt>
                <c:pt idx="107">
                  <c:v>32.36488192838101</c:v>
                </c:pt>
                <c:pt idx="108">
                  <c:v>30.668191077433853</c:v>
                </c:pt>
                <c:pt idx="109">
                  <c:v>61.031011953369244</c:v>
                </c:pt>
                <c:pt idx="110">
                  <c:v>59.447122112450835</c:v>
                </c:pt>
                <c:pt idx="111">
                  <c:v>57.84494301384774</c:v>
                </c:pt>
                <c:pt idx="112">
                  <c:v>56.235906339679431</c:v>
                </c:pt>
                <c:pt idx="113">
                  <c:v>54.620221782377463</c:v>
                </c:pt>
                <c:pt idx="114">
                  <c:v>52.943950388945339</c:v>
                </c:pt>
                <c:pt idx="115">
                  <c:v>51.27565049869694</c:v>
                </c:pt>
                <c:pt idx="116">
                  <c:v>49.517293343192435</c:v>
                </c:pt>
                <c:pt idx="117">
                  <c:v>47.766915242790589</c:v>
                </c:pt>
                <c:pt idx="118">
                  <c:v>45.998254279296816</c:v>
                </c:pt>
                <c:pt idx="119">
                  <c:v>44.282445374667333</c:v>
                </c:pt>
                <c:pt idx="120">
                  <c:v>42.690402456203159</c:v>
                </c:pt>
                <c:pt idx="121">
                  <c:v>41.015231408134454</c:v>
                </c:pt>
                <c:pt idx="122">
                  <c:v>39.39745050061245</c:v>
                </c:pt>
                <c:pt idx="123">
                  <c:v>37.778611637129117</c:v>
                </c:pt>
                <c:pt idx="124">
                  <c:v>36.197172299029248</c:v>
                </c:pt>
                <c:pt idx="125">
                  <c:v>34.598272194140378</c:v>
                </c:pt>
                <c:pt idx="126">
                  <c:v>33.044821672671674</c:v>
                </c:pt>
                <c:pt idx="127">
                  <c:v>31.52675018686233</c:v>
                </c:pt>
                <c:pt idx="128">
                  <c:v>30.09557655814686</c:v>
                </c:pt>
                <c:pt idx="129">
                  <c:v>60.758442760070238</c:v>
                </c:pt>
                <c:pt idx="130">
                  <c:v>59.398908012966473</c:v>
                </c:pt>
                <c:pt idx="131">
                  <c:v>58.020584684039051</c:v>
                </c:pt>
                <c:pt idx="132">
                  <c:v>56.621902729797526</c:v>
                </c:pt>
                <c:pt idx="133">
                  <c:v>55.305717680281248</c:v>
                </c:pt>
                <c:pt idx="134">
                  <c:v>54.037684201797987</c:v>
                </c:pt>
                <c:pt idx="135">
                  <c:v>52.85649237501562</c:v>
                </c:pt>
                <c:pt idx="136">
                  <c:v>51.746096922013805</c:v>
                </c:pt>
                <c:pt idx="137">
                  <c:v>50.604920601465778</c:v>
                </c:pt>
                <c:pt idx="138">
                  <c:v>49.507703483666262</c:v>
                </c:pt>
                <c:pt idx="139">
                  <c:v>48.424061412690804</c:v>
                </c:pt>
                <c:pt idx="140">
                  <c:v>47.418051691539105</c:v>
                </c:pt>
                <c:pt idx="141">
                  <c:v>46.495497949578947</c:v>
                </c:pt>
                <c:pt idx="142">
                  <c:v>45.599492167448005</c:v>
                </c:pt>
                <c:pt idx="143">
                  <c:v>44.732209965578761</c:v>
                </c:pt>
                <c:pt idx="144">
                  <c:v>43.864501415593807</c:v>
                </c:pt>
                <c:pt idx="145">
                  <c:v>43.034450545321732</c:v>
                </c:pt>
                <c:pt idx="146">
                  <c:v>42.223254400344871</c:v>
                </c:pt>
                <c:pt idx="147">
                  <c:v>41.424807790038898</c:v>
                </c:pt>
                <c:pt idx="148">
                  <c:v>40.676849773187712</c:v>
                </c:pt>
                <c:pt idx="149">
                  <c:v>39.982875610437276</c:v>
                </c:pt>
                <c:pt idx="150">
                  <c:v>39.32247941118807</c:v>
                </c:pt>
                <c:pt idx="151">
                  <c:v>38.69934458766997</c:v>
                </c:pt>
                <c:pt idx="152">
                  <c:v>38.122940657390473</c:v>
                </c:pt>
                <c:pt idx="153">
                  <c:v>37.541160985045821</c:v>
                </c:pt>
                <c:pt idx="154">
                  <c:v>36.978626306946254</c:v>
                </c:pt>
                <c:pt idx="155">
                  <c:v>36.457167189365251</c:v>
                </c:pt>
                <c:pt idx="156">
                  <c:v>35.998670938374232</c:v>
                </c:pt>
                <c:pt idx="157">
                  <c:v>35.579306778852356</c:v>
                </c:pt>
                <c:pt idx="158">
                  <c:v>35.154607458811967</c:v>
                </c:pt>
                <c:pt idx="159">
                  <c:v>34.76863163933092</c:v>
                </c:pt>
                <c:pt idx="160">
                  <c:v>34.397477520585767</c:v>
                </c:pt>
                <c:pt idx="161">
                  <c:v>34.052540455181855</c:v>
                </c:pt>
                <c:pt idx="162">
                  <c:v>33.71799458974391</c:v>
                </c:pt>
                <c:pt idx="163">
                  <c:v>33.401060337885326</c:v>
                </c:pt>
                <c:pt idx="164">
                  <c:v>33.096283119081249</c:v>
                </c:pt>
                <c:pt idx="165">
                  <c:v>32.81753295112398</c:v>
                </c:pt>
                <c:pt idx="166">
                  <c:v>32.56568665359606</c:v>
                </c:pt>
                <c:pt idx="167">
                  <c:v>32.329041258321269</c:v>
                </c:pt>
                <c:pt idx="168">
                  <c:v>32.102331155778643</c:v>
                </c:pt>
                <c:pt idx="169">
                  <c:v>31.889432484453152</c:v>
                </c:pt>
                <c:pt idx="170">
                  <c:v>31.699026805062545</c:v>
                </c:pt>
                <c:pt idx="171">
                  <c:v>31.521392948035668</c:v>
                </c:pt>
                <c:pt idx="172">
                  <c:v>31.362537085848402</c:v>
                </c:pt>
                <c:pt idx="173">
                  <c:v>31.2207185246763</c:v>
                </c:pt>
                <c:pt idx="174">
                  <c:v>31.09474824579263</c:v>
                </c:pt>
                <c:pt idx="175">
                  <c:v>30.985566106650793</c:v>
                </c:pt>
                <c:pt idx="176">
                  <c:v>30.886039465727777</c:v>
                </c:pt>
                <c:pt idx="177">
                  <c:v>30.794723222766521</c:v>
                </c:pt>
                <c:pt idx="178">
                  <c:v>30.712148643419937</c:v>
                </c:pt>
                <c:pt idx="179">
                  <c:v>30.645394890500597</c:v>
                </c:pt>
                <c:pt idx="180">
                  <c:v>30.587579471930354</c:v>
                </c:pt>
                <c:pt idx="181">
                  <c:v>30.536384950843797</c:v>
                </c:pt>
                <c:pt idx="182">
                  <c:v>30.494149613967153</c:v>
                </c:pt>
                <c:pt idx="183">
                  <c:v>30.458179174121597</c:v>
                </c:pt>
                <c:pt idx="184">
                  <c:v>30.436072950028461</c:v>
                </c:pt>
                <c:pt idx="185">
                  <c:v>30.427065073249622</c:v>
                </c:pt>
                <c:pt idx="186">
                  <c:v>30.423506418275025</c:v>
                </c:pt>
                <c:pt idx="187">
                  <c:v>30.430698228299548</c:v>
                </c:pt>
                <c:pt idx="188">
                  <c:v>30.443002581571847</c:v>
                </c:pt>
                <c:pt idx="189">
                  <c:v>30.456802088348212</c:v>
                </c:pt>
                <c:pt idx="190">
                  <c:v>30.476184814744357</c:v>
                </c:pt>
                <c:pt idx="191">
                  <c:v>30.503309890046154</c:v>
                </c:pt>
                <c:pt idx="192">
                  <c:v>30.533654413901814</c:v>
                </c:pt>
                <c:pt idx="193">
                  <c:v>30.570721518844493</c:v>
                </c:pt>
                <c:pt idx="194">
                  <c:v>30.616974666509378</c:v>
                </c:pt>
                <c:pt idx="195">
                  <c:v>30.670853440240251</c:v>
                </c:pt>
                <c:pt idx="196">
                  <c:v>30.729842804914824</c:v>
                </c:pt>
                <c:pt idx="197">
                  <c:v>30.791898786622625</c:v>
                </c:pt>
                <c:pt idx="198">
                  <c:v>30.854706948692836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  <c:pt idx="0">
                  <c:v>45139</c:v>
                </c:pt>
                <c:pt idx="1">
                  <c:v>45200</c:v>
                </c:pt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  <c:pt idx="0">
                  <c:v>10</c:v>
                </c:pt>
                <c:pt idx="1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3705215251849387"/>
          <c:h val="0.41734383202099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  <c:numCache>
                <c:formatCode>m/d/yyyy</c:formatCode>
                <c:ptCount val="378"/>
                <c:pt idx="0">
                  <c:v>45338</c:v>
                </c:pt>
                <c:pt idx="1">
                  <c:v>45339</c:v>
                </c:pt>
                <c:pt idx="2">
                  <c:v>45340</c:v>
                </c:pt>
                <c:pt idx="3">
                  <c:v>45341</c:v>
                </c:pt>
                <c:pt idx="4">
                  <c:v>45342</c:v>
                </c:pt>
                <c:pt idx="5">
                  <c:v>45343</c:v>
                </c:pt>
                <c:pt idx="6">
                  <c:v>45344</c:v>
                </c:pt>
                <c:pt idx="7">
                  <c:v>45345</c:v>
                </c:pt>
                <c:pt idx="8">
                  <c:v>45346</c:v>
                </c:pt>
                <c:pt idx="9">
                  <c:v>45347</c:v>
                </c:pt>
                <c:pt idx="10">
                  <c:v>45348</c:v>
                </c:pt>
                <c:pt idx="11">
                  <c:v>45349</c:v>
                </c:pt>
                <c:pt idx="12">
                  <c:v>45350</c:v>
                </c:pt>
                <c:pt idx="13">
                  <c:v>45351</c:v>
                </c:pt>
                <c:pt idx="14">
                  <c:v>45352</c:v>
                </c:pt>
                <c:pt idx="15">
                  <c:v>45353</c:v>
                </c:pt>
                <c:pt idx="16">
                  <c:v>45354</c:v>
                </c:pt>
                <c:pt idx="17">
                  <c:v>45355</c:v>
                </c:pt>
                <c:pt idx="18">
                  <c:v>45356</c:v>
                </c:pt>
                <c:pt idx="19">
                  <c:v>45357</c:v>
                </c:pt>
                <c:pt idx="20">
                  <c:v>45358</c:v>
                </c:pt>
                <c:pt idx="21">
                  <c:v>45359</c:v>
                </c:pt>
                <c:pt idx="22">
                  <c:v>45360</c:v>
                </c:pt>
                <c:pt idx="23">
                  <c:v>45361</c:v>
                </c:pt>
                <c:pt idx="24">
                  <c:v>45362</c:v>
                </c:pt>
                <c:pt idx="25">
                  <c:v>45363</c:v>
                </c:pt>
                <c:pt idx="26">
                  <c:v>45364</c:v>
                </c:pt>
                <c:pt idx="27">
                  <c:v>45365</c:v>
                </c:pt>
                <c:pt idx="28">
                  <c:v>45366</c:v>
                </c:pt>
                <c:pt idx="29">
                  <c:v>45367</c:v>
                </c:pt>
                <c:pt idx="30">
                  <c:v>45368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45372</c:v>
                </c:pt>
                <c:pt idx="35">
                  <c:v>45373</c:v>
                </c:pt>
                <c:pt idx="36">
                  <c:v>45374</c:v>
                </c:pt>
                <c:pt idx="37">
                  <c:v>45375</c:v>
                </c:pt>
                <c:pt idx="38">
                  <c:v>45376</c:v>
                </c:pt>
                <c:pt idx="39">
                  <c:v>45377</c:v>
                </c:pt>
                <c:pt idx="40">
                  <c:v>45378</c:v>
                </c:pt>
                <c:pt idx="41">
                  <c:v>45379</c:v>
                </c:pt>
                <c:pt idx="42">
                  <c:v>45380</c:v>
                </c:pt>
                <c:pt idx="43">
                  <c:v>45381</c:v>
                </c:pt>
                <c:pt idx="44">
                  <c:v>45382</c:v>
                </c:pt>
                <c:pt idx="45">
                  <c:v>45383</c:v>
                </c:pt>
                <c:pt idx="46">
                  <c:v>45384</c:v>
                </c:pt>
                <c:pt idx="47">
                  <c:v>45385</c:v>
                </c:pt>
                <c:pt idx="48">
                  <c:v>45386</c:v>
                </c:pt>
                <c:pt idx="49">
                  <c:v>45387</c:v>
                </c:pt>
                <c:pt idx="50">
                  <c:v>45388</c:v>
                </c:pt>
                <c:pt idx="51">
                  <c:v>45389</c:v>
                </c:pt>
                <c:pt idx="52">
                  <c:v>45390</c:v>
                </c:pt>
                <c:pt idx="53">
                  <c:v>45391</c:v>
                </c:pt>
                <c:pt idx="54">
                  <c:v>45392</c:v>
                </c:pt>
                <c:pt idx="55">
                  <c:v>45393</c:v>
                </c:pt>
                <c:pt idx="56">
                  <c:v>45394</c:v>
                </c:pt>
                <c:pt idx="57">
                  <c:v>45395</c:v>
                </c:pt>
                <c:pt idx="58">
                  <c:v>45396</c:v>
                </c:pt>
                <c:pt idx="59">
                  <c:v>45397</c:v>
                </c:pt>
                <c:pt idx="60">
                  <c:v>45398</c:v>
                </c:pt>
                <c:pt idx="61">
                  <c:v>45399</c:v>
                </c:pt>
                <c:pt idx="62">
                  <c:v>45400</c:v>
                </c:pt>
                <c:pt idx="63">
                  <c:v>45401</c:v>
                </c:pt>
                <c:pt idx="64">
                  <c:v>45402</c:v>
                </c:pt>
                <c:pt idx="65">
                  <c:v>45403</c:v>
                </c:pt>
                <c:pt idx="66">
                  <c:v>45404</c:v>
                </c:pt>
                <c:pt idx="67">
                  <c:v>45405</c:v>
                </c:pt>
                <c:pt idx="68">
                  <c:v>45406</c:v>
                </c:pt>
                <c:pt idx="69">
                  <c:v>45407</c:v>
                </c:pt>
                <c:pt idx="70">
                  <c:v>45408</c:v>
                </c:pt>
                <c:pt idx="71">
                  <c:v>45409</c:v>
                </c:pt>
                <c:pt idx="72">
                  <c:v>45410</c:v>
                </c:pt>
                <c:pt idx="73">
                  <c:v>45411</c:v>
                </c:pt>
                <c:pt idx="74">
                  <c:v>45412</c:v>
                </c:pt>
                <c:pt idx="75">
                  <c:v>45413</c:v>
                </c:pt>
                <c:pt idx="76">
                  <c:v>45414</c:v>
                </c:pt>
                <c:pt idx="77">
                  <c:v>45415</c:v>
                </c:pt>
                <c:pt idx="78">
                  <c:v>45416</c:v>
                </c:pt>
                <c:pt idx="79">
                  <c:v>45417</c:v>
                </c:pt>
                <c:pt idx="80">
                  <c:v>45418</c:v>
                </c:pt>
                <c:pt idx="81">
                  <c:v>45419</c:v>
                </c:pt>
                <c:pt idx="82">
                  <c:v>45420</c:v>
                </c:pt>
                <c:pt idx="83">
                  <c:v>45421</c:v>
                </c:pt>
                <c:pt idx="84">
                  <c:v>45422</c:v>
                </c:pt>
                <c:pt idx="85">
                  <c:v>45423</c:v>
                </c:pt>
                <c:pt idx="86">
                  <c:v>45424</c:v>
                </c:pt>
                <c:pt idx="87">
                  <c:v>45425</c:v>
                </c:pt>
                <c:pt idx="88">
                  <c:v>45426</c:v>
                </c:pt>
                <c:pt idx="89">
                  <c:v>45427</c:v>
                </c:pt>
                <c:pt idx="90">
                  <c:v>45428</c:v>
                </c:pt>
                <c:pt idx="91">
                  <c:v>45429</c:v>
                </c:pt>
                <c:pt idx="92">
                  <c:v>45430</c:v>
                </c:pt>
                <c:pt idx="93">
                  <c:v>45431</c:v>
                </c:pt>
                <c:pt idx="94">
                  <c:v>45432</c:v>
                </c:pt>
                <c:pt idx="95">
                  <c:v>45433</c:v>
                </c:pt>
                <c:pt idx="96">
                  <c:v>45434</c:v>
                </c:pt>
                <c:pt idx="97">
                  <c:v>45435</c:v>
                </c:pt>
                <c:pt idx="98">
                  <c:v>45436</c:v>
                </c:pt>
                <c:pt idx="99">
                  <c:v>45437</c:v>
                </c:pt>
                <c:pt idx="100">
                  <c:v>45438</c:v>
                </c:pt>
                <c:pt idx="101">
                  <c:v>45439</c:v>
                </c:pt>
                <c:pt idx="102">
                  <c:v>45440</c:v>
                </c:pt>
                <c:pt idx="103">
                  <c:v>45441</c:v>
                </c:pt>
                <c:pt idx="104">
                  <c:v>45442</c:v>
                </c:pt>
                <c:pt idx="105">
                  <c:v>45443</c:v>
                </c:pt>
                <c:pt idx="106">
                  <c:v>45444</c:v>
                </c:pt>
                <c:pt idx="107">
                  <c:v>45445</c:v>
                </c:pt>
                <c:pt idx="108">
                  <c:v>45446</c:v>
                </c:pt>
                <c:pt idx="109">
                  <c:v>45447</c:v>
                </c:pt>
                <c:pt idx="110">
                  <c:v>45448</c:v>
                </c:pt>
                <c:pt idx="111">
                  <c:v>45449</c:v>
                </c:pt>
                <c:pt idx="112">
                  <c:v>45450</c:v>
                </c:pt>
                <c:pt idx="113">
                  <c:v>45451</c:v>
                </c:pt>
                <c:pt idx="114">
                  <c:v>45452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45458</c:v>
                </c:pt>
                <c:pt idx="121">
                  <c:v>45459</c:v>
                </c:pt>
                <c:pt idx="122">
                  <c:v>45460</c:v>
                </c:pt>
                <c:pt idx="123">
                  <c:v>45461</c:v>
                </c:pt>
                <c:pt idx="124">
                  <c:v>45462</c:v>
                </c:pt>
                <c:pt idx="125">
                  <c:v>45463</c:v>
                </c:pt>
                <c:pt idx="126">
                  <c:v>45464</c:v>
                </c:pt>
                <c:pt idx="127">
                  <c:v>45465</c:v>
                </c:pt>
                <c:pt idx="128">
                  <c:v>45466</c:v>
                </c:pt>
                <c:pt idx="129">
                  <c:v>45467</c:v>
                </c:pt>
                <c:pt idx="130">
                  <c:v>45468</c:v>
                </c:pt>
                <c:pt idx="131">
                  <c:v>45469</c:v>
                </c:pt>
                <c:pt idx="132">
                  <c:v>45470</c:v>
                </c:pt>
                <c:pt idx="133">
                  <c:v>45471</c:v>
                </c:pt>
                <c:pt idx="134">
                  <c:v>45472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ConceptDemo!$AD$18:$AD$395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3.6070769382340999</c:v>
                </c:pt>
                <c:pt idx="15">
                  <c:v>3.8197591594989402</c:v>
                </c:pt>
                <c:pt idx="16">
                  <c:v>4.0382155761624601</c:v>
                </c:pt>
                <c:pt idx="17">
                  <c:v>4.27354616761159</c:v>
                </c:pt>
                <c:pt idx="18">
                  <c:v>4.5149528852491798</c:v>
                </c:pt>
                <c:pt idx="19">
                  <c:v>4.7662903865380599</c:v>
                </c:pt>
                <c:pt idx="20">
                  <c:v>5.0321398420181902</c:v>
                </c:pt>
                <c:pt idx="21">
                  <c:v>5.3083735001149996</c:v>
                </c:pt>
                <c:pt idx="22">
                  <c:v>5.6076216362080302</c:v>
                </c:pt>
                <c:pt idx="23">
                  <c:v>5.9162169521672396</c:v>
                </c:pt>
                <c:pt idx="24">
                  <c:v>6.2440376438510103</c:v>
                </c:pt>
                <c:pt idx="25">
                  <c:v>6.5660977881704099</c:v>
                </c:pt>
                <c:pt idx="26">
                  <c:v>6.9156388277703602</c:v>
                </c:pt>
                <c:pt idx="27">
                  <c:v>7.3100522187144401</c:v>
                </c:pt>
                <c:pt idx="28">
                  <c:v>7.7461703085644498</c:v>
                </c:pt>
                <c:pt idx="29">
                  <c:v>8.1628024200050504</c:v>
                </c:pt>
                <c:pt idx="30">
                  <c:v>8.5807033806107604</c:v>
                </c:pt>
                <c:pt idx="31">
                  <c:v>9.0329248502511099</c:v>
                </c:pt>
                <c:pt idx="32">
                  <c:v>9.5187238273173893</c:v>
                </c:pt>
                <c:pt idx="33">
                  <c:v>10.0378038847486</c:v>
                </c:pt>
                <c:pt idx="34">
                  <c:v>10.5901743396836</c:v>
                </c:pt>
                <c:pt idx="35">
                  <c:v>11.1753640573722</c:v>
                </c:pt>
                <c:pt idx="36">
                  <c:v>11.769651319064399</c:v>
                </c:pt>
                <c:pt idx="37">
                  <c:v>12.4184486266282</c:v>
                </c:pt>
                <c:pt idx="38">
                  <c:v>13.1065883208655</c:v>
                </c:pt>
                <c:pt idx="39">
                  <c:v>13.841860863923699</c:v>
                </c:pt>
                <c:pt idx="40">
                  <c:v>14.554759459154299</c:v>
                </c:pt>
                <c:pt idx="41">
                  <c:v>15.321292716054099</c:v>
                </c:pt>
                <c:pt idx="42">
                  <c:v>16.1357519683101</c:v>
                </c:pt>
                <c:pt idx="43">
                  <c:v>16.962161853242598</c:v>
                </c:pt>
                <c:pt idx="44">
                  <c:v>17.8128361129857</c:v>
                </c:pt>
                <c:pt idx="45">
                  <c:v>18.6693689387637</c:v>
                </c:pt>
                <c:pt idx="46">
                  <c:v>19.620067871692299</c:v>
                </c:pt>
                <c:pt idx="47">
                  <c:v>20.597222905382502</c:v>
                </c:pt>
                <c:pt idx="48">
                  <c:v>21.538918233530801</c:v>
                </c:pt>
                <c:pt idx="49">
                  <c:v>22.482569167843302</c:v>
                </c:pt>
                <c:pt idx="50">
                  <c:v>23.390313804663101</c:v>
                </c:pt>
                <c:pt idx="51">
                  <c:v>24.373218056889201</c:v>
                </c:pt>
                <c:pt idx="52">
                  <c:v>25.431281060908699</c:v>
                </c:pt>
                <c:pt idx="53">
                  <c:v>26.5385517384899</c:v>
                </c:pt>
                <c:pt idx="54">
                  <c:v>27.664825145104899</c:v>
                </c:pt>
                <c:pt idx="55">
                  <c:v>28.9041996749202</c:v>
                </c:pt>
                <c:pt idx="56">
                  <c:v>30.146381168701801</c:v>
                </c:pt>
                <c:pt idx="57">
                  <c:v>31.327374365003401</c:v>
                </c:pt>
                <c:pt idx="58">
                  <c:v>32.570367766593897</c:v>
                </c:pt>
                <c:pt idx="59">
                  <c:v>33.865503767727297</c:v>
                </c:pt>
                <c:pt idx="60">
                  <c:v>35.173417800412899</c:v>
                </c:pt>
                <c:pt idx="61">
                  <c:v>36.524162029288</c:v>
                </c:pt>
                <c:pt idx="62">
                  <c:v>37.8381210409324</c:v>
                </c:pt>
                <c:pt idx="63">
                  <c:v>39.329071482943398</c:v>
                </c:pt>
                <c:pt idx="64">
                  <c:v>40.861578083916697</c:v>
                </c:pt>
                <c:pt idx="65">
                  <c:v>42.361002451896397</c:v>
                </c:pt>
                <c:pt idx="66">
                  <c:v>43.935482892164799</c:v>
                </c:pt>
                <c:pt idx="67">
                  <c:v>45.657196664896098</c:v>
                </c:pt>
                <c:pt idx="68">
                  <c:v>47.375603536003403</c:v>
                </c:pt>
                <c:pt idx="69">
                  <c:v>49.0773809407697</c:v>
                </c:pt>
                <c:pt idx="70">
                  <c:v>50.928019181806398</c:v>
                </c:pt>
                <c:pt idx="71">
                  <c:v>52.732245309592699</c:v>
                </c:pt>
                <c:pt idx="72">
                  <c:v>54.539375312493199</c:v>
                </c:pt>
                <c:pt idx="73">
                  <c:v>56.357120347751703</c:v>
                </c:pt>
                <c:pt idx="74">
                  <c:v>57.968182593767501</c:v>
                </c:pt>
                <c:pt idx="75">
                  <c:v>59.600630882560601</c:v>
                </c:pt>
                <c:pt idx="76">
                  <c:v>61.431412965723403</c:v>
                </c:pt>
                <c:pt idx="77">
                  <c:v>63.2981844200553</c:v>
                </c:pt>
                <c:pt idx="78">
                  <c:v>65.258780204388799</c:v>
                </c:pt>
                <c:pt idx="79">
                  <c:v>67.200472579637506</c:v>
                </c:pt>
                <c:pt idx="80">
                  <c:v>69.079533226413304</c:v>
                </c:pt>
                <c:pt idx="81">
                  <c:v>70.998854126787904</c:v>
                </c:pt>
                <c:pt idx="82">
                  <c:v>73.137377356083206</c:v>
                </c:pt>
                <c:pt idx="83">
                  <c:v>75.244156687883205</c:v>
                </c:pt>
                <c:pt idx="84">
                  <c:v>77.271514250754507</c:v>
                </c:pt>
                <c:pt idx="85">
                  <c:v>79.388668946443303</c:v>
                </c:pt>
                <c:pt idx="86">
                  <c:v>81.414558600362895</c:v>
                </c:pt>
                <c:pt idx="87">
                  <c:v>83.470798741576502</c:v>
                </c:pt>
                <c:pt idx="88">
                  <c:v>85.612905887970797</c:v>
                </c:pt>
                <c:pt idx="89">
                  <c:v>87.667801770630803</c:v>
                </c:pt>
                <c:pt idx="90">
                  <c:v>89.628471267734298</c:v>
                </c:pt>
                <c:pt idx="91">
                  <c:v>91.490420036602799</c:v>
                </c:pt>
                <c:pt idx="92">
                  <c:v>93.404480293554997</c:v>
                </c:pt>
                <c:pt idx="93">
                  <c:v>95.296837411205502</c:v>
                </c:pt>
                <c:pt idx="94">
                  <c:v>97.164630472505607</c:v>
                </c:pt>
                <c:pt idx="95">
                  <c:v>98.799709523645504</c:v>
                </c:pt>
                <c:pt idx="96">
                  <c:v>100.523202591862</c:v>
                </c:pt>
                <c:pt idx="97">
                  <c:v>102.281495780569</c:v>
                </c:pt>
                <c:pt idx="98">
                  <c:v>104.000048908891</c:v>
                </c:pt>
                <c:pt idx="99">
                  <c:v>105.77860035595</c:v>
                </c:pt>
                <c:pt idx="100">
                  <c:v>107.451882502431</c:v>
                </c:pt>
                <c:pt idx="101">
                  <c:v>109.07258672106499</c:v>
                </c:pt>
                <c:pt idx="102">
                  <c:v>110.765506617789</c:v>
                </c:pt>
                <c:pt idx="103">
                  <c:v>112.271275301125</c:v>
                </c:pt>
                <c:pt idx="104">
                  <c:v>113.776288918997</c:v>
                </c:pt>
                <c:pt idx="105">
                  <c:v>115.315431777607</c:v>
                </c:pt>
                <c:pt idx="106">
                  <c:v>116.84198937604801</c:v>
                </c:pt>
                <c:pt idx="107">
                  <c:v>118.342041929348</c:v>
                </c:pt>
                <c:pt idx="108">
                  <c:v>119.98658723822</c:v>
                </c:pt>
                <c:pt idx="109">
                  <c:v>121.57607438417701</c:v>
                </c:pt>
                <c:pt idx="110">
                  <c:v>123.13099725780999</c:v>
                </c:pt>
                <c:pt idx="111">
                  <c:v>124.654808335125</c:v>
                </c:pt>
                <c:pt idx="112">
                  <c:v>126.036266242096</c:v>
                </c:pt>
                <c:pt idx="113">
                  <c:v>127.38876547681301</c:v>
                </c:pt>
                <c:pt idx="114">
                  <c:v>128.92415919485401</c:v>
                </c:pt>
                <c:pt idx="115">
                  <c:v>130.43855091972401</c:v>
                </c:pt>
                <c:pt idx="116">
                  <c:v>132.06009205670301</c:v>
                </c:pt>
                <c:pt idx="117">
                  <c:v>133.47599851028301</c:v>
                </c:pt>
                <c:pt idx="118">
                  <c:v>134.824107127003</c:v>
                </c:pt>
                <c:pt idx="119">
                  <c:v>136.00891170662101</c:v>
                </c:pt>
                <c:pt idx="120">
                  <c:v>137.318798565853</c:v>
                </c:pt>
                <c:pt idx="121">
                  <c:v>138.62175924053699</c:v>
                </c:pt>
                <c:pt idx="122">
                  <c:v>139.91479617399301</c:v>
                </c:pt>
                <c:pt idx="123">
                  <c:v>141.22916896916001</c:v>
                </c:pt>
                <c:pt idx="124">
                  <c:v>142.514564483187</c:v>
                </c:pt>
                <c:pt idx="125">
                  <c:v>143.70769787701099</c:v>
                </c:pt>
                <c:pt idx="126">
                  <c:v>144.757225425711</c:v>
                </c:pt>
                <c:pt idx="127">
                  <c:v>145.79570888629101</c:v>
                </c:pt>
                <c:pt idx="128">
                  <c:v>146.96702312657101</c:v>
                </c:pt>
                <c:pt idx="129">
                  <c:v>148.02242113100399</c:v>
                </c:pt>
                <c:pt idx="130">
                  <c:v>149.017572577176</c:v>
                </c:pt>
                <c:pt idx="131">
                  <c:v>149.95755598548701</c:v>
                </c:pt>
                <c:pt idx="132">
                  <c:v>150.88799738615199</c:v>
                </c:pt>
                <c:pt idx="133">
                  <c:v>151.789451641011</c:v>
                </c:pt>
                <c:pt idx="134">
                  <c:v>152.656399777216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  <c:numCache>
                <c:formatCode>m/d/yyyy</c:formatCode>
                <c:ptCount val="378"/>
                <c:pt idx="0">
                  <c:v>45338</c:v>
                </c:pt>
                <c:pt idx="1">
                  <c:v>45339</c:v>
                </c:pt>
                <c:pt idx="2">
                  <c:v>45340</c:v>
                </c:pt>
                <c:pt idx="3">
                  <c:v>45341</c:v>
                </c:pt>
                <c:pt idx="4">
                  <c:v>45342</c:v>
                </c:pt>
                <c:pt idx="5">
                  <c:v>45343</c:v>
                </c:pt>
                <c:pt idx="6">
                  <c:v>45344</c:v>
                </c:pt>
                <c:pt idx="7">
                  <c:v>45345</c:v>
                </c:pt>
                <c:pt idx="8">
                  <c:v>45346</c:v>
                </c:pt>
                <c:pt idx="9">
                  <c:v>45347</c:v>
                </c:pt>
                <c:pt idx="10">
                  <c:v>45348</c:v>
                </c:pt>
                <c:pt idx="11">
                  <c:v>45349</c:v>
                </c:pt>
                <c:pt idx="12">
                  <c:v>45350</c:v>
                </c:pt>
                <c:pt idx="13">
                  <c:v>45351</c:v>
                </c:pt>
                <c:pt idx="14">
                  <c:v>45352</c:v>
                </c:pt>
                <c:pt idx="15">
                  <c:v>45353</c:v>
                </c:pt>
                <c:pt idx="16">
                  <c:v>45354</c:v>
                </c:pt>
                <c:pt idx="17">
                  <c:v>45355</c:v>
                </c:pt>
                <c:pt idx="18">
                  <c:v>45356</c:v>
                </c:pt>
                <c:pt idx="19">
                  <c:v>45357</c:v>
                </c:pt>
                <c:pt idx="20">
                  <c:v>45358</c:v>
                </c:pt>
                <c:pt idx="21">
                  <c:v>45359</c:v>
                </c:pt>
                <c:pt idx="22">
                  <c:v>45360</c:v>
                </c:pt>
                <c:pt idx="23">
                  <c:v>45361</c:v>
                </c:pt>
                <c:pt idx="24">
                  <c:v>45362</c:v>
                </c:pt>
                <c:pt idx="25">
                  <c:v>45363</c:v>
                </c:pt>
                <c:pt idx="26">
                  <c:v>45364</c:v>
                </c:pt>
                <c:pt idx="27">
                  <c:v>45365</c:v>
                </c:pt>
                <c:pt idx="28">
                  <c:v>45366</c:v>
                </c:pt>
                <c:pt idx="29">
                  <c:v>45367</c:v>
                </c:pt>
                <c:pt idx="30">
                  <c:v>45368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45372</c:v>
                </c:pt>
                <c:pt idx="35">
                  <c:v>45373</c:v>
                </c:pt>
                <c:pt idx="36">
                  <c:v>45374</c:v>
                </c:pt>
                <c:pt idx="37">
                  <c:v>45375</c:v>
                </c:pt>
                <c:pt idx="38">
                  <c:v>45376</c:v>
                </c:pt>
                <c:pt idx="39">
                  <c:v>45377</c:v>
                </c:pt>
                <c:pt idx="40">
                  <c:v>45378</c:v>
                </c:pt>
                <c:pt idx="41">
                  <c:v>45379</c:v>
                </c:pt>
                <c:pt idx="42">
                  <c:v>45380</c:v>
                </c:pt>
                <c:pt idx="43">
                  <c:v>45381</c:v>
                </c:pt>
                <c:pt idx="44">
                  <c:v>45382</c:v>
                </c:pt>
                <c:pt idx="45">
                  <c:v>45383</c:v>
                </c:pt>
                <c:pt idx="46">
                  <c:v>45384</c:v>
                </c:pt>
                <c:pt idx="47">
                  <c:v>45385</c:v>
                </c:pt>
                <c:pt idx="48">
                  <c:v>45386</c:v>
                </c:pt>
                <c:pt idx="49">
                  <c:v>45387</c:v>
                </c:pt>
                <c:pt idx="50">
                  <c:v>45388</c:v>
                </c:pt>
                <c:pt idx="51">
                  <c:v>45389</c:v>
                </c:pt>
                <c:pt idx="52">
                  <c:v>45390</c:v>
                </c:pt>
                <c:pt idx="53">
                  <c:v>45391</c:v>
                </c:pt>
                <c:pt idx="54">
                  <c:v>45392</c:v>
                </c:pt>
                <c:pt idx="55">
                  <c:v>45393</c:v>
                </c:pt>
                <c:pt idx="56">
                  <c:v>45394</c:v>
                </c:pt>
                <c:pt idx="57">
                  <c:v>45395</c:v>
                </c:pt>
                <c:pt idx="58">
                  <c:v>45396</c:v>
                </c:pt>
                <c:pt idx="59">
                  <c:v>45397</c:v>
                </c:pt>
                <c:pt idx="60">
                  <c:v>45398</c:v>
                </c:pt>
                <c:pt idx="61">
                  <c:v>45399</c:v>
                </c:pt>
                <c:pt idx="62">
                  <c:v>45400</c:v>
                </c:pt>
                <c:pt idx="63">
                  <c:v>45401</c:v>
                </c:pt>
                <c:pt idx="64">
                  <c:v>45402</c:v>
                </c:pt>
                <c:pt idx="65">
                  <c:v>45403</c:v>
                </c:pt>
                <c:pt idx="66">
                  <c:v>45404</c:v>
                </c:pt>
                <c:pt idx="67">
                  <c:v>45405</c:v>
                </c:pt>
                <c:pt idx="68">
                  <c:v>45406</c:v>
                </c:pt>
                <c:pt idx="69">
                  <c:v>45407</c:v>
                </c:pt>
                <c:pt idx="70">
                  <c:v>45408</c:v>
                </c:pt>
                <c:pt idx="71">
                  <c:v>45409</c:v>
                </c:pt>
                <c:pt idx="72">
                  <c:v>45410</c:v>
                </c:pt>
                <c:pt idx="73">
                  <c:v>45411</c:v>
                </c:pt>
                <c:pt idx="74">
                  <c:v>45412</c:v>
                </c:pt>
                <c:pt idx="75">
                  <c:v>45413</c:v>
                </c:pt>
                <c:pt idx="76">
                  <c:v>45414</c:v>
                </c:pt>
                <c:pt idx="77">
                  <c:v>45415</c:v>
                </c:pt>
                <c:pt idx="78">
                  <c:v>45416</c:v>
                </c:pt>
                <c:pt idx="79">
                  <c:v>45417</c:v>
                </c:pt>
                <c:pt idx="80">
                  <c:v>45418</c:v>
                </c:pt>
                <c:pt idx="81">
                  <c:v>45419</c:v>
                </c:pt>
                <c:pt idx="82">
                  <c:v>45420</c:v>
                </c:pt>
                <c:pt idx="83">
                  <c:v>45421</c:v>
                </c:pt>
                <c:pt idx="84">
                  <c:v>45422</c:v>
                </c:pt>
                <c:pt idx="85">
                  <c:v>45423</c:v>
                </c:pt>
                <c:pt idx="86">
                  <c:v>45424</c:v>
                </c:pt>
                <c:pt idx="87">
                  <c:v>45425</c:v>
                </c:pt>
                <c:pt idx="88">
                  <c:v>45426</c:v>
                </c:pt>
                <c:pt idx="89">
                  <c:v>45427</c:v>
                </c:pt>
                <c:pt idx="90">
                  <c:v>45428</c:v>
                </c:pt>
                <c:pt idx="91">
                  <c:v>45429</c:v>
                </c:pt>
                <c:pt idx="92">
                  <c:v>45430</c:v>
                </c:pt>
                <c:pt idx="93">
                  <c:v>45431</c:v>
                </c:pt>
                <c:pt idx="94">
                  <c:v>45432</c:v>
                </c:pt>
                <c:pt idx="95">
                  <c:v>45433</c:v>
                </c:pt>
                <c:pt idx="96">
                  <c:v>45434</c:v>
                </c:pt>
                <c:pt idx="97">
                  <c:v>45435</c:v>
                </c:pt>
                <c:pt idx="98">
                  <c:v>45436</c:v>
                </c:pt>
                <c:pt idx="99">
                  <c:v>45437</c:v>
                </c:pt>
                <c:pt idx="100">
                  <c:v>45438</c:v>
                </c:pt>
                <c:pt idx="101">
                  <c:v>45439</c:v>
                </c:pt>
                <c:pt idx="102">
                  <c:v>45440</c:v>
                </c:pt>
                <c:pt idx="103">
                  <c:v>45441</c:v>
                </c:pt>
                <c:pt idx="104">
                  <c:v>45442</c:v>
                </c:pt>
                <c:pt idx="105">
                  <c:v>45443</c:v>
                </c:pt>
                <c:pt idx="106">
                  <c:v>45444</c:v>
                </c:pt>
                <c:pt idx="107">
                  <c:v>45445</c:v>
                </c:pt>
                <c:pt idx="108">
                  <c:v>45446</c:v>
                </c:pt>
                <c:pt idx="109">
                  <c:v>45447</c:v>
                </c:pt>
                <c:pt idx="110">
                  <c:v>45448</c:v>
                </c:pt>
                <c:pt idx="111">
                  <c:v>45449</c:v>
                </c:pt>
                <c:pt idx="112">
                  <c:v>45450</c:v>
                </c:pt>
                <c:pt idx="113">
                  <c:v>45451</c:v>
                </c:pt>
                <c:pt idx="114">
                  <c:v>45452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45458</c:v>
                </c:pt>
                <c:pt idx="121">
                  <c:v>45459</c:v>
                </c:pt>
                <c:pt idx="122">
                  <c:v>45460</c:v>
                </c:pt>
                <c:pt idx="123">
                  <c:v>45461</c:v>
                </c:pt>
                <c:pt idx="124">
                  <c:v>45462</c:v>
                </c:pt>
                <c:pt idx="125">
                  <c:v>45463</c:v>
                </c:pt>
                <c:pt idx="126">
                  <c:v>45464</c:v>
                </c:pt>
                <c:pt idx="127">
                  <c:v>45465</c:v>
                </c:pt>
                <c:pt idx="128">
                  <c:v>45466</c:v>
                </c:pt>
                <c:pt idx="129">
                  <c:v>45467</c:v>
                </c:pt>
                <c:pt idx="130">
                  <c:v>45468</c:v>
                </c:pt>
                <c:pt idx="131">
                  <c:v>45469</c:v>
                </c:pt>
                <c:pt idx="132">
                  <c:v>45470</c:v>
                </c:pt>
                <c:pt idx="133">
                  <c:v>45471</c:v>
                </c:pt>
                <c:pt idx="134">
                  <c:v>45472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ConceptDemo!$AC$18:$AC$395</c:f>
              <c:numCache>
                <c:formatCode>General</c:formatCode>
                <c:ptCount val="378"/>
                <c:pt idx="0">
                  <c:v>36.240858593061532</c:v>
                </c:pt>
                <c:pt idx="1">
                  <c:v>41.228468858879921</c:v>
                </c:pt>
                <c:pt idx="2">
                  <c:v>45.817766407011717</c:v>
                </c:pt>
                <c:pt idx="3">
                  <c:v>50.099903589848765</c:v>
                </c:pt>
                <c:pt idx="4">
                  <c:v>53.876504484348089</c:v>
                </c:pt>
                <c:pt idx="5">
                  <c:v>57.126493289940782</c:v>
                </c:pt>
                <c:pt idx="6">
                  <c:v>60.198761137459854</c:v>
                </c:pt>
                <c:pt idx="7">
                  <c:v>62.672114071232429</c:v>
                </c:pt>
                <c:pt idx="8">
                  <c:v>64.755185961594719</c:v>
                </c:pt>
                <c:pt idx="9">
                  <c:v>66.648389453668528</c:v>
                </c:pt>
                <c:pt idx="10">
                  <c:v>68.261008493819659</c:v>
                </c:pt>
                <c:pt idx="11">
                  <c:v>69.666362060756953</c:v>
                </c:pt>
                <c:pt idx="12">
                  <c:v>70.957435400808905</c:v>
                </c:pt>
                <c:pt idx="13">
                  <c:v>72.105374755591981</c:v>
                </c:pt>
                <c:pt idx="14">
                  <c:v>73.149430094001701</c:v>
                </c:pt>
                <c:pt idx="15">
                  <c:v>73.876754934955301</c:v>
                </c:pt>
                <c:pt idx="16">
                  <c:v>74.505905207322485</c:v>
                </c:pt>
                <c:pt idx="17">
                  <c:v>75.080036146726741</c:v>
                </c:pt>
                <c:pt idx="18">
                  <c:v>75.556678752149182</c:v>
                </c:pt>
                <c:pt idx="19">
                  <c:v>75.984251001161198</c:v>
                </c:pt>
                <c:pt idx="20">
                  <c:v>76.335406984418995</c:v>
                </c:pt>
                <c:pt idx="21">
                  <c:v>76.601569605457087</c:v>
                </c:pt>
                <c:pt idx="22">
                  <c:v>76.81483605964786</c:v>
                </c:pt>
                <c:pt idx="23">
                  <c:v>76.976883315258149</c:v>
                </c:pt>
                <c:pt idx="24">
                  <c:v>77.083786418613343</c:v>
                </c:pt>
                <c:pt idx="25">
                  <c:v>77.131431334768166</c:v>
                </c:pt>
                <c:pt idx="26">
                  <c:v>77.130716249144939</c:v>
                </c:pt>
                <c:pt idx="27">
                  <c:v>77.079439223271947</c:v>
                </c:pt>
                <c:pt idx="28">
                  <c:v>76.982970738634279</c:v>
                </c:pt>
                <c:pt idx="29">
                  <c:v>76.847231701585983</c:v>
                </c:pt>
                <c:pt idx="30">
                  <c:v>76.68629096194347</c:v>
                </c:pt>
                <c:pt idx="31">
                  <c:v>76.48141387099669</c:v>
                </c:pt>
                <c:pt idx="32">
                  <c:v>76.229907614854767</c:v>
                </c:pt>
                <c:pt idx="33">
                  <c:v>75.935328322882896</c:v>
                </c:pt>
                <c:pt idx="34">
                  <c:v>75.5995262336438</c:v>
                </c:pt>
                <c:pt idx="35">
                  <c:v>75.223693909995859</c:v>
                </c:pt>
                <c:pt idx="36">
                  <c:v>74.827066186785288</c:v>
                </c:pt>
                <c:pt idx="37">
                  <c:v>74.379335180962443</c:v>
                </c:pt>
                <c:pt idx="38">
                  <c:v>73.890730649266416</c:v>
                </c:pt>
                <c:pt idx="39">
                  <c:v>73.350689640053417</c:v>
                </c:pt>
                <c:pt idx="40">
                  <c:v>72.807439536672447</c:v>
                </c:pt>
                <c:pt idx="41">
                  <c:v>72.211519118382512</c:v>
                </c:pt>
                <c:pt idx="42">
                  <c:v>71.565840271402962</c:v>
                </c:pt>
                <c:pt idx="43">
                  <c:v>70.897445951703403</c:v>
                </c:pt>
                <c:pt idx="44">
                  <c:v>70.196983769979596</c:v>
                </c:pt>
                <c:pt idx="45">
                  <c:v>69.478773868276221</c:v>
                </c:pt>
                <c:pt idx="46">
                  <c:v>68.678761098861088</c:v>
                </c:pt>
                <c:pt idx="47">
                  <c:v>67.852807781730064</c:v>
                </c:pt>
                <c:pt idx="48">
                  <c:v>67.049113004829735</c:v>
                </c:pt>
                <c:pt idx="49">
                  <c:v>66.234436864729687</c:v>
                </c:pt>
                <c:pt idx="50">
                  <c:v>65.442602307166254</c:v>
                </c:pt>
                <c:pt idx="51">
                  <c:v>64.584930543973144</c:v>
                </c:pt>
                <c:pt idx="52">
                  <c:v>63.660263897431122</c:v>
                </c:pt>
                <c:pt idx="53">
                  <c:v>62.690405112033773</c:v>
                </c:pt>
                <c:pt idx="54">
                  <c:v>61.696944606240407</c:v>
                </c:pt>
                <c:pt idx="55">
                  <c:v>60.602430388326113</c:v>
                </c:pt>
                <c:pt idx="56">
                  <c:v>59.50271906702956</c:v>
                </c:pt>
                <c:pt idx="57">
                  <c:v>58.453906841224097</c:v>
                </c:pt>
                <c:pt idx="58">
                  <c:v>57.34382620109119</c:v>
                </c:pt>
                <c:pt idx="59">
                  <c:v>56.191448476581314</c:v>
                </c:pt>
                <c:pt idx="60">
                  <c:v>55.025263139058623</c:v>
                </c:pt>
                <c:pt idx="61">
                  <c:v>53.817367989641951</c:v>
                </c:pt>
                <c:pt idx="62">
                  <c:v>52.636721288887543</c:v>
                </c:pt>
                <c:pt idx="63">
                  <c:v>51.294188210373903</c:v>
                </c:pt>
                <c:pt idx="64">
                  <c:v>49.910437751592212</c:v>
                </c:pt>
                <c:pt idx="65">
                  <c:v>48.549693546870458</c:v>
                </c:pt>
                <c:pt idx="66">
                  <c:v>47.115366380559237</c:v>
                </c:pt>
                <c:pt idx="67">
                  <c:v>45.546294517049546</c:v>
                </c:pt>
                <c:pt idx="68">
                  <c:v>43.984881777696216</c:v>
                </c:pt>
                <c:pt idx="69">
                  <c:v>42.432344099786619</c:v>
                </c:pt>
                <c:pt idx="70">
                  <c:v>40.747330239321826</c:v>
                </c:pt>
                <c:pt idx="71">
                  <c:v>39.106326459604048</c:v>
                </c:pt>
                <c:pt idx="72">
                  <c:v>37.463895862801337</c:v>
                </c:pt>
                <c:pt idx="73">
                  <c:v>35.810205014162861</c:v>
                </c:pt>
                <c:pt idx="74">
                  <c:v>34.339210250454983</c:v>
                </c:pt>
                <c:pt idx="75">
                  <c:v>32.846055952201596</c:v>
                </c:pt>
                <c:pt idx="76">
                  <c:v>31.171252543456802</c:v>
                </c:pt>
                <c:pt idx="77">
                  <c:v>29.461092269032804</c:v>
                </c:pt>
                <c:pt idx="78">
                  <c:v>27.663403916373227</c:v>
                </c:pt>
                <c:pt idx="79">
                  <c:v>25.880070061509855</c:v>
                </c:pt>
                <c:pt idx="80">
                  <c:v>24.151237348680553</c:v>
                </c:pt>
                <c:pt idx="81">
                  <c:v>22.383743124303123</c:v>
                </c:pt>
                <c:pt idx="82">
                  <c:v>20.415249805204297</c:v>
                </c:pt>
                <c:pt idx="83">
                  <c:v>18.473321132055247</c:v>
                </c:pt>
                <c:pt idx="84">
                  <c:v>16.601810072486273</c:v>
                </c:pt>
                <c:pt idx="85">
                  <c:v>14.646986045908619</c:v>
                </c:pt>
                <c:pt idx="86">
                  <c:v>12.774005323436228</c:v>
                </c:pt>
                <c:pt idx="87">
                  <c:v>10.872196750206967</c:v>
                </c:pt>
                <c:pt idx="88">
                  <c:v>8.8910344558486543</c:v>
                </c:pt>
                <c:pt idx="89">
                  <c:v>6.9887345399278047</c:v>
                </c:pt>
                <c:pt idx="90">
                  <c:v>5.1722591985384554</c:v>
                </c:pt>
                <c:pt idx="91">
                  <c:v>3.4462402159339263</c:v>
                </c:pt>
                <c:pt idx="92">
                  <c:v>1.6720363214886902</c:v>
                </c:pt>
                <c:pt idx="93">
                  <c:v>-8.2282866412924704E-2</c:v>
                </c:pt>
                <c:pt idx="94">
                  <c:v>-1.8139460459628651</c:v>
                </c:pt>
                <c:pt idx="95">
                  <c:v>-3.3303208832628854</c:v>
                </c:pt>
                <c:pt idx="96">
                  <c:v>-4.9284228851812486</c:v>
                </c:pt>
                <c:pt idx="97">
                  <c:v>-6.5584033552955248</c:v>
                </c:pt>
                <c:pt idx="98">
                  <c:v>-8.1512681108286245</c:v>
                </c:pt>
                <c:pt idx="99">
                  <c:v>-9.7990581802323788</c:v>
                </c:pt>
                <c:pt idx="100">
                  <c:v>-11.349045086356398</c:v>
                </c:pt>
                <c:pt idx="101">
                  <c:v>-12.849792214698198</c:v>
                </c:pt>
                <c:pt idx="102">
                  <c:v>-14.416626579638347</c:v>
                </c:pt>
                <c:pt idx="103">
                  <c:v>-15.80954982715167</c:v>
                </c:pt>
                <c:pt idx="104">
                  <c:v>-17.201109171244923</c:v>
                </c:pt>
                <c:pt idx="105">
                  <c:v>-18.623528840334586</c:v>
                </c:pt>
                <c:pt idx="106">
                  <c:v>-20.033459273546725</c:v>
                </c:pt>
                <c:pt idx="107">
                  <c:v>-21.417980828827325</c:v>
                </c:pt>
                <c:pt idx="108">
                  <c:v>-22.9346279174693</c:v>
                </c:pt>
                <c:pt idx="109">
                  <c:v>-24.399383931620349</c:v>
                </c:pt>
                <c:pt idx="110">
                  <c:v>-25.831066328176007</c:v>
                </c:pt>
                <c:pt idx="111">
                  <c:v>-27.232821308682219</c:v>
                </c:pt>
                <c:pt idx="112">
                  <c:v>-28.502277048571756</c:v>
                </c:pt>
                <c:pt idx="113">
                  <c:v>-29.743888338597458</c:v>
                </c:pt>
                <c:pt idx="114">
                  <c:v>-31.151992336216978</c:v>
                </c:pt>
                <c:pt idx="115">
                  <c:v>-32.539149593208037</c:v>
                </c:pt>
                <c:pt idx="116">
                  <c:v>-34.021714598139511</c:v>
                </c:pt>
                <c:pt idx="117">
                  <c:v>-35.31522126318535</c:v>
                </c:pt>
                <c:pt idx="118">
                  <c:v>-36.545121492172427</c:v>
                </c:pt>
                <c:pt idx="119">
                  <c:v>-37.624053994297128</c:v>
                </c:pt>
                <c:pt idx="120">
                  <c:v>-38.815828972545177</c:v>
                </c:pt>
                <c:pt idx="121">
                  <c:v>-39.999469604891402</c:v>
                </c:pt>
                <c:pt idx="122">
                  <c:v>-41.172165598375898</c:v>
                </c:pt>
                <c:pt idx="123">
                  <c:v>-42.362058336091962</c:v>
                </c:pt>
                <c:pt idx="124">
                  <c:v>-43.523552524410292</c:v>
                </c:pt>
                <c:pt idx="125">
                  <c:v>-44.599648465101211</c:v>
                </c:pt>
                <c:pt idx="126">
                  <c:v>-45.5439115229793</c:v>
                </c:pt>
                <c:pt idx="127">
                  <c:v>-46.476592623915792</c:v>
                </c:pt>
                <c:pt idx="128">
                  <c:v>-47.527069135334898</c:v>
                </c:pt>
                <c:pt idx="129">
                  <c:v>-48.471340292722942</c:v>
                </c:pt>
                <c:pt idx="130">
                  <c:v>-49.359559050693122</c:v>
                </c:pt>
                <c:pt idx="131">
                  <c:v>-50.196412002587778</c:v>
                </c:pt>
                <c:pt idx="132">
                  <c:v>-51.023047028668827</c:v>
                </c:pt>
                <c:pt idx="133">
                  <c:v>-51.821995949714648</c:v>
                </c:pt>
                <c:pt idx="134">
                  <c:v>-52.588374449589082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ConceptDemo!$W$17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45139</c:v>
                </c:pt>
                <c:pt idx="1">
                  <c:v>45140</c:v>
                </c:pt>
                <c:pt idx="2">
                  <c:v>45141</c:v>
                </c:pt>
                <c:pt idx="3">
                  <c:v>45142</c:v>
                </c:pt>
                <c:pt idx="4">
                  <c:v>45143</c:v>
                </c:pt>
                <c:pt idx="5">
                  <c:v>45144</c:v>
                </c:pt>
                <c:pt idx="6">
                  <c:v>45145</c:v>
                </c:pt>
                <c:pt idx="7">
                  <c:v>45146</c:v>
                </c:pt>
                <c:pt idx="8">
                  <c:v>45147</c:v>
                </c:pt>
                <c:pt idx="9">
                  <c:v>45148</c:v>
                </c:pt>
                <c:pt idx="10">
                  <c:v>45149</c:v>
                </c:pt>
                <c:pt idx="11">
                  <c:v>45150</c:v>
                </c:pt>
                <c:pt idx="12">
                  <c:v>45151</c:v>
                </c:pt>
                <c:pt idx="13">
                  <c:v>45152</c:v>
                </c:pt>
                <c:pt idx="14">
                  <c:v>45153</c:v>
                </c:pt>
                <c:pt idx="15">
                  <c:v>45154</c:v>
                </c:pt>
                <c:pt idx="16">
                  <c:v>45155</c:v>
                </c:pt>
                <c:pt idx="17">
                  <c:v>45156</c:v>
                </c:pt>
                <c:pt idx="18">
                  <c:v>45157</c:v>
                </c:pt>
                <c:pt idx="19">
                  <c:v>45158</c:v>
                </c:pt>
                <c:pt idx="20">
                  <c:v>45159</c:v>
                </c:pt>
                <c:pt idx="21">
                  <c:v>45160</c:v>
                </c:pt>
                <c:pt idx="22">
                  <c:v>45161</c:v>
                </c:pt>
                <c:pt idx="23">
                  <c:v>45162</c:v>
                </c:pt>
                <c:pt idx="24">
                  <c:v>45163</c:v>
                </c:pt>
                <c:pt idx="25">
                  <c:v>45164</c:v>
                </c:pt>
                <c:pt idx="26">
                  <c:v>45165</c:v>
                </c:pt>
                <c:pt idx="27">
                  <c:v>45166</c:v>
                </c:pt>
                <c:pt idx="28">
                  <c:v>45167</c:v>
                </c:pt>
                <c:pt idx="29">
                  <c:v>45168</c:v>
                </c:pt>
                <c:pt idx="30">
                  <c:v>45169</c:v>
                </c:pt>
                <c:pt idx="31">
                  <c:v>45170</c:v>
                </c:pt>
                <c:pt idx="32">
                  <c:v>45171</c:v>
                </c:pt>
                <c:pt idx="33">
                  <c:v>45172</c:v>
                </c:pt>
                <c:pt idx="34">
                  <c:v>45173</c:v>
                </c:pt>
                <c:pt idx="35">
                  <c:v>45174</c:v>
                </c:pt>
                <c:pt idx="36">
                  <c:v>45175</c:v>
                </c:pt>
                <c:pt idx="37">
                  <c:v>45176</c:v>
                </c:pt>
                <c:pt idx="38">
                  <c:v>45177</c:v>
                </c:pt>
                <c:pt idx="39">
                  <c:v>45178</c:v>
                </c:pt>
                <c:pt idx="40">
                  <c:v>45179</c:v>
                </c:pt>
                <c:pt idx="41">
                  <c:v>45180</c:v>
                </c:pt>
                <c:pt idx="42">
                  <c:v>45181</c:v>
                </c:pt>
                <c:pt idx="43">
                  <c:v>45182</c:v>
                </c:pt>
                <c:pt idx="44">
                  <c:v>45183</c:v>
                </c:pt>
                <c:pt idx="45">
                  <c:v>45184</c:v>
                </c:pt>
                <c:pt idx="46">
                  <c:v>45185</c:v>
                </c:pt>
                <c:pt idx="47">
                  <c:v>45186</c:v>
                </c:pt>
                <c:pt idx="48">
                  <c:v>45187</c:v>
                </c:pt>
                <c:pt idx="49">
                  <c:v>45188</c:v>
                </c:pt>
                <c:pt idx="50">
                  <c:v>45189</c:v>
                </c:pt>
                <c:pt idx="51">
                  <c:v>45190</c:v>
                </c:pt>
                <c:pt idx="52">
                  <c:v>45191</c:v>
                </c:pt>
                <c:pt idx="53">
                  <c:v>45192</c:v>
                </c:pt>
                <c:pt idx="54">
                  <c:v>45193</c:v>
                </c:pt>
                <c:pt idx="55">
                  <c:v>45194</c:v>
                </c:pt>
                <c:pt idx="56">
                  <c:v>45195</c:v>
                </c:pt>
                <c:pt idx="57">
                  <c:v>45196</c:v>
                </c:pt>
                <c:pt idx="58">
                  <c:v>45197</c:v>
                </c:pt>
                <c:pt idx="59">
                  <c:v>45198</c:v>
                </c:pt>
                <c:pt idx="60">
                  <c:v>45199</c:v>
                </c:pt>
                <c:pt idx="61">
                  <c:v>45200</c:v>
                </c:pt>
                <c:pt idx="62">
                  <c:v>45201</c:v>
                </c:pt>
                <c:pt idx="63">
                  <c:v>45202</c:v>
                </c:pt>
                <c:pt idx="64">
                  <c:v>45203</c:v>
                </c:pt>
                <c:pt idx="65">
                  <c:v>45204</c:v>
                </c:pt>
                <c:pt idx="66">
                  <c:v>45205</c:v>
                </c:pt>
                <c:pt idx="67">
                  <c:v>45206</c:v>
                </c:pt>
                <c:pt idx="68">
                  <c:v>45207</c:v>
                </c:pt>
                <c:pt idx="69">
                  <c:v>45208</c:v>
                </c:pt>
                <c:pt idx="70">
                  <c:v>45209</c:v>
                </c:pt>
                <c:pt idx="71">
                  <c:v>45210</c:v>
                </c:pt>
                <c:pt idx="72">
                  <c:v>45211</c:v>
                </c:pt>
                <c:pt idx="73">
                  <c:v>45212</c:v>
                </c:pt>
                <c:pt idx="74">
                  <c:v>45213</c:v>
                </c:pt>
                <c:pt idx="75">
                  <c:v>45214</c:v>
                </c:pt>
                <c:pt idx="76">
                  <c:v>45215</c:v>
                </c:pt>
                <c:pt idx="77">
                  <c:v>45216</c:v>
                </c:pt>
                <c:pt idx="78">
                  <c:v>45217</c:v>
                </c:pt>
                <c:pt idx="79">
                  <c:v>45218</c:v>
                </c:pt>
                <c:pt idx="80">
                  <c:v>45219</c:v>
                </c:pt>
                <c:pt idx="81">
                  <c:v>45220</c:v>
                </c:pt>
                <c:pt idx="82">
                  <c:v>45221</c:v>
                </c:pt>
                <c:pt idx="83">
                  <c:v>45222</c:v>
                </c:pt>
                <c:pt idx="84">
                  <c:v>45223</c:v>
                </c:pt>
                <c:pt idx="85">
                  <c:v>45224</c:v>
                </c:pt>
                <c:pt idx="86">
                  <c:v>45225</c:v>
                </c:pt>
                <c:pt idx="87">
                  <c:v>45226</c:v>
                </c:pt>
                <c:pt idx="88">
                  <c:v>45227</c:v>
                </c:pt>
                <c:pt idx="89">
                  <c:v>45228</c:v>
                </c:pt>
                <c:pt idx="90">
                  <c:v>45229</c:v>
                </c:pt>
                <c:pt idx="91">
                  <c:v>45230</c:v>
                </c:pt>
                <c:pt idx="92">
                  <c:v>45231</c:v>
                </c:pt>
                <c:pt idx="93">
                  <c:v>45232</c:v>
                </c:pt>
                <c:pt idx="94">
                  <c:v>45233</c:v>
                </c:pt>
                <c:pt idx="95">
                  <c:v>45234</c:v>
                </c:pt>
                <c:pt idx="96">
                  <c:v>45235</c:v>
                </c:pt>
                <c:pt idx="97">
                  <c:v>45236</c:v>
                </c:pt>
                <c:pt idx="98">
                  <c:v>45237</c:v>
                </c:pt>
                <c:pt idx="99">
                  <c:v>45238</c:v>
                </c:pt>
                <c:pt idx="100">
                  <c:v>45239</c:v>
                </c:pt>
                <c:pt idx="101">
                  <c:v>45240</c:v>
                </c:pt>
                <c:pt idx="102">
                  <c:v>45241</c:v>
                </c:pt>
                <c:pt idx="103">
                  <c:v>45242</c:v>
                </c:pt>
                <c:pt idx="104">
                  <c:v>45243</c:v>
                </c:pt>
                <c:pt idx="105">
                  <c:v>45244</c:v>
                </c:pt>
                <c:pt idx="106">
                  <c:v>45245</c:v>
                </c:pt>
                <c:pt idx="107">
                  <c:v>45246</c:v>
                </c:pt>
                <c:pt idx="108">
                  <c:v>45247</c:v>
                </c:pt>
                <c:pt idx="109">
                  <c:v>45248</c:v>
                </c:pt>
                <c:pt idx="110">
                  <c:v>45249</c:v>
                </c:pt>
                <c:pt idx="111">
                  <c:v>45250</c:v>
                </c:pt>
                <c:pt idx="112">
                  <c:v>45251</c:v>
                </c:pt>
                <c:pt idx="113">
                  <c:v>45252</c:v>
                </c:pt>
                <c:pt idx="114">
                  <c:v>45253</c:v>
                </c:pt>
                <c:pt idx="115">
                  <c:v>45254</c:v>
                </c:pt>
                <c:pt idx="116">
                  <c:v>45255</c:v>
                </c:pt>
                <c:pt idx="117">
                  <c:v>45256</c:v>
                </c:pt>
                <c:pt idx="118">
                  <c:v>45257</c:v>
                </c:pt>
                <c:pt idx="119">
                  <c:v>45258</c:v>
                </c:pt>
                <c:pt idx="120">
                  <c:v>45259</c:v>
                </c:pt>
                <c:pt idx="121">
                  <c:v>45260</c:v>
                </c:pt>
                <c:pt idx="122">
                  <c:v>45261</c:v>
                </c:pt>
                <c:pt idx="123">
                  <c:v>45262</c:v>
                </c:pt>
                <c:pt idx="124">
                  <c:v>45263</c:v>
                </c:pt>
                <c:pt idx="125">
                  <c:v>45264</c:v>
                </c:pt>
                <c:pt idx="126">
                  <c:v>45265</c:v>
                </c:pt>
                <c:pt idx="127">
                  <c:v>45266</c:v>
                </c:pt>
                <c:pt idx="128">
                  <c:v>45267</c:v>
                </c:pt>
                <c:pt idx="129">
                  <c:v>45268</c:v>
                </c:pt>
                <c:pt idx="130">
                  <c:v>45269</c:v>
                </c:pt>
                <c:pt idx="131">
                  <c:v>45270</c:v>
                </c:pt>
                <c:pt idx="132">
                  <c:v>45271</c:v>
                </c:pt>
                <c:pt idx="133">
                  <c:v>45272</c:v>
                </c:pt>
                <c:pt idx="134">
                  <c:v>45273</c:v>
                </c:pt>
                <c:pt idx="135">
                  <c:v>45274</c:v>
                </c:pt>
                <c:pt idx="136">
                  <c:v>45275</c:v>
                </c:pt>
                <c:pt idx="137">
                  <c:v>45276</c:v>
                </c:pt>
                <c:pt idx="138">
                  <c:v>45277</c:v>
                </c:pt>
                <c:pt idx="139">
                  <c:v>45278</c:v>
                </c:pt>
                <c:pt idx="140">
                  <c:v>45279</c:v>
                </c:pt>
                <c:pt idx="141">
                  <c:v>45280</c:v>
                </c:pt>
                <c:pt idx="142">
                  <c:v>45281</c:v>
                </c:pt>
                <c:pt idx="143">
                  <c:v>45282</c:v>
                </c:pt>
                <c:pt idx="144">
                  <c:v>45283</c:v>
                </c:pt>
                <c:pt idx="145">
                  <c:v>45284</c:v>
                </c:pt>
                <c:pt idx="146">
                  <c:v>45285</c:v>
                </c:pt>
                <c:pt idx="147">
                  <c:v>45286</c:v>
                </c:pt>
                <c:pt idx="148">
                  <c:v>45287</c:v>
                </c:pt>
                <c:pt idx="149">
                  <c:v>45288</c:v>
                </c:pt>
                <c:pt idx="150">
                  <c:v>45289</c:v>
                </c:pt>
                <c:pt idx="151">
                  <c:v>45290</c:v>
                </c:pt>
                <c:pt idx="152">
                  <c:v>45291</c:v>
                </c:pt>
                <c:pt idx="153">
                  <c:v>45292</c:v>
                </c:pt>
                <c:pt idx="154">
                  <c:v>45293</c:v>
                </c:pt>
                <c:pt idx="155">
                  <c:v>45294</c:v>
                </c:pt>
                <c:pt idx="156">
                  <c:v>45295</c:v>
                </c:pt>
                <c:pt idx="157">
                  <c:v>45296</c:v>
                </c:pt>
                <c:pt idx="158">
                  <c:v>45297</c:v>
                </c:pt>
                <c:pt idx="159">
                  <c:v>45298</c:v>
                </c:pt>
                <c:pt idx="160">
                  <c:v>45299</c:v>
                </c:pt>
                <c:pt idx="161">
                  <c:v>45300</c:v>
                </c:pt>
                <c:pt idx="162">
                  <c:v>45301</c:v>
                </c:pt>
                <c:pt idx="163">
                  <c:v>45302</c:v>
                </c:pt>
                <c:pt idx="164">
                  <c:v>45303</c:v>
                </c:pt>
                <c:pt idx="165">
                  <c:v>45304</c:v>
                </c:pt>
                <c:pt idx="166">
                  <c:v>45305</c:v>
                </c:pt>
                <c:pt idx="167">
                  <c:v>45306</c:v>
                </c:pt>
                <c:pt idx="168">
                  <c:v>45307</c:v>
                </c:pt>
                <c:pt idx="169">
                  <c:v>45308</c:v>
                </c:pt>
                <c:pt idx="170">
                  <c:v>45309</c:v>
                </c:pt>
                <c:pt idx="171">
                  <c:v>45310</c:v>
                </c:pt>
                <c:pt idx="172">
                  <c:v>45311</c:v>
                </c:pt>
                <c:pt idx="173">
                  <c:v>45312</c:v>
                </c:pt>
                <c:pt idx="174">
                  <c:v>45313</c:v>
                </c:pt>
                <c:pt idx="175">
                  <c:v>45314</c:v>
                </c:pt>
                <c:pt idx="176">
                  <c:v>45315</c:v>
                </c:pt>
                <c:pt idx="177">
                  <c:v>45316</c:v>
                </c:pt>
                <c:pt idx="178">
                  <c:v>45317</c:v>
                </c:pt>
                <c:pt idx="179">
                  <c:v>45318</c:v>
                </c:pt>
                <c:pt idx="180">
                  <c:v>45319</c:v>
                </c:pt>
                <c:pt idx="181">
                  <c:v>45320</c:v>
                </c:pt>
                <c:pt idx="182">
                  <c:v>45321</c:v>
                </c:pt>
                <c:pt idx="183">
                  <c:v>45322</c:v>
                </c:pt>
                <c:pt idx="184">
                  <c:v>45323</c:v>
                </c:pt>
                <c:pt idx="185">
                  <c:v>45324</c:v>
                </c:pt>
                <c:pt idx="186">
                  <c:v>45325</c:v>
                </c:pt>
                <c:pt idx="187">
                  <c:v>45326</c:v>
                </c:pt>
                <c:pt idx="188">
                  <c:v>45327</c:v>
                </c:pt>
                <c:pt idx="189">
                  <c:v>45328</c:v>
                </c:pt>
                <c:pt idx="190">
                  <c:v>45329</c:v>
                </c:pt>
                <c:pt idx="191">
                  <c:v>45330</c:v>
                </c:pt>
                <c:pt idx="192">
                  <c:v>45331</c:v>
                </c:pt>
                <c:pt idx="193">
                  <c:v>45332</c:v>
                </c:pt>
                <c:pt idx="194">
                  <c:v>45333</c:v>
                </c:pt>
                <c:pt idx="195">
                  <c:v>45334</c:v>
                </c:pt>
                <c:pt idx="196">
                  <c:v>45335</c:v>
                </c:pt>
                <c:pt idx="197">
                  <c:v>45336</c:v>
                </c:pt>
                <c:pt idx="198">
                  <c:v>45337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ConceptDemo!$W$18:$W$395</c:f>
              <c:numCache>
                <c:formatCode>General</c:formatCode>
                <c:ptCount val="378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118.82799314820541</c:v>
                </c:pt>
                <c:pt idx="24">
                  <c:v>119.85318310937829</c:v>
                </c:pt>
                <c:pt idx="25">
                  <c:v>120</c:v>
                </c:pt>
                <c:pt idx="26">
                  <c:v>119.37898463099964</c:v>
                </c:pt>
                <c:pt idx="27">
                  <c:v>119.64474241622304</c:v>
                </c:pt>
                <c:pt idx="28">
                  <c:v>120</c:v>
                </c:pt>
                <c:pt idx="29">
                  <c:v>119.78842442960301</c:v>
                </c:pt>
                <c:pt idx="30">
                  <c:v>119.71733055497457</c:v>
                </c:pt>
                <c:pt idx="31">
                  <c:v>118.71698616744726</c:v>
                </c:pt>
                <c:pt idx="32">
                  <c:v>120</c:v>
                </c:pt>
                <c:pt idx="33">
                  <c:v>119.32501354451864</c:v>
                </c:pt>
                <c:pt idx="34">
                  <c:v>119.98423023840981</c:v>
                </c:pt>
                <c:pt idx="35">
                  <c:v>120</c:v>
                </c:pt>
                <c:pt idx="36">
                  <c:v>120</c:v>
                </c:pt>
                <c:pt idx="37">
                  <c:v>119.3829797167205</c:v>
                </c:pt>
                <c:pt idx="38">
                  <c:v>118.39812841545749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119.62260899914814</c:v>
                </c:pt>
                <c:pt idx="44">
                  <c:v>120</c:v>
                </c:pt>
                <c:pt idx="45">
                  <c:v>119.49598882181479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119.66018355130257</c:v>
                </c:pt>
                <c:pt idx="52">
                  <c:v>120</c:v>
                </c:pt>
                <c:pt idx="53">
                  <c:v>119.660706003218</c:v>
                </c:pt>
                <c:pt idx="54">
                  <c:v>120</c:v>
                </c:pt>
                <c:pt idx="55">
                  <c:v>119.39970180021419</c:v>
                </c:pt>
                <c:pt idx="56">
                  <c:v>118.25031433445481</c:v>
                </c:pt>
                <c:pt idx="57">
                  <c:v>116.88211222553159</c:v>
                </c:pt>
                <c:pt idx="58">
                  <c:v>119.94564688199181</c:v>
                </c:pt>
                <c:pt idx="59">
                  <c:v>119.78975742411082</c:v>
                </c:pt>
                <c:pt idx="60">
                  <c:v>120</c:v>
                </c:pt>
                <c:pt idx="61">
                  <c:v>119.88264966558708</c:v>
                </c:pt>
                <c:pt idx="62">
                  <c:v>120</c:v>
                </c:pt>
                <c:pt idx="63">
                  <c:v>120</c:v>
                </c:pt>
                <c:pt idx="64">
                  <c:v>118.90817278094505</c:v>
                </c:pt>
                <c:pt idx="65">
                  <c:v>118.7759387666416</c:v>
                </c:pt>
                <c:pt idx="66">
                  <c:v>117.70682476684362</c:v>
                </c:pt>
                <c:pt idx="67">
                  <c:v>116.7490661815754</c:v>
                </c:pt>
                <c:pt idx="68">
                  <c:v>118.88029712525636</c:v>
                </c:pt>
                <c:pt idx="69">
                  <c:v>118.79573338701675</c:v>
                </c:pt>
                <c:pt idx="70">
                  <c:v>119.22456257034219</c:v>
                </c:pt>
                <c:pt idx="71">
                  <c:v>120</c:v>
                </c:pt>
                <c:pt idx="72">
                  <c:v>119.21268963432094</c:v>
                </c:pt>
                <c:pt idx="73">
                  <c:v>119.96187252766192</c:v>
                </c:pt>
                <c:pt idx="74">
                  <c:v>120</c:v>
                </c:pt>
                <c:pt idx="75">
                  <c:v>120</c:v>
                </c:pt>
                <c:pt idx="76">
                  <c:v>118.68662892996421</c:v>
                </c:pt>
                <c:pt idx="77">
                  <c:v>118.80245495308229</c:v>
                </c:pt>
                <c:pt idx="78">
                  <c:v>119.64746728293298</c:v>
                </c:pt>
                <c:pt idx="79">
                  <c:v>117.76195687767819</c:v>
                </c:pt>
                <c:pt idx="80">
                  <c:v>116.20984848149462</c:v>
                </c:pt>
                <c:pt idx="81">
                  <c:v>114.4779355097513</c:v>
                </c:pt>
                <c:pt idx="82">
                  <c:v>115.93159872014171</c:v>
                </c:pt>
                <c:pt idx="83">
                  <c:v>116.09671688220001</c:v>
                </c:pt>
                <c:pt idx="84">
                  <c:v>114.04325118460977</c:v>
                </c:pt>
                <c:pt idx="85">
                  <c:v>112.45644978829169</c:v>
                </c:pt>
                <c:pt idx="86">
                  <c:v>113.14511765449244</c:v>
                </c:pt>
                <c:pt idx="87">
                  <c:v>115.50359449562472</c:v>
                </c:pt>
                <c:pt idx="88">
                  <c:v>118.59898262937706</c:v>
                </c:pt>
                <c:pt idx="89">
                  <c:v>119.48559312201688</c:v>
                </c:pt>
                <c:pt idx="90">
                  <c:v>116.69984837621264</c:v>
                </c:pt>
                <c:pt idx="91">
                  <c:v>117.02008703714361</c:v>
                </c:pt>
                <c:pt idx="92">
                  <c:v>116.63270620532307</c:v>
                </c:pt>
                <c:pt idx="93">
                  <c:v>114.84918426458125</c:v>
                </c:pt>
                <c:pt idx="94">
                  <c:v>117.4062611572121</c:v>
                </c:pt>
                <c:pt idx="95">
                  <c:v>116.55474738756546</c:v>
                </c:pt>
                <c:pt idx="96">
                  <c:v>114.30846295932173</c:v>
                </c:pt>
                <c:pt idx="97">
                  <c:v>111.53758200112601</c:v>
                </c:pt>
                <c:pt idx="98">
                  <c:v>110.53389119152591</c:v>
                </c:pt>
                <c:pt idx="99">
                  <c:v>110.38093854658908</c:v>
                </c:pt>
                <c:pt idx="100">
                  <c:v>110.37748856558903</c:v>
                </c:pt>
                <c:pt idx="101">
                  <c:v>109.8335219815157</c:v>
                </c:pt>
                <c:pt idx="102">
                  <c:v>110.97993887692137</c:v>
                </c:pt>
                <c:pt idx="103">
                  <c:v>111.21494587393707</c:v>
                </c:pt>
                <c:pt idx="104">
                  <c:v>109.21029080989189</c:v>
                </c:pt>
                <c:pt idx="105">
                  <c:v>107.28752936971712</c:v>
                </c:pt>
                <c:pt idx="106">
                  <c:v>106.06190472354417</c:v>
                </c:pt>
                <c:pt idx="107">
                  <c:v>107.98995169734408</c:v>
                </c:pt>
                <c:pt idx="108">
                  <c:v>110.53573911222611</c:v>
                </c:pt>
                <c:pt idx="109">
                  <c:v>113.41985590403695</c:v>
                </c:pt>
                <c:pt idx="110">
                  <c:v>110.85548113772739</c:v>
                </c:pt>
                <c:pt idx="111">
                  <c:v>110.02648430889687</c:v>
                </c:pt>
                <c:pt idx="112">
                  <c:v>108.28404108946549</c:v>
                </c:pt>
                <c:pt idx="113">
                  <c:v>106.36330554994876</c:v>
                </c:pt>
                <c:pt idx="114">
                  <c:v>102.80003043613942</c:v>
                </c:pt>
                <c:pt idx="115">
                  <c:v>101.40365378770721</c:v>
                </c:pt>
                <c:pt idx="116">
                  <c:v>100.26910158625408</c:v>
                </c:pt>
                <c:pt idx="117">
                  <c:v>103.00768890264774</c:v>
                </c:pt>
                <c:pt idx="118">
                  <c:v>101.40264048671554</c:v>
                </c:pt>
                <c:pt idx="119">
                  <c:v>105.93062937255215</c:v>
                </c:pt>
                <c:pt idx="120">
                  <c:v>102.53584801953319</c:v>
                </c:pt>
                <c:pt idx="121">
                  <c:v>104.12353084273707</c:v>
                </c:pt>
                <c:pt idx="122">
                  <c:v>107.71845722150134</c:v>
                </c:pt>
                <c:pt idx="123">
                  <c:v>105.0226606751496</c:v>
                </c:pt>
                <c:pt idx="124">
                  <c:v>104.01638903081233</c:v>
                </c:pt>
                <c:pt idx="125">
                  <c:v>103.32571048251775</c:v>
                </c:pt>
                <c:pt idx="126">
                  <c:v>101.13340954555746</c:v>
                </c:pt>
                <c:pt idx="127">
                  <c:v>100.96469851053853</c:v>
                </c:pt>
                <c:pt idx="128">
                  <c:v>100.76029533116537</c:v>
                </c:pt>
                <c:pt idx="129">
                  <c:v>104.05494839012655</c:v>
                </c:pt>
                <c:pt idx="130">
                  <c:v>102.22880489410122</c:v>
                </c:pt>
                <c:pt idx="131">
                  <c:v>105.74967400156473</c:v>
                </c:pt>
                <c:pt idx="132">
                  <c:v>104.79198884888118</c:v>
                </c:pt>
                <c:pt idx="133">
                  <c:v>103.74844693200679</c:v>
                </c:pt>
                <c:pt idx="134">
                  <c:v>101.45365337687153</c:v>
                </c:pt>
                <c:pt idx="135">
                  <c:v>99.294129554389343</c:v>
                </c:pt>
                <c:pt idx="136">
                  <c:v>100.13552616252518</c:v>
                </c:pt>
                <c:pt idx="137">
                  <c:v>97.816044650386218</c:v>
                </c:pt>
                <c:pt idx="138">
                  <c:v>98.393399952097383</c:v>
                </c:pt>
                <c:pt idx="139">
                  <c:v>96.229360102190469</c:v>
                </c:pt>
                <c:pt idx="140">
                  <c:v>100.04964863817736</c:v>
                </c:pt>
                <c:pt idx="141">
                  <c:v>100.78334602962589</c:v>
                </c:pt>
                <c:pt idx="142">
                  <c:v>98.112654322317695</c:v>
                </c:pt>
                <c:pt idx="143">
                  <c:v>95.367483624910165</c:v>
                </c:pt>
                <c:pt idx="144">
                  <c:v>92.421750659674458</c:v>
                </c:pt>
                <c:pt idx="145">
                  <c:v>93.126698331480142</c:v>
                </c:pt>
                <c:pt idx="146">
                  <c:v>94.237909201646147</c:v>
                </c:pt>
                <c:pt idx="147">
                  <c:v>90.858623990107503</c:v>
                </c:pt>
                <c:pt idx="148">
                  <c:v>87.986405037654379</c:v>
                </c:pt>
                <c:pt idx="149">
                  <c:v>85.908818864317126</c:v>
                </c:pt>
                <c:pt idx="150">
                  <c:v>86.752332798146796</c:v>
                </c:pt>
                <c:pt idx="151">
                  <c:v>87.326044484331192</c:v>
                </c:pt>
                <c:pt idx="152">
                  <c:v>88.537285774143683</c:v>
                </c:pt>
                <c:pt idx="153">
                  <c:v>87.67390147262067</c:v>
                </c:pt>
                <c:pt idx="154">
                  <c:v>87.173019861174566</c:v>
                </c:pt>
                <c:pt idx="155">
                  <c:v>90.540928797721506</c:v>
                </c:pt>
                <c:pt idx="156">
                  <c:v>88.132163754365877</c:v>
                </c:pt>
                <c:pt idx="157">
                  <c:v>87.364328668216018</c:v>
                </c:pt>
                <c:pt idx="158">
                  <c:v>84.090490237271624</c:v>
                </c:pt>
                <c:pt idx="159">
                  <c:v>83.661349185267994</c:v>
                </c:pt>
                <c:pt idx="160">
                  <c:v>82.255091635624183</c:v>
                </c:pt>
                <c:pt idx="161">
                  <c:v>78.905100830517696</c:v>
                </c:pt>
                <c:pt idx="162">
                  <c:v>76.78036164592973</c:v>
                </c:pt>
                <c:pt idx="163">
                  <c:v>73.621213522546995</c:v>
                </c:pt>
                <c:pt idx="164">
                  <c:v>71.424683144880063</c:v>
                </c:pt>
                <c:pt idx="165">
                  <c:v>71.186380286556926</c:v>
                </c:pt>
                <c:pt idx="166">
                  <c:v>70.504698475529551</c:v>
                </c:pt>
                <c:pt idx="167">
                  <c:v>69.707654135193295</c:v>
                </c:pt>
                <c:pt idx="168">
                  <c:v>66.785392543334382</c:v>
                </c:pt>
                <c:pt idx="169">
                  <c:v>65.269934337292995</c:v>
                </c:pt>
                <c:pt idx="170">
                  <c:v>66.457893953866957</c:v>
                </c:pt>
                <c:pt idx="171">
                  <c:v>65.882045967829526</c:v>
                </c:pt>
                <c:pt idx="172">
                  <c:v>65.886045606079961</c:v>
                </c:pt>
                <c:pt idx="173">
                  <c:v>65.408619308693346</c:v>
                </c:pt>
                <c:pt idx="174">
                  <c:v>65.636277899404348</c:v>
                </c:pt>
                <c:pt idx="175">
                  <c:v>68.647830332357714</c:v>
                </c:pt>
                <c:pt idx="176">
                  <c:v>67.091334029565516</c:v>
                </c:pt>
                <c:pt idx="177">
                  <c:v>64.588015674473851</c:v>
                </c:pt>
                <c:pt idx="178">
                  <c:v>63.539473873216828</c:v>
                </c:pt>
                <c:pt idx="179">
                  <c:v>65.51650319233174</c:v>
                </c:pt>
                <c:pt idx="180">
                  <c:v>63.913339813589467</c:v>
                </c:pt>
                <c:pt idx="181">
                  <c:v>61.159858413542288</c:v>
                </c:pt>
                <c:pt idx="182">
                  <c:v>59.949502088574086</c:v>
                </c:pt>
                <c:pt idx="183">
                  <c:v>57.527638523200388</c:v>
                </c:pt>
                <c:pt idx="184">
                  <c:v>60.651826819157129</c:v>
                </c:pt>
                <c:pt idx="185">
                  <c:v>63.754075136582514</c:v>
                </c:pt>
                <c:pt idx="186">
                  <c:v>61.403341549392124</c:v>
                </c:pt>
                <c:pt idx="187">
                  <c:v>64.093805806266531</c:v>
                </c:pt>
                <c:pt idx="188">
                  <c:v>63.792778014875402</c:v>
                </c:pt>
                <c:pt idx="189">
                  <c:v>61.735046080766992</c:v>
                </c:pt>
                <c:pt idx="190">
                  <c:v>62.506773315387555</c:v>
                </c:pt>
                <c:pt idx="191">
                  <c:v>63.012400171392223</c:v>
                </c:pt>
                <c:pt idx="192">
                  <c:v>61.281072859187724</c:v>
                </c:pt>
                <c:pt idx="193">
                  <c:v>62.009609484620121</c:v>
                </c:pt>
                <c:pt idx="194">
                  <c:v>65.246859928480717</c:v>
                </c:pt>
                <c:pt idx="195">
                  <c:v>65.042192593869345</c:v>
                </c:pt>
                <c:pt idx="196">
                  <c:v>63.659763044522769</c:v>
                </c:pt>
                <c:pt idx="197">
                  <c:v>62.697006530932967</c:v>
                </c:pt>
                <c:pt idx="198">
                  <c:v>62.44921625053432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ConceptDemo!$Y$17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45139</c:v>
                </c:pt>
                <c:pt idx="1">
                  <c:v>45140</c:v>
                </c:pt>
                <c:pt idx="2">
                  <c:v>45141</c:v>
                </c:pt>
                <c:pt idx="3">
                  <c:v>45142</c:v>
                </c:pt>
                <c:pt idx="4">
                  <c:v>45143</c:v>
                </c:pt>
                <c:pt idx="5">
                  <c:v>45144</c:v>
                </c:pt>
                <c:pt idx="6">
                  <c:v>45145</c:v>
                </c:pt>
                <c:pt idx="7">
                  <c:v>45146</c:v>
                </c:pt>
                <c:pt idx="8">
                  <c:v>45147</c:v>
                </c:pt>
                <c:pt idx="9">
                  <c:v>45148</c:v>
                </c:pt>
                <c:pt idx="10">
                  <c:v>45149</c:v>
                </c:pt>
                <c:pt idx="11">
                  <c:v>45150</c:v>
                </c:pt>
                <c:pt idx="12">
                  <c:v>45151</c:v>
                </c:pt>
                <c:pt idx="13">
                  <c:v>45152</c:v>
                </c:pt>
                <c:pt idx="14">
                  <c:v>45153</c:v>
                </c:pt>
                <c:pt idx="15">
                  <c:v>45154</c:v>
                </c:pt>
                <c:pt idx="16">
                  <c:v>45155</c:v>
                </c:pt>
                <c:pt idx="17">
                  <c:v>45156</c:v>
                </c:pt>
                <c:pt idx="18">
                  <c:v>45157</c:v>
                </c:pt>
                <c:pt idx="19">
                  <c:v>45158</c:v>
                </c:pt>
                <c:pt idx="20">
                  <c:v>45159</c:v>
                </c:pt>
                <c:pt idx="21">
                  <c:v>45160</c:v>
                </c:pt>
                <c:pt idx="22">
                  <c:v>45161</c:v>
                </c:pt>
                <c:pt idx="23">
                  <c:v>45162</c:v>
                </c:pt>
                <c:pt idx="24">
                  <c:v>45163</c:v>
                </c:pt>
                <c:pt idx="25">
                  <c:v>45164</c:v>
                </c:pt>
                <c:pt idx="26">
                  <c:v>45165</c:v>
                </c:pt>
                <c:pt idx="27">
                  <c:v>45166</c:v>
                </c:pt>
                <c:pt idx="28">
                  <c:v>45167</c:v>
                </c:pt>
                <c:pt idx="29">
                  <c:v>45168</c:v>
                </c:pt>
                <c:pt idx="30">
                  <c:v>45169</c:v>
                </c:pt>
                <c:pt idx="31">
                  <c:v>45170</c:v>
                </c:pt>
                <c:pt idx="32">
                  <c:v>45171</c:v>
                </c:pt>
                <c:pt idx="33">
                  <c:v>45172</c:v>
                </c:pt>
                <c:pt idx="34">
                  <c:v>45173</c:v>
                </c:pt>
                <c:pt idx="35">
                  <c:v>45174</c:v>
                </c:pt>
                <c:pt idx="36">
                  <c:v>45175</c:v>
                </c:pt>
                <c:pt idx="37">
                  <c:v>45176</c:v>
                </c:pt>
                <c:pt idx="38">
                  <c:v>45177</c:v>
                </c:pt>
                <c:pt idx="39">
                  <c:v>45178</c:v>
                </c:pt>
                <c:pt idx="40">
                  <c:v>45179</c:v>
                </c:pt>
                <c:pt idx="41">
                  <c:v>45180</c:v>
                </c:pt>
                <c:pt idx="42">
                  <c:v>45181</c:v>
                </c:pt>
                <c:pt idx="43">
                  <c:v>45182</c:v>
                </c:pt>
                <c:pt idx="44">
                  <c:v>45183</c:v>
                </c:pt>
                <c:pt idx="45">
                  <c:v>45184</c:v>
                </c:pt>
                <c:pt idx="46">
                  <c:v>45185</c:v>
                </c:pt>
                <c:pt idx="47">
                  <c:v>45186</c:v>
                </c:pt>
                <c:pt idx="48">
                  <c:v>45187</c:v>
                </c:pt>
                <c:pt idx="49">
                  <c:v>45188</c:v>
                </c:pt>
                <c:pt idx="50">
                  <c:v>45189</c:v>
                </c:pt>
                <c:pt idx="51">
                  <c:v>45190</c:v>
                </c:pt>
                <c:pt idx="52">
                  <c:v>45191</c:v>
                </c:pt>
                <c:pt idx="53">
                  <c:v>45192</c:v>
                </c:pt>
                <c:pt idx="54">
                  <c:v>45193</c:v>
                </c:pt>
                <c:pt idx="55">
                  <c:v>45194</c:v>
                </c:pt>
                <c:pt idx="56">
                  <c:v>45195</c:v>
                </c:pt>
                <c:pt idx="57">
                  <c:v>45196</c:v>
                </c:pt>
                <c:pt idx="58">
                  <c:v>45197</c:v>
                </c:pt>
                <c:pt idx="59">
                  <c:v>45198</c:v>
                </c:pt>
                <c:pt idx="60">
                  <c:v>45199</c:v>
                </c:pt>
                <c:pt idx="61">
                  <c:v>45200</c:v>
                </c:pt>
                <c:pt idx="62">
                  <c:v>45201</c:v>
                </c:pt>
                <c:pt idx="63">
                  <c:v>45202</c:v>
                </c:pt>
                <c:pt idx="64">
                  <c:v>45203</c:v>
                </c:pt>
                <c:pt idx="65">
                  <c:v>45204</c:v>
                </c:pt>
                <c:pt idx="66">
                  <c:v>45205</c:v>
                </c:pt>
                <c:pt idx="67">
                  <c:v>45206</c:v>
                </c:pt>
                <c:pt idx="68">
                  <c:v>45207</c:v>
                </c:pt>
                <c:pt idx="69">
                  <c:v>45208</c:v>
                </c:pt>
                <c:pt idx="70">
                  <c:v>45209</c:v>
                </c:pt>
                <c:pt idx="71">
                  <c:v>45210</c:v>
                </c:pt>
                <c:pt idx="72">
                  <c:v>45211</c:v>
                </c:pt>
                <c:pt idx="73">
                  <c:v>45212</c:v>
                </c:pt>
                <c:pt idx="74">
                  <c:v>45213</c:v>
                </c:pt>
                <c:pt idx="75">
                  <c:v>45214</c:v>
                </c:pt>
                <c:pt idx="76">
                  <c:v>45215</c:v>
                </c:pt>
                <c:pt idx="77">
                  <c:v>45216</c:v>
                </c:pt>
                <c:pt idx="78">
                  <c:v>45217</c:v>
                </c:pt>
                <c:pt idx="79">
                  <c:v>45218</c:v>
                </c:pt>
                <c:pt idx="80">
                  <c:v>45219</c:v>
                </c:pt>
                <c:pt idx="81">
                  <c:v>45220</c:v>
                </c:pt>
                <c:pt idx="82">
                  <c:v>45221</c:v>
                </c:pt>
                <c:pt idx="83">
                  <c:v>45222</c:v>
                </c:pt>
                <c:pt idx="84">
                  <c:v>45223</c:v>
                </c:pt>
                <c:pt idx="85">
                  <c:v>45224</c:v>
                </c:pt>
                <c:pt idx="86">
                  <c:v>45225</c:v>
                </c:pt>
                <c:pt idx="87">
                  <c:v>45226</c:v>
                </c:pt>
                <c:pt idx="88">
                  <c:v>45227</c:v>
                </c:pt>
                <c:pt idx="89">
                  <c:v>45228</c:v>
                </c:pt>
                <c:pt idx="90">
                  <c:v>45229</c:v>
                </c:pt>
                <c:pt idx="91">
                  <c:v>45230</c:v>
                </c:pt>
                <c:pt idx="92">
                  <c:v>45231</c:v>
                </c:pt>
                <c:pt idx="93">
                  <c:v>45232</c:v>
                </c:pt>
                <c:pt idx="94">
                  <c:v>45233</c:v>
                </c:pt>
                <c:pt idx="95">
                  <c:v>45234</c:v>
                </c:pt>
                <c:pt idx="96">
                  <c:v>45235</c:v>
                </c:pt>
                <c:pt idx="97">
                  <c:v>45236</c:v>
                </c:pt>
                <c:pt idx="98">
                  <c:v>45237</c:v>
                </c:pt>
                <c:pt idx="99">
                  <c:v>45238</c:v>
                </c:pt>
                <c:pt idx="100">
                  <c:v>45239</c:v>
                </c:pt>
                <c:pt idx="101">
                  <c:v>45240</c:v>
                </c:pt>
                <c:pt idx="102">
                  <c:v>45241</c:v>
                </c:pt>
                <c:pt idx="103">
                  <c:v>45242</c:v>
                </c:pt>
                <c:pt idx="104">
                  <c:v>45243</c:v>
                </c:pt>
                <c:pt idx="105">
                  <c:v>45244</c:v>
                </c:pt>
                <c:pt idx="106">
                  <c:v>45245</c:v>
                </c:pt>
                <c:pt idx="107">
                  <c:v>45246</c:v>
                </c:pt>
                <c:pt idx="108">
                  <c:v>45247</c:v>
                </c:pt>
                <c:pt idx="109">
                  <c:v>45248</c:v>
                </c:pt>
                <c:pt idx="110">
                  <c:v>45249</c:v>
                </c:pt>
                <c:pt idx="111">
                  <c:v>45250</c:v>
                </c:pt>
                <c:pt idx="112">
                  <c:v>45251</c:v>
                </c:pt>
                <c:pt idx="113">
                  <c:v>45252</c:v>
                </c:pt>
                <c:pt idx="114">
                  <c:v>45253</c:v>
                </c:pt>
                <c:pt idx="115">
                  <c:v>45254</c:v>
                </c:pt>
                <c:pt idx="116">
                  <c:v>45255</c:v>
                </c:pt>
                <c:pt idx="117">
                  <c:v>45256</c:v>
                </c:pt>
                <c:pt idx="118">
                  <c:v>45257</c:v>
                </c:pt>
                <c:pt idx="119">
                  <c:v>45258</c:v>
                </c:pt>
                <c:pt idx="120">
                  <c:v>45259</c:v>
                </c:pt>
                <c:pt idx="121">
                  <c:v>45260</c:v>
                </c:pt>
                <c:pt idx="122">
                  <c:v>45261</c:v>
                </c:pt>
                <c:pt idx="123">
                  <c:v>45262</c:v>
                </c:pt>
                <c:pt idx="124">
                  <c:v>45263</c:v>
                </c:pt>
                <c:pt idx="125">
                  <c:v>45264</c:v>
                </c:pt>
                <c:pt idx="126">
                  <c:v>45265</c:v>
                </c:pt>
                <c:pt idx="127">
                  <c:v>45266</c:v>
                </c:pt>
                <c:pt idx="128">
                  <c:v>45267</c:v>
                </c:pt>
                <c:pt idx="129">
                  <c:v>45268</c:v>
                </c:pt>
                <c:pt idx="130">
                  <c:v>45269</c:v>
                </c:pt>
                <c:pt idx="131">
                  <c:v>45270</c:v>
                </c:pt>
                <c:pt idx="132">
                  <c:v>45271</c:v>
                </c:pt>
                <c:pt idx="133">
                  <c:v>45272</c:v>
                </c:pt>
                <c:pt idx="134">
                  <c:v>45273</c:v>
                </c:pt>
                <c:pt idx="135">
                  <c:v>45274</c:v>
                </c:pt>
                <c:pt idx="136">
                  <c:v>45275</c:v>
                </c:pt>
                <c:pt idx="137">
                  <c:v>45276</c:v>
                </c:pt>
                <c:pt idx="138">
                  <c:v>45277</c:v>
                </c:pt>
                <c:pt idx="139">
                  <c:v>45278</c:v>
                </c:pt>
                <c:pt idx="140">
                  <c:v>45279</c:v>
                </c:pt>
                <c:pt idx="141">
                  <c:v>45280</c:v>
                </c:pt>
                <c:pt idx="142">
                  <c:v>45281</c:v>
                </c:pt>
                <c:pt idx="143">
                  <c:v>45282</c:v>
                </c:pt>
                <c:pt idx="144">
                  <c:v>45283</c:v>
                </c:pt>
                <c:pt idx="145">
                  <c:v>45284</c:v>
                </c:pt>
                <c:pt idx="146">
                  <c:v>45285</c:v>
                </c:pt>
                <c:pt idx="147">
                  <c:v>45286</c:v>
                </c:pt>
                <c:pt idx="148">
                  <c:v>45287</c:v>
                </c:pt>
                <c:pt idx="149">
                  <c:v>45288</c:v>
                </c:pt>
                <c:pt idx="150">
                  <c:v>45289</c:v>
                </c:pt>
                <c:pt idx="151">
                  <c:v>45290</c:v>
                </c:pt>
                <c:pt idx="152">
                  <c:v>45291</c:v>
                </c:pt>
                <c:pt idx="153">
                  <c:v>45292</c:v>
                </c:pt>
                <c:pt idx="154">
                  <c:v>45293</c:v>
                </c:pt>
                <c:pt idx="155">
                  <c:v>45294</c:v>
                </c:pt>
                <c:pt idx="156">
                  <c:v>45295</c:v>
                </c:pt>
                <c:pt idx="157">
                  <c:v>45296</c:v>
                </c:pt>
                <c:pt idx="158">
                  <c:v>45297</c:v>
                </c:pt>
                <c:pt idx="159">
                  <c:v>45298</c:v>
                </c:pt>
                <c:pt idx="160">
                  <c:v>45299</c:v>
                </c:pt>
                <c:pt idx="161">
                  <c:v>45300</c:v>
                </c:pt>
                <c:pt idx="162">
                  <c:v>45301</c:v>
                </c:pt>
                <c:pt idx="163">
                  <c:v>45302</c:v>
                </c:pt>
                <c:pt idx="164">
                  <c:v>45303</c:v>
                </c:pt>
                <c:pt idx="165">
                  <c:v>45304</c:v>
                </c:pt>
                <c:pt idx="166">
                  <c:v>45305</c:v>
                </c:pt>
                <c:pt idx="167">
                  <c:v>45306</c:v>
                </c:pt>
                <c:pt idx="168">
                  <c:v>45307</c:v>
                </c:pt>
                <c:pt idx="169">
                  <c:v>45308</c:v>
                </c:pt>
                <c:pt idx="170">
                  <c:v>45309</c:v>
                </c:pt>
                <c:pt idx="171">
                  <c:v>45310</c:v>
                </c:pt>
                <c:pt idx="172">
                  <c:v>45311</c:v>
                </c:pt>
                <c:pt idx="173">
                  <c:v>45312</c:v>
                </c:pt>
                <c:pt idx="174">
                  <c:v>45313</c:v>
                </c:pt>
                <c:pt idx="175">
                  <c:v>45314</c:v>
                </c:pt>
                <c:pt idx="176">
                  <c:v>45315</c:v>
                </c:pt>
                <c:pt idx="177">
                  <c:v>45316</c:v>
                </c:pt>
                <c:pt idx="178">
                  <c:v>45317</c:v>
                </c:pt>
                <c:pt idx="179">
                  <c:v>45318</c:v>
                </c:pt>
                <c:pt idx="180">
                  <c:v>45319</c:v>
                </c:pt>
                <c:pt idx="181">
                  <c:v>45320</c:v>
                </c:pt>
                <c:pt idx="182">
                  <c:v>45321</c:v>
                </c:pt>
                <c:pt idx="183">
                  <c:v>45322</c:v>
                </c:pt>
                <c:pt idx="184">
                  <c:v>45323</c:v>
                </c:pt>
                <c:pt idx="185">
                  <c:v>45324</c:v>
                </c:pt>
                <c:pt idx="186">
                  <c:v>45325</c:v>
                </c:pt>
                <c:pt idx="187">
                  <c:v>45326</c:v>
                </c:pt>
                <c:pt idx="188">
                  <c:v>45327</c:v>
                </c:pt>
                <c:pt idx="189">
                  <c:v>45328</c:v>
                </c:pt>
                <c:pt idx="190">
                  <c:v>45329</c:v>
                </c:pt>
                <c:pt idx="191">
                  <c:v>45330</c:v>
                </c:pt>
                <c:pt idx="192">
                  <c:v>45331</c:v>
                </c:pt>
                <c:pt idx="193">
                  <c:v>45332</c:v>
                </c:pt>
                <c:pt idx="194">
                  <c:v>45333</c:v>
                </c:pt>
                <c:pt idx="195">
                  <c:v>45334</c:v>
                </c:pt>
                <c:pt idx="196">
                  <c:v>45335</c:v>
                </c:pt>
                <c:pt idx="197">
                  <c:v>45336</c:v>
                </c:pt>
                <c:pt idx="198">
                  <c:v>45337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ConceptDemo!$Y$18:$Y$395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ConceptDemo!$X$17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45139</c:v>
                </c:pt>
                <c:pt idx="1">
                  <c:v>45140</c:v>
                </c:pt>
                <c:pt idx="2">
                  <c:v>45141</c:v>
                </c:pt>
                <c:pt idx="3">
                  <c:v>45142</c:v>
                </c:pt>
                <c:pt idx="4">
                  <c:v>45143</c:v>
                </c:pt>
                <c:pt idx="5">
                  <c:v>45144</c:v>
                </c:pt>
                <c:pt idx="6">
                  <c:v>45145</c:v>
                </c:pt>
                <c:pt idx="7">
                  <c:v>45146</c:v>
                </c:pt>
                <c:pt idx="8">
                  <c:v>45147</c:v>
                </c:pt>
                <c:pt idx="9">
                  <c:v>45148</c:v>
                </c:pt>
                <c:pt idx="10">
                  <c:v>45149</c:v>
                </c:pt>
                <c:pt idx="11">
                  <c:v>45150</c:v>
                </c:pt>
                <c:pt idx="12">
                  <c:v>45151</c:v>
                </c:pt>
                <c:pt idx="13">
                  <c:v>45152</c:v>
                </c:pt>
                <c:pt idx="14">
                  <c:v>45153</c:v>
                </c:pt>
                <c:pt idx="15">
                  <c:v>45154</c:v>
                </c:pt>
                <c:pt idx="16">
                  <c:v>45155</c:v>
                </c:pt>
                <c:pt idx="17">
                  <c:v>45156</c:v>
                </c:pt>
                <c:pt idx="18">
                  <c:v>45157</c:v>
                </c:pt>
                <c:pt idx="19">
                  <c:v>45158</c:v>
                </c:pt>
                <c:pt idx="20">
                  <c:v>45159</c:v>
                </c:pt>
                <c:pt idx="21">
                  <c:v>45160</c:v>
                </c:pt>
                <c:pt idx="22">
                  <c:v>45161</c:v>
                </c:pt>
                <c:pt idx="23">
                  <c:v>45162</c:v>
                </c:pt>
                <c:pt idx="24">
                  <c:v>45163</c:v>
                </c:pt>
                <c:pt idx="25">
                  <c:v>45164</c:v>
                </c:pt>
                <c:pt idx="26">
                  <c:v>45165</c:v>
                </c:pt>
                <c:pt idx="27">
                  <c:v>45166</c:v>
                </c:pt>
                <c:pt idx="28">
                  <c:v>45167</c:v>
                </c:pt>
                <c:pt idx="29">
                  <c:v>45168</c:v>
                </c:pt>
                <c:pt idx="30">
                  <c:v>45169</c:v>
                </c:pt>
                <c:pt idx="31">
                  <c:v>45170</c:v>
                </c:pt>
                <c:pt idx="32">
                  <c:v>45171</c:v>
                </c:pt>
                <c:pt idx="33">
                  <c:v>45172</c:v>
                </c:pt>
                <c:pt idx="34">
                  <c:v>45173</c:v>
                </c:pt>
                <c:pt idx="35">
                  <c:v>45174</c:v>
                </c:pt>
                <c:pt idx="36">
                  <c:v>45175</c:v>
                </c:pt>
                <c:pt idx="37">
                  <c:v>45176</c:v>
                </c:pt>
                <c:pt idx="38">
                  <c:v>45177</c:v>
                </c:pt>
                <c:pt idx="39">
                  <c:v>45178</c:v>
                </c:pt>
                <c:pt idx="40">
                  <c:v>45179</c:v>
                </c:pt>
                <c:pt idx="41">
                  <c:v>45180</c:v>
                </c:pt>
                <c:pt idx="42">
                  <c:v>45181</c:v>
                </c:pt>
                <c:pt idx="43">
                  <c:v>45182</c:v>
                </c:pt>
                <c:pt idx="44">
                  <c:v>45183</c:v>
                </c:pt>
                <c:pt idx="45">
                  <c:v>45184</c:v>
                </c:pt>
                <c:pt idx="46">
                  <c:v>45185</c:v>
                </c:pt>
                <c:pt idx="47">
                  <c:v>45186</c:v>
                </c:pt>
                <c:pt idx="48">
                  <c:v>45187</c:v>
                </c:pt>
                <c:pt idx="49">
                  <c:v>45188</c:v>
                </c:pt>
                <c:pt idx="50">
                  <c:v>45189</c:v>
                </c:pt>
                <c:pt idx="51">
                  <c:v>45190</c:v>
                </c:pt>
                <c:pt idx="52">
                  <c:v>45191</c:v>
                </c:pt>
                <c:pt idx="53">
                  <c:v>45192</c:v>
                </c:pt>
                <c:pt idx="54">
                  <c:v>45193</c:v>
                </c:pt>
                <c:pt idx="55">
                  <c:v>45194</c:v>
                </c:pt>
                <c:pt idx="56">
                  <c:v>45195</c:v>
                </c:pt>
                <c:pt idx="57">
                  <c:v>45196</c:v>
                </c:pt>
                <c:pt idx="58">
                  <c:v>45197</c:v>
                </c:pt>
                <c:pt idx="59">
                  <c:v>45198</c:v>
                </c:pt>
                <c:pt idx="60">
                  <c:v>45199</c:v>
                </c:pt>
                <c:pt idx="61">
                  <c:v>45200</c:v>
                </c:pt>
                <c:pt idx="62">
                  <c:v>45201</c:v>
                </c:pt>
                <c:pt idx="63">
                  <c:v>45202</c:v>
                </c:pt>
                <c:pt idx="64">
                  <c:v>45203</c:v>
                </c:pt>
                <c:pt idx="65">
                  <c:v>45204</c:v>
                </c:pt>
                <c:pt idx="66">
                  <c:v>45205</c:v>
                </c:pt>
                <c:pt idx="67">
                  <c:v>45206</c:v>
                </c:pt>
                <c:pt idx="68">
                  <c:v>45207</c:v>
                </c:pt>
                <c:pt idx="69">
                  <c:v>45208</c:v>
                </c:pt>
                <c:pt idx="70">
                  <c:v>45209</c:v>
                </c:pt>
                <c:pt idx="71">
                  <c:v>45210</c:v>
                </c:pt>
                <c:pt idx="72">
                  <c:v>45211</c:v>
                </c:pt>
                <c:pt idx="73">
                  <c:v>45212</c:v>
                </c:pt>
                <c:pt idx="74">
                  <c:v>45213</c:v>
                </c:pt>
                <c:pt idx="75">
                  <c:v>45214</c:v>
                </c:pt>
                <c:pt idx="76">
                  <c:v>45215</c:v>
                </c:pt>
                <c:pt idx="77">
                  <c:v>45216</c:v>
                </c:pt>
                <c:pt idx="78">
                  <c:v>45217</c:v>
                </c:pt>
                <c:pt idx="79">
                  <c:v>45218</c:v>
                </c:pt>
                <c:pt idx="80">
                  <c:v>45219</c:v>
                </c:pt>
                <c:pt idx="81">
                  <c:v>45220</c:v>
                </c:pt>
                <c:pt idx="82">
                  <c:v>45221</c:v>
                </c:pt>
                <c:pt idx="83">
                  <c:v>45222</c:v>
                </c:pt>
                <c:pt idx="84">
                  <c:v>45223</c:v>
                </c:pt>
                <c:pt idx="85">
                  <c:v>45224</c:v>
                </c:pt>
                <c:pt idx="86">
                  <c:v>45225</c:v>
                </c:pt>
                <c:pt idx="87">
                  <c:v>45226</c:v>
                </c:pt>
                <c:pt idx="88">
                  <c:v>45227</c:v>
                </c:pt>
                <c:pt idx="89">
                  <c:v>45228</c:v>
                </c:pt>
                <c:pt idx="90">
                  <c:v>45229</c:v>
                </c:pt>
                <c:pt idx="91">
                  <c:v>45230</c:v>
                </c:pt>
                <c:pt idx="92">
                  <c:v>45231</c:v>
                </c:pt>
                <c:pt idx="93">
                  <c:v>45232</c:v>
                </c:pt>
                <c:pt idx="94">
                  <c:v>45233</c:v>
                </c:pt>
                <c:pt idx="95">
                  <c:v>45234</c:v>
                </c:pt>
                <c:pt idx="96">
                  <c:v>45235</c:v>
                </c:pt>
                <c:pt idx="97">
                  <c:v>45236</c:v>
                </c:pt>
                <c:pt idx="98">
                  <c:v>45237</c:v>
                </c:pt>
                <c:pt idx="99">
                  <c:v>45238</c:v>
                </c:pt>
                <c:pt idx="100">
                  <c:v>45239</c:v>
                </c:pt>
                <c:pt idx="101">
                  <c:v>45240</c:v>
                </c:pt>
                <c:pt idx="102">
                  <c:v>45241</c:v>
                </c:pt>
                <c:pt idx="103">
                  <c:v>45242</c:v>
                </c:pt>
                <c:pt idx="104">
                  <c:v>45243</c:v>
                </c:pt>
                <c:pt idx="105">
                  <c:v>45244</c:v>
                </c:pt>
                <c:pt idx="106">
                  <c:v>45245</c:v>
                </c:pt>
                <c:pt idx="107">
                  <c:v>45246</c:v>
                </c:pt>
                <c:pt idx="108">
                  <c:v>45247</c:v>
                </c:pt>
                <c:pt idx="109">
                  <c:v>45248</c:v>
                </c:pt>
                <c:pt idx="110">
                  <c:v>45249</c:v>
                </c:pt>
                <c:pt idx="111">
                  <c:v>45250</c:v>
                </c:pt>
                <c:pt idx="112">
                  <c:v>45251</c:v>
                </c:pt>
                <c:pt idx="113">
                  <c:v>45252</c:v>
                </c:pt>
                <c:pt idx="114">
                  <c:v>45253</c:v>
                </c:pt>
                <c:pt idx="115">
                  <c:v>45254</c:v>
                </c:pt>
                <c:pt idx="116">
                  <c:v>45255</c:v>
                </c:pt>
                <c:pt idx="117">
                  <c:v>45256</c:v>
                </c:pt>
                <c:pt idx="118">
                  <c:v>45257</c:v>
                </c:pt>
                <c:pt idx="119">
                  <c:v>45258</c:v>
                </c:pt>
                <c:pt idx="120">
                  <c:v>45259</c:v>
                </c:pt>
                <c:pt idx="121">
                  <c:v>45260</c:v>
                </c:pt>
                <c:pt idx="122">
                  <c:v>45261</c:v>
                </c:pt>
                <c:pt idx="123">
                  <c:v>45262</c:v>
                </c:pt>
                <c:pt idx="124">
                  <c:v>45263</c:v>
                </c:pt>
                <c:pt idx="125">
                  <c:v>45264</c:v>
                </c:pt>
                <c:pt idx="126">
                  <c:v>45265</c:v>
                </c:pt>
                <c:pt idx="127">
                  <c:v>45266</c:v>
                </c:pt>
                <c:pt idx="128">
                  <c:v>45267</c:v>
                </c:pt>
                <c:pt idx="129">
                  <c:v>45268</c:v>
                </c:pt>
                <c:pt idx="130">
                  <c:v>45269</c:v>
                </c:pt>
                <c:pt idx="131">
                  <c:v>45270</c:v>
                </c:pt>
                <c:pt idx="132">
                  <c:v>45271</c:v>
                </c:pt>
                <c:pt idx="133">
                  <c:v>45272</c:v>
                </c:pt>
                <c:pt idx="134">
                  <c:v>45273</c:v>
                </c:pt>
                <c:pt idx="135">
                  <c:v>45274</c:v>
                </c:pt>
                <c:pt idx="136">
                  <c:v>45275</c:v>
                </c:pt>
                <c:pt idx="137">
                  <c:v>45276</c:v>
                </c:pt>
                <c:pt idx="138">
                  <c:v>45277</c:v>
                </c:pt>
                <c:pt idx="139">
                  <c:v>45278</c:v>
                </c:pt>
                <c:pt idx="140">
                  <c:v>45279</c:v>
                </c:pt>
                <c:pt idx="141">
                  <c:v>45280</c:v>
                </c:pt>
                <c:pt idx="142">
                  <c:v>45281</c:v>
                </c:pt>
                <c:pt idx="143">
                  <c:v>45282</c:v>
                </c:pt>
                <c:pt idx="144">
                  <c:v>45283</c:v>
                </c:pt>
                <c:pt idx="145">
                  <c:v>45284</c:v>
                </c:pt>
                <c:pt idx="146">
                  <c:v>45285</c:v>
                </c:pt>
                <c:pt idx="147">
                  <c:v>45286</c:v>
                </c:pt>
                <c:pt idx="148">
                  <c:v>45287</c:v>
                </c:pt>
                <c:pt idx="149">
                  <c:v>45288</c:v>
                </c:pt>
                <c:pt idx="150">
                  <c:v>45289</c:v>
                </c:pt>
                <c:pt idx="151">
                  <c:v>45290</c:v>
                </c:pt>
                <c:pt idx="152">
                  <c:v>45291</c:v>
                </c:pt>
                <c:pt idx="153">
                  <c:v>45292</c:v>
                </c:pt>
                <c:pt idx="154">
                  <c:v>45293</c:v>
                </c:pt>
                <c:pt idx="155">
                  <c:v>45294</c:v>
                </c:pt>
                <c:pt idx="156">
                  <c:v>45295</c:v>
                </c:pt>
                <c:pt idx="157">
                  <c:v>45296</c:v>
                </c:pt>
                <c:pt idx="158">
                  <c:v>45297</c:v>
                </c:pt>
                <c:pt idx="159">
                  <c:v>45298</c:v>
                </c:pt>
                <c:pt idx="160">
                  <c:v>45299</c:v>
                </c:pt>
                <c:pt idx="161">
                  <c:v>45300</c:v>
                </c:pt>
                <c:pt idx="162">
                  <c:v>45301</c:v>
                </c:pt>
                <c:pt idx="163">
                  <c:v>45302</c:v>
                </c:pt>
                <c:pt idx="164">
                  <c:v>45303</c:v>
                </c:pt>
                <c:pt idx="165">
                  <c:v>45304</c:v>
                </c:pt>
                <c:pt idx="166">
                  <c:v>45305</c:v>
                </c:pt>
                <c:pt idx="167">
                  <c:v>45306</c:v>
                </c:pt>
                <c:pt idx="168">
                  <c:v>45307</c:v>
                </c:pt>
                <c:pt idx="169">
                  <c:v>45308</c:v>
                </c:pt>
                <c:pt idx="170">
                  <c:v>45309</c:v>
                </c:pt>
                <c:pt idx="171">
                  <c:v>45310</c:v>
                </c:pt>
                <c:pt idx="172">
                  <c:v>45311</c:v>
                </c:pt>
                <c:pt idx="173">
                  <c:v>45312</c:v>
                </c:pt>
                <c:pt idx="174">
                  <c:v>45313</c:v>
                </c:pt>
                <c:pt idx="175">
                  <c:v>45314</c:v>
                </c:pt>
                <c:pt idx="176">
                  <c:v>45315</c:v>
                </c:pt>
                <c:pt idx="177">
                  <c:v>45316</c:v>
                </c:pt>
                <c:pt idx="178">
                  <c:v>45317</c:v>
                </c:pt>
                <c:pt idx="179">
                  <c:v>45318</c:v>
                </c:pt>
                <c:pt idx="180">
                  <c:v>45319</c:v>
                </c:pt>
                <c:pt idx="181">
                  <c:v>45320</c:v>
                </c:pt>
                <c:pt idx="182">
                  <c:v>45321</c:v>
                </c:pt>
                <c:pt idx="183">
                  <c:v>45322</c:v>
                </c:pt>
                <c:pt idx="184">
                  <c:v>45323</c:v>
                </c:pt>
                <c:pt idx="185">
                  <c:v>45324</c:v>
                </c:pt>
                <c:pt idx="186">
                  <c:v>45325</c:v>
                </c:pt>
                <c:pt idx="187">
                  <c:v>45326</c:v>
                </c:pt>
                <c:pt idx="188">
                  <c:v>45327</c:v>
                </c:pt>
                <c:pt idx="189">
                  <c:v>45328</c:v>
                </c:pt>
                <c:pt idx="190">
                  <c:v>45329</c:v>
                </c:pt>
                <c:pt idx="191">
                  <c:v>45330</c:v>
                </c:pt>
                <c:pt idx="192">
                  <c:v>45331</c:v>
                </c:pt>
                <c:pt idx="193">
                  <c:v>45332</c:v>
                </c:pt>
                <c:pt idx="194">
                  <c:v>45333</c:v>
                </c:pt>
                <c:pt idx="195">
                  <c:v>45334</c:v>
                </c:pt>
                <c:pt idx="196">
                  <c:v>45335</c:v>
                </c:pt>
                <c:pt idx="197">
                  <c:v>45336</c:v>
                </c:pt>
                <c:pt idx="198">
                  <c:v>45337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ConceptDemo!$X$18:$X$395</c:f>
              <c:numCache>
                <c:formatCode>General</c:formatCode>
                <c:ptCount val="378"/>
                <c:pt idx="0">
                  <c:v>4.3221233068618403</c:v>
                </c:pt>
                <c:pt idx="1">
                  <c:v>7.6555257167483859</c:v>
                </c:pt>
                <c:pt idx="2">
                  <c:v>8.3470264190817005</c:v>
                </c:pt>
                <c:pt idx="3">
                  <c:v>13.300210470537735</c:v>
                </c:pt>
                <c:pt idx="4">
                  <c:v>14.940315347843693</c:v>
                </c:pt>
                <c:pt idx="5">
                  <c:v>18.397664824525577</c:v>
                </c:pt>
                <c:pt idx="6">
                  <c:v>19.49471635972732</c:v>
                </c:pt>
                <c:pt idx="7">
                  <c:v>22.003481187764649</c:v>
                </c:pt>
                <c:pt idx="8">
                  <c:v>24.079455761121622</c:v>
                </c:pt>
                <c:pt idx="9">
                  <c:v>24.174561675031867</c:v>
                </c:pt>
                <c:pt idx="10">
                  <c:v>27.604480375467631</c:v>
                </c:pt>
                <c:pt idx="11">
                  <c:v>31.354468881138288</c:v>
                </c:pt>
                <c:pt idx="12">
                  <c:v>33.266959867363553</c:v>
                </c:pt>
                <c:pt idx="13">
                  <c:v>38.831230393222356</c:v>
                </c:pt>
                <c:pt idx="14">
                  <c:v>40.873525176670526</c:v>
                </c:pt>
                <c:pt idx="15">
                  <c:v>41.171941408295197</c:v>
                </c:pt>
                <c:pt idx="16">
                  <c:v>46.400556830687052</c:v>
                </c:pt>
                <c:pt idx="17">
                  <c:v>48.312576845506626</c:v>
                </c:pt>
                <c:pt idx="18">
                  <c:v>48.884983893092013</c:v>
                </c:pt>
                <c:pt idx="19">
                  <c:v>51.092706418043534</c:v>
                </c:pt>
                <c:pt idx="20">
                  <c:v>51.754724868310376</c:v>
                </c:pt>
                <c:pt idx="21">
                  <c:v>54.545108352646594</c:v>
                </c:pt>
                <c:pt idx="22">
                  <c:v>54.585702033942397</c:v>
                </c:pt>
                <c:pt idx="23">
                  <c:v>54.585702033942397</c:v>
                </c:pt>
                <c:pt idx="24">
                  <c:v>54.585702033942397</c:v>
                </c:pt>
                <c:pt idx="25">
                  <c:v>56.017371113746947</c:v>
                </c:pt>
                <c:pt idx="26">
                  <c:v>56.017371113746947</c:v>
                </c:pt>
                <c:pt idx="27">
                  <c:v>56.017371113746947</c:v>
                </c:pt>
                <c:pt idx="28">
                  <c:v>57.176610942583466</c:v>
                </c:pt>
                <c:pt idx="29">
                  <c:v>57.176610942583466</c:v>
                </c:pt>
                <c:pt idx="30">
                  <c:v>57.176610942583466</c:v>
                </c:pt>
                <c:pt idx="31">
                  <c:v>57.176610942583466</c:v>
                </c:pt>
                <c:pt idx="32">
                  <c:v>57.540150902239091</c:v>
                </c:pt>
                <c:pt idx="33">
                  <c:v>57.540150902239091</c:v>
                </c:pt>
                <c:pt idx="34">
                  <c:v>57.540150902239091</c:v>
                </c:pt>
                <c:pt idx="35">
                  <c:v>59.225370226598045</c:v>
                </c:pt>
                <c:pt idx="36">
                  <c:v>63.685137144149422</c:v>
                </c:pt>
                <c:pt idx="37">
                  <c:v>63.685137144149422</c:v>
                </c:pt>
                <c:pt idx="38">
                  <c:v>63.685137144149422</c:v>
                </c:pt>
                <c:pt idx="39">
                  <c:v>64.620829841374956</c:v>
                </c:pt>
                <c:pt idx="40">
                  <c:v>66.394927780179188</c:v>
                </c:pt>
                <c:pt idx="41">
                  <c:v>71.154557391425385</c:v>
                </c:pt>
                <c:pt idx="42">
                  <c:v>71.249237455384744</c:v>
                </c:pt>
                <c:pt idx="43">
                  <c:v>71.249237455384744</c:v>
                </c:pt>
                <c:pt idx="44">
                  <c:v>71.641746811209075</c:v>
                </c:pt>
                <c:pt idx="45">
                  <c:v>71.641746811209075</c:v>
                </c:pt>
                <c:pt idx="46">
                  <c:v>71.85695175618541</c:v>
                </c:pt>
                <c:pt idx="47">
                  <c:v>74.41867653689728</c:v>
                </c:pt>
                <c:pt idx="48">
                  <c:v>76.344560269939521</c:v>
                </c:pt>
                <c:pt idx="49">
                  <c:v>83.139137686536642</c:v>
                </c:pt>
                <c:pt idx="50">
                  <c:v>84.902954677042132</c:v>
                </c:pt>
                <c:pt idx="51">
                  <c:v>84.902954677042132</c:v>
                </c:pt>
                <c:pt idx="52">
                  <c:v>86.188160678058082</c:v>
                </c:pt>
                <c:pt idx="53">
                  <c:v>86.188160678058082</c:v>
                </c:pt>
                <c:pt idx="54">
                  <c:v>89.694158335422031</c:v>
                </c:pt>
                <c:pt idx="55">
                  <c:v>89.694158335422031</c:v>
                </c:pt>
                <c:pt idx="56">
                  <c:v>89.694158335422031</c:v>
                </c:pt>
                <c:pt idx="57">
                  <c:v>89.694158335422031</c:v>
                </c:pt>
                <c:pt idx="58">
                  <c:v>89.694158335422031</c:v>
                </c:pt>
                <c:pt idx="59">
                  <c:v>89.694158335422031</c:v>
                </c:pt>
                <c:pt idx="60">
                  <c:v>92.657499501995972</c:v>
                </c:pt>
                <c:pt idx="61">
                  <c:v>92.657499501995972</c:v>
                </c:pt>
                <c:pt idx="62">
                  <c:v>92.705234216535288</c:v>
                </c:pt>
                <c:pt idx="63">
                  <c:v>94.344313328192158</c:v>
                </c:pt>
                <c:pt idx="64">
                  <c:v>94.344313328192158</c:v>
                </c:pt>
                <c:pt idx="65">
                  <c:v>94.344313328192158</c:v>
                </c:pt>
                <c:pt idx="66">
                  <c:v>94.344313328192158</c:v>
                </c:pt>
                <c:pt idx="67">
                  <c:v>94.344313328192158</c:v>
                </c:pt>
                <c:pt idx="68">
                  <c:v>94.344313328192158</c:v>
                </c:pt>
                <c:pt idx="69">
                  <c:v>94.344313328192158</c:v>
                </c:pt>
                <c:pt idx="70">
                  <c:v>94.344313328192158</c:v>
                </c:pt>
                <c:pt idx="71">
                  <c:v>94.665711340842961</c:v>
                </c:pt>
                <c:pt idx="72">
                  <c:v>94.665711340842961</c:v>
                </c:pt>
                <c:pt idx="73">
                  <c:v>94.665711340842961</c:v>
                </c:pt>
                <c:pt idx="74">
                  <c:v>96.04317006348397</c:v>
                </c:pt>
                <c:pt idx="75">
                  <c:v>97.878912359396125</c:v>
                </c:pt>
                <c:pt idx="76">
                  <c:v>97.878912359396125</c:v>
                </c:pt>
                <c:pt idx="77">
                  <c:v>97.878912359396125</c:v>
                </c:pt>
                <c:pt idx="78">
                  <c:v>97.878912359396125</c:v>
                </c:pt>
                <c:pt idx="79">
                  <c:v>97.878912359396125</c:v>
                </c:pt>
                <c:pt idx="80">
                  <c:v>97.878912359396125</c:v>
                </c:pt>
                <c:pt idx="81">
                  <c:v>97.878912359396125</c:v>
                </c:pt>
                <c:pt idx="82">
                  <c:v>97.878912359396125</c:v>
                </c:pt>
                <c:pt idx="83">
                  <c:v>97.878912359396125</c:v>
                </c:pt>
                <c:pt idx="84">
                  <c:v>97.878912359396125</c:v>
                </c:pt>
                <c:pt idx="85">
                  <c:v>97.878912359396125</c:v>
                </c:pt>
                <c:pt idx="86">
                  <c:v>97.878912359396125</c:v>
                </c:pt>
                <c:pt idx="87">
                  <c:v>97.878912359396125</c:v>
                </c:pt>
                <c:pt idx="88">
                  <c:v>97.878912359396125</c:v>
                </c:pt>
                <c:pt idx="89">
                  <c:v>97.878912359396125</c:v>
                </c:pt>
                <c:pt idx="90">
                  <c:v>97.878912359396125</c:v>
                </c:pt>
                <c:pt idx="91">
                  <c:v>97.878912359396125</c:v>
                </c:pt>
                <c:pt idx="92">
                  <c:v>97.878912359396125</c:v>
                </c:pt>
                <c:pt idx="93">
                  <c:v>97.878912359396125</c:v>
                </c:pt>
                <c:pt idx="94">
                  <c:v>97.878912359396125</c:v>
                </c:pt>
                <c:pt idx="95">
                  <c:v>97.878912359396125</c:v>
                </c:pt>
                <c:pt idx="96">
                  <c:v>97.878912359396125</c:v>
                </c:pt>
                <c:pt idx="97">
                  <c:v>97.878912359396125</c:v>
                </c:pt>
                <c:pt idx="98">
                  <c:v>97.878912359396125</c:v>
                </c:pt>
                <c:pt idx="99">
                  <c:v>97.878912359396125</c:v>
                </c:pt>
                <c:pt idx="100">
                  <c:v>97.878912359396125</c:v>
                </c:pt>
                <c:pt idx="101">
                  <c:v>97.878912359396125</c:v>
                </c:pt>
                <c:pt idx="102">
                  <c:v>97.878912359396125</c:v>
                </c:pt>
                <c:pt idx="103">
                  <c:v>97.878912359396125</c:v>
                </c:pt>
                <c:pt idx="104">
                  <c:v>97.878912359396125</c:v>
                </c:pt>
                <c:pt idx="105">
                  <c:v>97.878912359396125</c:v>
                </c:pt>
                <c:pt idx="106">
                  <c:v>97.878912359396125</c:v>
                </c:pt>
                <c:pt idx="107">
                  <c:v>97.878912359396125</c:v>
                </c:pt>
                <c:pt idx="108">
                  <c:v>97.878912359396125</c:v>
                </c:pt>
                <c:pt idx="109">
                  <c:v>97.878912359396125</c:v>
                </c:pt>
                <c:pt idx="110">
                  <c:v>97.878912359396125</c:v>
                </c:pt>
                <c:pt idx="111">
                  <c:v>97.878912359396125</c:v>
                </c:pt>
                <c:pt idx="112">
                  <c:v>97.878912359396125</c:v>
                </c:pt>
                <c:pt idx="113">
                  <c:v>97.878912359396125</c:v>
                </c:pt>
                <c:pt idx="114">
                  <c:v>97.878912359396125</c:v>
                </c:pt>
                <c:pt idx="115">
                  <c:v>97.878912359396125</c:v>
                </c:pt>
                <c:pt idx="116">
                  <c:v>97.878912359396125</c:v>
                </c:pt>
                <c:pt idx="117">
                  <c:v>97.878912359396125</c:v>
                </c:pt>
                <c:pt idx="118">
                  <c:v>97.878912359396125</c:v>
                </c:pt>
                <c:pt idx="119">
                  <c:v>97.878912359396125</c:v>
                </c:pt>
                <c:pt idx="120">
                  <c:v>97.878912359396125</c:v>
                </c:pt>
                <c:pt idx="121">
                  <c:v>97.878912359396125</c:v>
                </c:pt>
                <c:pt idx="122">
                  <c:v>97.878912359396125</c:v>
                </c:pt>
                <c:pt idx="123">
                  <c:v>97.878912359396125</c:v>
                </c:pt>
                <c:pt idx="124">
                  <c:v>97.878912359396125</c:v>
                </c:pt>
                <c:pt idx="125">
                  <c:v>97.878912359396125</c:v>
                </c:pt>
                <c:pt idx="126">
                  <c:v>97.878912359396125</c:v>
                </c:pt>
                <c:pt idx="127">
                  <c:v>97.878912359396125</c:v>
                </c:pt>
                <c:pt idx="128">
                  <c:v>97.878912359396125</c:v>
                </c:pt>
                <c:pt idx="129">
                  <c:v>97.878912359396125</c:v>
                </c:pt>
                <c:pt idx="130">
                  <c:v>97.878912359396125</c:v>
                </c:pt>
                <c:pt idx="131">
                  <c:v>97.878912359396125</c:v>
                </c:pt>
                <c:pt idx="132">
                  <c:v>97.878912359396125</c:v>
                </c:pt>
                <c:pt idx="133">
                  <c:v>97.878912359396125</c:v>
                </c:pt>
                <c:pt idx="134">
                  <c:v>97.878912359396125</c:v>
                </c:pt>
                <c:pt idx="135">
                  <c:v>97.878912359396125</c:v>
                </c:pt>
                <c:pt idx="136">
                  <c:v>97.878912359396125</c:v>
                </c:pt>
                <c:pt idx="137">
                  <c:v>97.878912359396125</c:v>
                </c:pt>
                <c:pt idx="138">
                  <c:v>97.878912359396125</c:v>
                </c:pt>
                <c:pt idx="139">
                  <c:v>97.878912359396125</c:v>
                </c:pt>
                <c:pt idx="140">
                  <c:v>97.878912359396125</c:v>
                </c:pt>
                <c:pt idx="141">
                  <c:v>97.878912359396125</c:v>
                </c:pt>
                <c:pt idx="142">
                  <c:v>97.878912359396125</c:v>
                </c:pt>
                <c:pt idx="143">
                  <c:v>97.878912359396125</c:v>
                </c:pt>
                <c:pt idx="144">
                  <c:v>97.878912359396125</c:v>
                </c:pt>
                <c:pt idx="145">
                  <c:v>97.878912359396125</c:v>
                </c:pt>
                <c:pt idx="146">
                  <c:v>97.878912359396125</c:v>
                </c:pt>
                <c:pt idx="147">
                  <c:v>97.878912359396125</c:v>
                </c:pt>
                <c:pt idx="148">
                  <c:v>97.878912359396125</c:v>
                </c:pt>
                <c:pt idx="149">
                  <c:v>97.878912359396125</c:v>
                </c:pt>
                <c:pt idx="150">
                  <c:v>97.878912359396125</c:v>
                </c:pt>
                <c:pt idx="151">
                  <c:v>97.878912359396125</c:v>
                </c:pt>
                <c:pt idx="152">
                  <c:v>97.878912359396125</c:v>
                </c:pt>
                <c:pt idx="153">
                  <c:v>97.878912359396125</c:v>
                </c:pt>
                <c:pt idx="154">
                  <c:v>97.878912359396125</c:v>
                </c:pt>
                <c:pt idx="155">
                  <c:v>97.878912359396125</c:v>
                </c:pt>
                <c:pt idx="156">
                  <c:v>97.878912359396125</c:v>
                </c:pt>
                <c:pt idx="157">
                  <c:v>97.878912359396125</c:v>
                </c:pt>
                <c:pt idx="158">
                  <c:v>97.878912359396125</c:v>
                </c:pt>
                <c:pt idx="159">
                  <c:v>97.878912359396125</c:v>
                </c:pt>
                <c:pt idx="160">
                  <c:v>97.878912359396125</c:v>
                </c:pt>
                <c:pt idx="161">
                  <c:v>97.878912359396125</c:v>
                </c:pt>
                <c:pt idx="162">
                  <c:v>97.878912359396125</c:v>
                </c:pt>
                <c:pt idx="163">
                  <c:v>97.878912359396125</c:v>
                </c:pt>
                <c:pt idx="164">
                  <c:v>97.878912359396125</c:v>
                </c:pt>
                <c:pt idx="165">
                  <c:v>97.878912359396125</c:v>
                </c:pt>
                <c:pt idx="166">
                  <c:v>97.878912359396125</c:v>
                </c:pt>
                <c:pt idx="167">
                  <c:v>97.878912359396125</c:v>
                </c:pt>
                <c:pt idx="168">
                  <c:v>97.878912359396125</c:v>
                </c:pt>
                <c:pt idx="169">
                  <c:v>97.878912359396125</c:v>
                </c:pt>
                <c:pt idx="170">
                  <c:v>97.878912359396125</c:v>
                </c:pt>
                <c:pt idx="171">
                  <c:v>97.878912359396125</c:v>
                </c:pt>
                <c:pt idx="172">
                  <c:v>97.878912359396125</c:v>
                </c:pt>
                <c:pt idx="173">
                  <c:v>97.878912359396125</c:v>
                </c:pt>
                <c:pt idx="174">
                  <c:v>97.878912359396125</c:v>
                </c:pt>
                <c:pt idx="175">
                  <c:v>97.878912359396125</c:v>
                </c:pt>
                <c:pt idx="176">
                  <c:v>97.878912359396125</c:v>
                </c:pt>
                <c:pt idx="177">
                  <c:v>97.878912359396125</c:v>
                </c:pt>
                <c:pt idx="178">
                  <c:v>97.878912359396125</c:v>
                </c:pt>
                <c:pt idx="179">
                  <c:v>97.878912359396125</c:v>
                </c:pt>
                <c:pt idx="180">
                  <c:v>97.878912359396125</c:v>
                </c:pt>
                <c:pt idx="181">
                  <c:v>97.878912359396125</c:v>
                </c:pt>
                <c:pt idx="182">
                  <c:v>97.878912359396125</c:v>
                </c:pt>
                <c:pt idx="183">
                  <c:v>97.878912359396125</c:v>
                </c:pt>
                <c:pt idx="184">
                  <c:v>97.878912359396125</c:v>
                </c:pt>
                <c:pt idx="185">
                  <c:v>97.878912359396125</c:v>
                </c:pt>
                <c:pt idx="186">
                  <c:v>97.878912359396125</c:v>
                </c:pt>
                <c:pt idx="187">
                  <c:v>97.878912359396125</c:v>
                </c:pt>
                <c:pt idx="188">
                  <c:v>97.878912359396125</c:v>
                </c:pt>
                <c:pt idx="189">
                  <c:v>97.878912359396125</c:v>
                </c:pt>
                <c:pt idx="190">
                  <c:v>97.878912359396125</c:v>
                </c:pt>
                <c:pt idx="191">
                  <c:v>97.878912359396125</c:v>
                </c:pt>
                <c:pt idx="192">
                  <c:v>97.878912359396125</c:v>
                </c:pt>
                <c:pt idx="193">
                  <c:v>97.878912359396125</c:v>
                </c:pt>
                <c:pt idx="194">
                  <c:v>97.878912359396125</c:v>
                </c:pt>
                <c:pt idx="195">
                  <c:v>97.878912359396125</c:v>
                </c:pt>
                <c:pt idx="196">
                  <c:v>97.878912359396125</c:v>
                </c:pt>
                <c:pt idx="197">
                  <c:v>97.878912359396125</c:v>
                </c:pt>
                <c:pt idx="198">
                  <c:v>97.878912359396125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ConceptDemo!$Z$17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45139</c:v>
                </c:pt>
                <c:pt idx="1">
                  <c:v>45140</c:v>
                </c:pt>
                <c:pt idx="2">
                  <c:v>45141</c:v>
                </c:pt>
                <c:pt idx="3">
                  <c:v>45142</c:v>
                </c:pt>
                <c:pt idx="4">
                  <c:v>45143</c:v>
                </c:pt>
                <c:pt idx="5">
                  <c:v>45144</c:v>
                </c:pt>
                <c:pt idx="6">
                  <c:v>45145</c:v>
                </c:pt>
                <c:pt idx="7">
                  <c:v>45146</c:v>
                </c:pt>
                <c:pt idx="8">
                  <c:v>45147</c:v>
                </c:pt>
                <c:pt idx="9">
                  <c:v>45148</c:v>
                </c:pt>
                <c:pt idx="10">
                  <c:v>45149</c:v>
                </c:pt>
                <c:pt idx="11">
                  <c:v>45150</c:v>
                </c:pt>
                <c:pt idx="12">
                  <c:v>45151</c:v>
                </c:pt>
                <c:pt idx="13">
                  <c:v>45152</c:v>
                </c:pt>
                <c:pt idx="14">
                  <c:v>45153</c:v>
                </c:pt>
                <c:pt idx="15">
                  <c:v>45154</c:v>
                </c:pt>
                <c:pt idx="16">
                  <c:v>45155</c:v>
                </c:pt>
                <c:pt idx="17">
                  <c:v>45156</c:v>
                </c:pt>
                <c:pt idx="18">
                  <c:v>45157</c:v>
                </c:pt>
                <c:pt idx="19">
                  <c:v>45158</c:v>
                </c:pt>
                <c:pt idx="20">
                  <c:v>45159</c:v>
                </c:pt>
                <c:pt idx="21">
                  <c:v>45160</c:v>
                </c:pt>
                <c:pt idx="22">
                  <c:v>45161</c:v>
                </c:pt>
                <c:pt idx="23">
                  <c:v>45162</c:v>
                </c:pt>
                <c:pt idx="24">
                  <c:v>45163</c:v>
                </c:pt>
                <c:pt idx="25">
                  <c:v>45164</c:v>
                </c:pt>
                <c:pt idx="26">
                  <c:v>45165</c:v>
                </c:pt>
                <c:pt idx="27">
                  <c:v>45166</c:v>
                </c:pt>
                <c:pt idx="28">
                  <c:v>45167</c:v>
                </c:pt>
                <c:pt idx="29">
                  <c:v>45168</c:v>
                </c:pt>
                <c:pt idx="30">
                  <c:v>45169</c:v>
                </c:pt>
                <c:pt idx="31">
                  <c:v>45170</c:v>
                </c:pt>
                <c:pt idx="32">
                  <c:v>45171</c:v>
                </c:pt>
                <c:pt idx="33">
                  <c:v>45172</c:v>
                </c:pt>
                <c:pt idx="34">
                  <c:v>45173</c:v>
                </c:pt>
                <c:pt idx="35">
                  <c:v>45174</c:v>
                </c:pt>
                <c:pt idx="36">
                  <c:v>45175</c:v>
                </c:pt>
                <c:pt idx="37">
                  <c:v>45176</c:v>
                </c:pt>
                <c:pt idx="38">
                  <c:v>45177</c:v>
                </c:pt>
                <c:pt idx="39">
                  <c:v>45178</c:v>
                </c:pt>
                <c:pt idx="40">
                  <c:v>45179</c:v>
                </c:pt>
                <c:pt idx="41">
                  <c:v>45180</c:v>
                </c:pt>
                <c:pt idx="42">
                  <c:v>45181</c:v>
                </c:pt>
                <c:pt idx="43">
                  <c:v>45182</c:v>
                </c:pt>
                <c:pt idx="44">
                  <c:v>45183</c:v>
                </c:pt>
                <c:pt idx="45">
                  <c:v>45184</c:v>
                </c:pt>
                <c:pt idx="46">
                  <c:v>45185</c:v>
                </c:pt>
                <c:pt idx="47">
                  <c:v>45186</c:v>
                </c:pt>
                <c:pt idx="48">
                  <c:v>45187</c:v>
                </c:pt>
                <c:pt idx="49">
                  <c:v>45188</c:v>
                </c:pt>
                <c:pt idx="50">
                  <c:v>45189</c:v>
                </c:pt>
                <c:pt idx="51">
                  <c:v>45190</c:v>
                </c:pt>
                <c:pt idx="52">
                  <c:v>45191</c:v>
                </c:pt>
                <c:pt idx="53">
                  <c:v>45192</c:v>
                </c:pt>
                <c:pt idx="54">
                  <c:v>45193</c:v>
                </c:pt>
                <c:pt idx="55">
                  <c:v>45194</c:v>
                </c:pt>
                <c:pt idx="56">
                  <c:v>45195</c:v>
                </c:pt>
                <c:pt idx="57">
                  <c:v>45196</c:v>
                </c:pt>
                <c:pt idx="58">
                  <c:v>45197</c:v>
                </c:pt>
                <c:pt idx="59">
                  <c:v>45198</c:v>
                </c:pt>
                <c:pt idx="60">
                  <c:v>45199</c:v>
                </c:pt>
                <c:pt idx="61">
                  <c:v>45200</c:v>
                </c:pt>
                <c:pt idx="62">
                  <c:v>45201</c:v>
                </c:pt>
                <c:pt idx="63">
                  <c:v>45202</c:v>
                </c:pt>
                <c:pt idx="64">
                  <c:v>45203</c:v>
                </c:pt>
                <c:pt idx="65">
                  <c:v>45204</c:v>
                </c:pt>
                <c:pt idx="66">
                  <c:v>45205</c:v>
                </c:pt>
                <c:pt idx="67">
                  <c:v>45206</c:v>
                </c:pt>
                <c:pt idx="68">
                  <c:v>45207</c:v>
                </c:pt>
                <c:pt idx="69">
                  <c:v>45208</c:v>
                </c:pt>
                <c:pt idx="70">
                  <c:v>45209</c:v>
                </c:pt>
                <c:pt idx="71">
                  <c:v>45210</c:v>
                </c:pt>
                <c:pt idx="72">
                  <c:v>45211</c:v>
                </c:pt>
                <c:pt idx="73">
                  <c:v>45212</c:v>
                </c:pt>
                <c:pt idx="74">
                  <c:v>45213</c:v>
                </c:pt>
                <c:pt idx="75">
                  <c:v>45214</c:v>
                </c:pt>
                <c:pt idx="76">
                  <c:v>45215</c:v>
                </c:pt>
                <c:pt idx="77">
                  <c:v>45216</c:v>
                </c:pt>
                <c:pt idx="78">
                  <c:v>45217</c:v>
                </c:pt>
                <c:pt idx="79">
                  <c:v>45218</c:v>
                </c:pt>
                <c:pt idx="80">
                  <c:v>45219</c:v>
                </c:pt>
                <c:pt idx="81">
                  <c:v>45220</c:v>
                </c:pt>
                <c:pt idx="82">
                  <c:v>45221</c:v>
                </c:pt>
                <c:pt idx="83">
                  <c:v>45222</c:v>
                </c:pt>
                <c:pt idx="84">
                  <c:v>45223</c:v>
                </c:pt>
                <c:pt idx="85">
                  <c:v>45224</c:v>
                </c:pt>
                <c:pt idx="86">
                  <c:v>45225</c:v>
                </c:pt>
                <c:pt idx="87">
                  <c:v>45226</c:v>
                </c:pt>
                <c:pt idx="88">
                  <c:v>45227</c:v>
                </c:pt>
                <c:pt idx="89">
                  <c:v>45228</c:v>
                </c:pt>
                <c:pt idx="90">
                  <c:v>45229</c:v>
                </c:pt>
                <c:pt idx="91">
                  <c:v>45230</c:v>
                </c:pt>
                <c:pt idx="92">
                  <c:v>45231</c:v>
                </c:pt>
                <c:pt idx="93">
                  <c:v>45232</c:v>
                </c:pt>
                <c:pt idx="94">
                  <c:v>45233</c:v>
                </c:pt>
                <c:pt idx="95">
                  <c:v>45234</c:v>
                </c:pt>
                <c:pt idx="96">
                  <c:v>45235</c:v>
                </c:pt>
                <c:pt idx="97">
                  <c:v>45236</c:v>
                </c:pt>
                <c:pt idx="98">
                  <c:v>45237</c:v>
                </c:pt>
                <c:pt idx="99">
                  <c:v>45238</c:v>
                </c:pt>
                <c:pt idx="100">
                  <c:v>45239</c:v>
                </c:pt>
                <c:pt idx="101">
                  <c:v>45240</c:v>
                </c:pt>
                <c:pt idx="102">
                  <c:v>45241</c:v>
                </c:pt>
                <c:pt idx="103">
                  <c:v>45242</c:v>
                </c:pt>
                <c:pt idx="104">
                  <c:v>45243</c:v>
                </c:pt>
                <c:pt idx="105">
                  <c:v>45244</c:v>
                </c:pt>
                <c:pt idx="106">
                  <c:v>45245</c:v>
                </c:pt>
                <c:pt idx="107">
                  <c:v>45246</c:v>
                </c:pt>
                <c:pt idx="108">
                  <c:v>45247</c:v>
                </c:pt>
                <c:pt idx="109">
                  <c:v>45248</c:v>
                </c:pt>
                <c:pt idx="110">
                  <c:v>45249</c:v>
                </c:pt>
                <c:pt idx="111">
                  <c:v>45250</c:v>
                </c:pt>
                <c:pt idx="112">
                  <c:v>45251</c:v>
                </c:pt>
                <c:pt idx="113">
                  <c:v>45252</c:v>
                </c:pt>
                <c:pt idx="114">
                  <c:v>45253</c:v>
                </c:pt>
                <c:pt idx="115">
                  <c:v>45254</c:v>
                </c:pt>
                <c:pt idx="116">
                  <c:v>45255</c:v>
                </c:pt>
                <c:pt idx="117">
                  <c:v>45256</c:v>
                </c:pt>
                <c:pt idx="118">
                  <c:v>45257</c:v>
                </c:pt>
                <c:pt idx="119">
                  <c:v>45258</c:v>
                </c:pt>
                <c:pt idx="120">
                  <c:v>45259</c:v>
                </c:pt>
                <c:pt idx="121">
                  <c:v>45260</c:v>
                </c:pt>
                <c:pt idx="122">
                  <c:v>45261</c:v>
                </c:pt>
                <c:pt idx="123">
                  <c:v>45262</c:v>
                </c:pt>
                <c:pt idx="124">
                  <c:v>45263</c:v>
                </c:pt>
                <c:pt idx="125">
                  <c:v>45264</c:v>
                </c:pt>
                <c:pt idx="126">
                  <c:v>45265</c:v>
                </c:pt>
                <c:pt idx="127">
                  <c:v>45266</c:v>
                </c:pt>
                <c:pt idx="128">
                  <c:v>45267</c:v>
                </c:pt>
                <c:pt idx="129">
                  <c:v>45268</c:v>
                </c:pt>
                <c:pt idx="130">
                  <c:v>45269</c:v>
                </c:pt>
                <c:pt idx="131">
                  <c:v>45270</c:v>
                </c:pt>
                <c:pt idx="132">
                  <c:v>45271</c:v>
                </c:pt>
                <c:pt idx="133">
                  <c:v>45272</c:v>
                </c:pt>
                <c:pt idx="134">
                  <c:v>45273</c:v>
                </c:pt>
                <c:pt idx="135">
                  <c:v>45274</c:v>
                </c:pt>
                <c:pt idx="136">
                  <c:v>45275</c:v>
                </c:pt>
                <c:pt idx="137">
                  <c:v>45276</c:v>
                </c:pt>
                <c:pt idx="138">
                  <c:v>45277</c:v>
                </c:pt>
                <c:pt idx="139">
                  <c:v>45278</c:v>
                </c:pt>
                <c:pt idx="140">
                  <c:v>45279</c:v>
                </c:pt>
                <c:pt idx="141">
                  <c:v>45280</c:v>
                </c:pt>
                <c:pt idx="142">
                  <c:v>45281</c:v>
                </c:pt>
                <c:pt idx="143">
                  <c:v>45282</c:v>
                </c:pt>
                <c:pt idx="144">
                  <c:v>45283</c:v>
                </c:pt>
                <c:pt idx="145">
                  <c:v>45284</c:v>
                </c:pt>
                <c:pt idx="146">
                  <c:v>45285</c:v>
                </c:pt>
                <c:pt idx="147">
                  <c:v>45286</c:v>
                </c:pt>
                <c:pt idx="148">
                  <c:v>45287</c:v>
                </c:pt>
                <c:pt idx="149">
                  <c:v>45288</c:v>
                </c:pt>
                <c:pt idx="150">
                  <c:v>45289</c:v>
                </c:pt>
                <c:pt idx="151">
                  <c:v>45290</c:v>
                </c:pt>
                <c:pt idx="152">
                  <c:v>45291</c:v>
                </c:pt>
                <c:pt idx="153">
                  <c:v>45292</c:v>
                </c:pt>
                <c:pt idx="154">
                  <c:v>45293</c:v>
                </c:pt>
                <c:pt idx="155">
                  <c:v>45294</c:v>
                </c:pt>
                <c:pt idx="156">
                  <c:v>45295</c:v>
                </c:pt>
                <c:pt idx="157">
                  <c:v>45296</c:v>
                </c:pt>
                <c:pt idx="158">
                  <c:v>45297</c:v>
                </c:pt>
                <c:pt idx="159">
                  <c:v>45298</c:v>
                </c:pt>
                <c:pt idx="160">
                  <c:v>45299</c:v>
                </c:pt>
                <c:pt idx="161">
                  <c:v>45300</c:v>
                </c:pt>
                <c:pt idx="162">
                  <c:v>45301</c:v>
                </c:pt>
                <c:pt idx="163">
                  <c:v>45302</c:v>
                </c:pt>
                <c:pt idx="164">
                  <c:v>45303</c:v>
                </c:pt>
                <c:pt idx="165">
                  <c:v>45304</c:v>
                </c:pt>
                <c:pt idx="166">
                  <c:v>45305</c:v>
                </c:pt>
                <c:pt idx="167">
                  <c:v>45306</c:v>
                </c:pt>
                <c:pt idx="168">
                  <c:v>45307</c:v>
                </c:pt>
                <c:pt idx="169">
                  <c:v>45308</c:v>
                </c:pt>
                <c:pt idx="170">
                  <c:v>45309</c:v>
                </c:pt>
                <c:pt idx="171">
                  <c:v>45310</c:v>
                </c:pt>
                <c:pt idx="172">
                  <c:v>45311</c:v>
                </c:pt>
                <c:pt idx="173">
                  <c:v>45312</c:v>
                </c:pt>
                <c:pt idx="174">
                  <c:v>45313</c:v>
                </c:pt>
                <c:pt idx="175">
                  <c:v>45314</c:v>
                </c:pt>
                <c:pt idx="176">
                  <c:v>45315</c:v>
                </c:pt>
                <c:pt idx="177">
                  <c:v>45316</c:v>
                </c:pt>
                <c:pt idx="178">
                  <c:v>45317</c:v>
                </c:pt>
                <c:pt idx="179">
                  <c:v>45318</c:v>
                </c:pt>
                <c:pt idx="180">
                  <c:v>45319</c:v>
                </c:pt>
                <c:pt idx="181">
                  <c:v>45320</c:v>
                </c:pt>
                <c:pt idx="182">
                  <c:v>45321</c:v>
                </c:pt>
                <c:pt idx="183">
                  <c:v>45322</c:v>
                </c:pt>
                <c:pt idx="184">
                  <c:v>45323</c:v>
                </c:pt>
                <c:pt idx="185">
                  <c:v>45324</c:v>
                </c:pt>
                <c:pt idx="186">
                  <c:v>45325</c:v>
                </c:pt>
                <c:pt idx="187">
                  <c:v>45326</c:v>
                </c:pt>
                <c:pt idx="188">
                  <c:v>45327</c:v>
                </c:pt>
                <c:pt idx="189">
                  <c:v>45328</c:v>
                </c:pt>
                <c:pt idx="190">
                  <c:v>45329</c:v>
                </c:pt>
                <c:pt idx="191">
                  <c:v>45330</c:v>
                </c:pt>
                <c:pt idx="192">
                  <c:v>45331</c:v>
                </c:pt>
                <c:pt idx="193">
                  <c:v>45332</c:v>
                </c:pt>
                <c:pt idx="194">
                  <c:v>45333</c:v>
                </c:pt>
                <c:pt idx="195">
                  <c:v>45334</c:v>
                </c:pt>
                <c:pt idx="196">
                  <c:v>45335</c:v>
                </c:pt>
                <c:pt idx="197">
                  <c:v>45336</c:v>
                </c:pt>
                <c:pt idx="198">
                  <c:v>45337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5.6933569233555501E-3</c:v>
                </c:pt>
                <c:pt idx="1">
                  <c:v>6.0630190792949103E-3</c:v>
                </c:pt>
                <c:pt idx="2">
                  <c:v>6.4376958397586196E-3</c:v>
                </c:pt>
                <c:pt idx="3">
                  <c:v>6.8385368709400996E-3</c:v>
                </c:pt>
                <c:pt idx="4">
                  <c:v>7.2463696301328798E-3</c:v>
                </c:pt>
                <c:pt idx="5">
                  <c:v>7.68321808210047E-3</c:v>
                </c:pt>
                <c:pt idx="6">
                  <c:v>8.1513576783887008E-3</c:v>
                </c:pt>
                <c:pt idx="7">
                  <c:v>8.6208896757455893E-3</c:v>
                </c:pt>
                <c:pt idx="8">
                  <c:v>9.0616171155840104E-3</c:v>
                </c:pt>
                <c:pt idx="9">
                  <c:v>9.4915909806232504E-3</c:v>
                </c:pt>
                <c:pt idx="10">
                  <c:v>9.9976535024700504E-3</c:v>
                </c:pt>
                <c:pt idx="11">
                  <c:v>1.05560079806046E-2</c:v>
                </c:pt>
                <c:pt idx="12">
                  <c:v>1.1164293985691401E-2</c:v>
                </c:pt>
                <c:pt idx="13">
                  <c:v>1.1826838028297501E-2</c:v>
                </c:pt>
                <c:pt idx="14">
                  <c:v>1.25029000965565E-2</c:v>
                </c:pt>
                <c:pt idx="15">
                  <c:v>1.32373841816056E-2</c:v>
                </c:pt>
                <c:pt idx="16">
                  <c:v>1.40073866273982E-2</c:v>
                </c:pt>
                <c:pt idx="17">
                  <c:v>1.47533336659126E-2</c:v>
                </c:pt>
                <c:pt idx="18">
                  <c:v>1.55975664158039E-2</c:v>
                </c:pt>
                <c:pt idx="19">
                  <c:v>1.6467375350039601E-2</c:v>
                </c:pt>
                <c:pt idx="20">
                  <c:v>1.7436823237097401E-2</c:v>
                </c:pt>
                <c:pt idx="21">
                  <c:v>1.8435048718694901E-2</c:v>
                </c:pt>
                <c:pt idx="22">
                  <c:v>1.9495632764278199E-2</c:v>
                </c:pt>
                <c:pt idx="23">
                  <c:v>2.0652695615857398E-2</c:v>
                </c:pt>
                <c:pt idx="24">
                  <c:v>2.1855303654105301E-2</c:v>
                </c:pt>
                <c:pt idx="25">
                  <c:v>2.3259999497581701E-2</c:v>
                </c:pt>
                <c:pt idx="26">
                  <c:v>2.4757487423038599E-2</c:v>
                </c:pt>
                <c:pt idx="27">
                  <c:v>2.63983258625798E-2</c:v>
                </c:pt>
                <c:pt idx="28">
                  <c:v>2.8062197171391599E-2</c:v>
                </c:pt>
                <c:pt idx="29">
                  <c:v>2.9920067985668201E-2</c:v>
                </c:pt>
                <c:pt idx="30">
                  <c:v>3.1812772459053403E-2</c:v>
                </c:pt>
                <c:pt idx="31">
                  <c:v>3.3714361360981798E-2</c:v>
                </c:pt>
                <c:pt idx="32">
                  <c:v>3.5630886755299102E-2</c:v>
                </c:pt>
                <c:pt idx="33">
                  <c:v>3.7670682294524499E-2</c:v>
                </c:pt>
                <c:pt idx="34">
                  <c:v>3.9890064419835197E-2</c:v>
                </c:pt>
                <c:pt idx="35">
                  <c:v>4.2165217236127699E-2</c:v>
                </c:pt>
                <c:pt idx="36">
                  <c:v>4.4703262444042699E-2</c:v>
                </c:pt>
                <c:pt idx="37">
                  <c:v>4.7501312216588501E-2</c:v>
                </c:pt>
                <c:pt idx="38">
                  <c:v>5.0408621452839503E-2</c:v>
                </c:pt>
                <c:pt idx="39">
                  <c:v>5.3193400617861E-2</c:v>
                </c:pt>
                <c:pt idx="40">
                  <c:v>5.62689425097447E-2</c:v>
                </c:pt>
                <c:pt idx="41">
                  <c:v>5.9690966623320303E-2</c:v>
                </c:pt>
                <c:pt idx="42">
                  <c:v>6.3238044720393599E-2</c:v>
                </c:pt>
                <c:pt idx="43">
                  <c:v>6.7257251337578997E-2</c:v>
                </c:pt>
                <c:pt idx="44">
                  <c:v>7.1461688180295496E-2</c:v>
                </c:pt>
                <c:pt idx="45">
                  <c:v>7.6013091481923006E-2</c:v>
                </c:pt>
                <c:pt idx="46">
                  <c:v>8.0787818404615699E-2</c:v>
                </c:pt>
                <c:pt idx="47">
                  <c:v>8.62498188723307E-2</c:v>
                </c:pt>
                <c:pt idx="48">
                  <c:v>9.1614518146371296E-2</c:v>
                </c:pt>
                <c:pt idx="49">
                  <c:v>9.6835998880636306E-2</c:v>
                </c:pt>
                <c:pt idx="50">
                  <c:v>0.10224984437189399</c:v>
                </c:pt>
                <c:pt idx="51">
                  <c:v>0.107620115653545</c:v>
                </c:pt>
                <c:pt idx="52">
                  <c:v>0.113406046533025</c:v>
                </c:pt>
                <c:pt idx="53">
                  <c:v>0.11993895408461799</c:v>
                </c:pt>
                <c:pt idx="54">
                  <c:v>0.127215364727256</c:v>
                </c:pt>
                <c:pt idx="55">
                  <c:v>0.135158917685019</c:v>
                </c:pt>
                <c:pt idx="56">
                  <c:v>0.143193600899541</c:v>
                </c:pt>
                <c:pt idx="57">
                  <c:v>0.15186665552703399</c:v>
                </c:pt>
                <c:pt idx="58">
                  <c:v>0.161147872415561</c:v>
                </c:pt>
                <c:pt idx="59">
                  <c:v>0.17110476257493201</c:v>
                </c:pt>
                <c:pt idx="60">
                  <c:v>0.181393690404999</c:v>
                </c:pt>
                <c:pt idx="61">
                  <c:v>0.19135300308919001</c:v>
                </c:pt>
                <c:pt idx="62">
                  <c:v>0.20201183252080501</c:v>
                </c:pt>
                <c:pt idx="63">
                  <c:v>0.21392249792111201</c:v>
                </c:pt>
                <c:pt idx="64">
                  <c:v>0.22530844564661801</c:v>
                </c:pt>
                <c:pt idx="65">
                  <c:v>0.23700124753971</c:v>
                </c:pt>
                <c:pt idx="66">
                  <c:v>0.248973797645821</c:v>
                </c:pt>
                <c:pt idx="67">
                  <c:v>0.26158628835345699</c:v>
                </c:pt>
                <c:pt idx="68">
                  <c:v>0.2742363517159</c:v>
                </c:pt>
                <c:pt idx="69">
                  <c:v>0.286795789032675</c:v>
                </c:pt>
                <c:pt idx="70">
                  <c:v>0.29936450258995301</c:v>
                </c:pt>
                <c:pt idx="71">
                  <c:v>0.31345930639405301</c:v>
                </c:pt>
                <c:pt idx="72">
                  <c:v>0.327898965205346</c:v>
                </c:pt>
                <c:pt idx="73">
                  <c:v>0.34202792368970197</c:v>
                </c:pt>
                <c:pt idx="74">
                  <c:v>0.35705001121666702</c:v>
                </c:pt>
                <c:pt idx="75">
                  <c:v>0.372091509931058</c:v>
                </c:pt>
                <c:pt idx="76">
                  <c:v>0.38676960772382302</c:v>
                </c:pt>
                <c:pt idx="77">
                  <c:v>0.40230087142378101</c:v>
                </c:pt>
                <c:pt idx="78">
                  <c:v>0.41753169999317802</c:v>
                </c:pt>
                <c:pt idx="79">
                  <c:v>0.43201357516792099</c:v>
                </c:pt>
                <c:pt idx="80">
                  <c:v>0.44701618307848501</c:v>
                </c:pt>
                <c:pt idx="81">
                  <c:v>0.461681500514461</c:v>
                </c:pt>
                <c:pt idx="82">
                  <c:v>0.47667834368842399</c:v>
                </c:pt>
                <c:pt idx="83">
                  <c:v>0.49066544364768999</c:v>
                </c:pt>
                <c:pt idx="84">
                  <c:v>0.50446910059461303</c:v>
                </c:pt>
                <c:pt idx="85">
                  <c:v>0.51865207434615102</c:v>
                </c:pt>
                <c:pt idx="86">
                  <c:v>0.53348617740382198</c:v>
                </c:pt>
                <c:pt idx="87">
                  <c:v>0.54805165623430496</c:v>
                </c:pt>
                <c:pt idx="88">
                  <c:v>0.56170088686181296</c:v>
                </c:pt>
                <c:pt idx="89">
                  <c:v>0.57543402652304998</c:v>
                </c:pt>
                <c:pt idx="90">
                  <c:v>0.587819802320101</c:v>
                </c:pt>
                <c:pt idx="91">
                  <c:v>0.59937457187332499</c:v>
                </c:pt>
                <c:pt idx="92">
                  <c:v>0.61038399452990599</c:v>
                </c:pt>
                <c:pt idx="93">
                  <c:v>0.62166141980018297</c:v>
                </c:pt>
                <c:pt idx="94">
                  <c:v>0.633272710072187</c:v>
                </c:pt>
                <c:pt idx="95">
                  <c:v>0.64396079420397501</c:v>
                </c:pt>
                <c:pt idx="96">
                  <c:v>0.653722798155707</c:v>
                </c:pt>
                <c:pt idx="97">
                  <c:v>0.66288769828092398</c:v>
                </c:pt>
                <c:pt idx="98">
                  <c:v>0.67176594011697499</c:v>
                </c:pt>
                <c:pt idx="99">
                  <c:v>0.68044970520284698</c:v>
                </c:pt>
                <c:pt idx="100">
                  <c:v>0.68880763344162399</c:v>
                </c:pt>
                <c:pt idx="101">
                  <c:v>0.69640507070511903</c:v>
                </c:pt>
                <c:pt idx="102">
                  <c:v>0.70367227898137097</c:v>
                </c:pt>
                <c:pt idx="103">
                  <c:v>0.71009823697791696</c:v>
                </c:pt>
                <c:pt idx="104">
                  <c:v>0.71591622921879905</c:v>
                </c:pt>
                <c:pt idx="105">
                  <c:v>0.72141704823504504</c:v>
                </c:pt>
                <c:pt idx="106">
                  <c:v>0.72694141718438399</c:v>
                </c:pt>
                <c:pt idx="107">
                  <c:v>0.73258931715888798</c:v>
                </c:pt>
                <c:pt idx="108">
                  <c:v>0.73790648196901898</c:v>
                </c:pt>
                <c:pt idx="109">
                  <c:v>0.742679355788881</c:v>
                </c:pt>
                <c:pt idx="110">
                  <c:v>0.74696128236971404</c:v>
                </c:pt>
                <c:pt idx="111">
                  <c:v>0.75099379383803699</c:v>
                </c:pt>
                <c:pt idx="112">
                  <c:v>0.75475850788976095</c:v>
                </c:pt>
                <c:pt idx="113">
                  <c:v>0.75827178071946699</c:v>
                </c:pt>
                <c:pt idx="114">
                  <c:v>0.76165189365486796</c:v>
                </c:pt>
                <c:pt idx="115">
                  <c:v>0.76477260634462396</c:v>
                </c:pt>
                <c:pt idx="116">
                  <c:v>0.76782376059663704</c:v>
                </c:pt>
                <c:pt idx="117">
                  <c:v>0.77064335784590099</c:v>
                </c:pt>
                <c:pt idx="118">
                  <c:v>0.77327603894530905</c:v>
                </c:pt>
                <c:pt idx="119">
                  <c:v>0.77565067345824501</c:v>
                </c:pt>
                <c:pt idx="120">
                  <c:v>0.77768614291553795</c:v>
                </c:pt>
                <c:pt idx="121">
                  <c:v>0.77968463137941502</c:v>
                </c:pt>
                <c:pt idx="122">
                  <c:v>0.78148360932393302</c:v>
                </c:pt>
                <c:pt idx="123">
                  <c:v>0.78315223345458396</c:v>
                </c:pt>
                <c:pt idx="124">
                  <c:v>0.78466594214313601</c:v>
                </c:pt>
                <c:pt idx="125">
                  <c:v>0.78608940120284398</c:v>
                </c:pt>
                <c:pt idx="126">
                  <c:v>0.78737169932430195</c:v>
                </c:pt>
                <c:pt idx="127">
                  <c:v>0.78853836173186398</c:v>
                </c:pt>
                <c:pt idx="128">
                  <c:v>0.78956329999173203</c:v>
                </c:pt>
                <c:pt idx="129">
                  <c:v>0.79046280275189196</c:v>
                </c:pt>
                <c:pt idx="130">
                  <c:v>0.79131925796251401</c:v>
                </c:pt>
                <c:pt idx="131">
                  <c:v>0.79213730106161295</c:v>
                </c:pt>
                <c:pt idx="132">
                  <c:v>0.79291298975434599</c:v>
                </c:pt>
                <c:pt idx="133">
                  <c:v>0.79359284319678602</c:v>
                </c:pt>
                <c:pt idx="134">
                  <c:v>0.79420379779732697</c:v>
                </c:pt>
                <c:pt idx="135">
                  <c:v>0.79473528711284203</c:v>
                </c:pt>
                <c:pt idx="136">
                  <c:v>0.79520588052951002</c:v>
                </c:pt>
                <c:pt idx="137">
                  <c:v>0.79566085391444696</c:v>
                </c:pt>
                <c:pt idx="138">
                  <c:v>0.79607286247436204</c:v>
                </c:pt>
                <c:pt idx="139">
                  <c:v>0.79645490794497198</c:v>
                </c:pt>
                <c:pt idx="140">
                  <c:v>0.79679102744525998</c:v>
                </c:pt>
                <c:pt idx="141">
                  <c:v>0.79708216607689497</c:v>
                </c:pt>
                <c:pt idx="142">
                  <c:v>0.79734875734581701</c:v>
                </c:pt>
                <c:pt idx="143">
                  <c:v>0.79759208210701305</c:v>
                </c:pt>
                <c:pt idx="144">
                  <c:v>0.79782192357750104</c:v>
                </c:pt>
                <c:pt idx="145">
                  <c:v>0.79803061485309901</c:v>
                </c:pt>
                <c:pt idx="146">
                  <c:v>0.79822483710951897</c:v>
                </c:pt>
                <c:pt idx="147">
                  <c:v>0.79840491023916205</c:v>
                </c:pt>
                <c:pt idx="148">
                  <c:v>0.79856346548859503</c:v>
                </c:pt>
                <c:pt idx="149">
                  <c:v>0.79870222335086605</c:v>
                </c:pt>
                <c:pt idx="150">
                  <c:v>0.79616711958619502</c:v>
                </c:pt>
                <c:pt idx="151">
                  <c:v>0.78037278561415302</c:v>
                </c:pt>
                <c:pt idx="152">
                  <c:v>0.76491803175194295</c:v>
                </c:pt>
                <c:pt idx="153">
                  <c:v>0.74833263047859</c:v>
                </c:pt>
                <c:pt idx="154">
                  <c:v>0.73124171790537396</c:v>
                </c:pt>
                <c:pt idx="155">
                  <c:v>0.714116075548198</c:v>
                </c:pt>
                <c:pt idx="156">
                  <c:v>0.698371906819655</c:v>
                </c:pt>
                <c:pt idx="157">
                  <c:v>0.68316797917493299</c:v>
                </c:pt>
                <c:pt idx="158">
                  <c:v>0.66684112184883804</c:v>
                </c:pt>
                <c:pt idx="159">
                  <c:v>0.65109309425540995</c:v>
                </c:pt>
                <c:pt idx="160">
                  <c:v>0.63494760357888402</c:v>
                </c:pt>
                <c:pt idx="161">
                  <c:v>0.61918414052591797</c:v>
                </c:pt>
                <c:pt idx="162">
                  <c:v>0.60288043638912903</c:v>
                </c:pt>
                <c:pt idx="163">
                  <c:v>0.58653042587372695</c:v>
                </c:pt>
                <c:pt idx="164">
                  <c:v>0.56969805724776901</c:v>
                </c:pt>
                <c:pt idx="165">
                  <c:v>0.55313580916372296</c:v>
                </c:pt>
                <c:pt idx="166">
                  <c:v>0.53713309648792096</c:v>
                </c:pt>
                <c:pt idx="167">
                  <c:v>0.52090656964882098</c:v>
                </c:pt>
                <c:pt idx="168">
                  <c:v>0.504263285402201</c:v>
                </c:pt>
                <c:pt idx="169">
                  <c:v>0.48734216288390098</c:v>
                </c:pt>
                <c:pt idx="170">
                  <c:v>0.47071431409681902</c:v>
                </c:pt>
                <c:pt idx="171">
                  <c:v>0.45362340152360398</c:v>
                </c:pt>
                <c:pt idx="172">
                  <c:v>0.43683733927625901</c:v>
                </c:pt>
                <c:pt idx="173">
                  <c:v>0.42046417557155102</c:v>
                </c:pt>
                <c:pt idx="174">
                  <c:v>0.40439586219271301</c:v>
                </c:pt>
                <c:pt idx="175">
                  <c:v>0.388184770813152</c:v>
                </c:pt>
                <c:pt idx="176">
                  <c:v>0.37177968377167198</c:v>
                </c:pt>
                <c:pt idx="177">
                  <c:v>0.35524444774181602</c:v>
                </c:pt>
                <c:pt idx="178">
                  <c:v>0.33770976570688899</c:v>
                </c:pt>
                <c:pt idx="179">
                  <c:v>0.32055325243063798</c:v>
                </c:pt>
                <c:pt idx="180">
                  <c:v>0.30362055331768401</c:v>
                </c:pt>
                <c:pt idx="181">
                  <c:v>0.286070435823219</c:v>
                </c:pt>
                <c:pt idx="182">
                  <c:v>0.26840841124710602</c:v>
                </c:pt>
                <c:pt idx="183">
                  <c:v>0.25107439018617</c:v>
                </c:pt>
                <c:pt idx="184">
                  <c:v>0.233736510260349</c:v>
                </c:pt>
                <c:pt idx="185">
                  <c:v>0.216549126065022</c:v>
                </c:pt>
                <c:pt idx="186">
                  <c:v>0.199099339057553</c:v>
                </c:pt>
                <c:pt idx="187">
                  <c:v>0.18202000307899099</c:v>
                </c:pt>
                <c:pt idx="188">
                  <c:v>0.16537285996748599</c:v>
                </c:pt>
                <c:pt idx="189">
                  <c:v>0.149273675669574</c:v>
                </c:pt>
                <c:pt idx="190">
                  <c:v>0.13349091829218601</c:v>
                </c:pt>
                <c:pt idx="191">
                  <c:v>0.117299121237046</c:v>
                </c:pt>
                <c:pt idx="192">
                  <c:v>0.101034005749102</c:v>
                </c:pt>
                <c:pt idx="193">
                  <c:v>8.4633829990202095E-2</c:v>
                </c:pt>
                <c:pt idx="194">
                  <c:v>6.8283819474800098E-2</c:v>
                </c:pt>
                <c:pt idx="195">
                  <c:v>5.1385850145806697E-2</c:v>
                </c:pt>
                <c:pt idx="196">
                  <c:v>3.4090417733715503E-2</c:v>
                </c:pt>
                <c:pt idx="197">
                  <c:v>1.6798844186508701E-2</c:v>
                </c:pt>
                <c:pt idx="198">
                  <c:v>0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E662"/>
  <sheetViews>
    <sheetView tabSelected="1" topLeftCell="C15" zoomScale="110" zoomScaleNormal="110" workbookViewId="0">
      <selection activeCell="D40" sqref="D40"/>
    </sheetView>
  </sheetViews>
  <sheetFormatPr defaultColWidth="9.109375" defaultRowHeight="14.4" x14ac:dyDescent="0.3"/>
  <cols>
    <col min="1" max="1" width="9.109375" hidden="1" customWidth="1"/>
    <col min="2" max="2" width="10.33203125" hidden="1" customWidth="1"/>
    <col min="3" max="3" width="30.109375" style="57" customWidth="1"/>
    <col min="4" max="4" width="26.44140625" style="57" bestFit="1" customWidth="1"/>
    <col min="5" max="5" width="18.44140625" style="57" customWidth="1"/>
    <col min="6" max="6" width="20.44140625" style="57" bestFit="1" customWidth="1"/>
    <col min="7" max="8" width="17.44140625" style="57" bestFit="1" customWidth="1"/>
    <col min="9" max="10" width="22.5546875" style="57" bestFit="1" customWidth="1"/>
    <col min="11" max="15" width="9.109375" style="57"/>
    <col min="16" max="16" width="4.44140625" style="57" customWidth="1"/>
    <col min="17" max="17" width="92.109375" style="57" customWidth="1"/>
    <col min="18" max="18" width="10.6640625" style="57" customWidth="1"/>
    <col min="19" max="22" width="9.109375" style="57" customWidth="1"/>
    <col min="23" max="26" width="9.109375" customWidth="1"/>
    <col min="27" max="27" width="10.88671875" bestFit="1" customWidth="1"/>
  </cols>
  <sheetData>
    <row r="1" spans="2:31" s="57" customFormat="1" ht="20.25" customHeight="1" x14ac:dyDescent="0.4">
      <c r="B1" s="57">
        <f>VLOOKUP(C1,ListMembers!U8:V10,2,FALSE)</f>
        <v>2</v>
      </c>
      <c r="C1" s="118" t="s">
        <v>192</v>
      </c>
      <c r="D1" s="137" t="s">
        <v>162</v>
      </c>
      <c r="E1" s="138"/>
      <c r="F1" s="138"/>
      <c r="G1" s="138"/>
      <c r="H1" s="139"/>
      <c r="W1"/>
      <c r="X1"/>
      <c r="Y1"/>
      <c r="Z1"/>
    </row>
    <row r="2" spans="2:31" s="57" customFormat="1" ht="47.25" customHeight="1" x14ac:dyDescent="0.3">
      <c r="C2" s="108"/>
      <c r="D2" s="140" t="s">
        <v>163</v>
      </c>
      <c r="E2" s="141"/>
      <c r="F2" s="141"/>
      <c r="G2" s="141"/>
      <c r="H2" s="142"/>
      <c r="W2"/>
      <c r="X2"/>
      <c r="Y2"/>
      <c r="Z2"/>
    </row>
    <row r="3" spans="2:31" s="56" customFormat="1" ht="15" thickBot="1" x14ac:dyDescent="0.35">
      <c r="B3" s="57"/>
      <c r="C3" s="127" t="s">
        <v>194</v>
      </c>
      <c r="D3" s="127"/>
      <c r="E3" s="127"/>
      <c r="F3" s="127"/>
      <c r="G3" s="128"/>
      <c r="H3" s="128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/>
      <c r="X3"/>
      <c r="Y3"/>
      <c r="Z3"/>
    </row>
    <row r="4" spans="2:31" s="57" customFormat="1" ht="15.6" x14ac:dyDescent="0.3">
      <c r="C4" s="110" t="s">
        <v>182</v>
      </c>
      <c r="D4" s="111" t="s">
        <v>10</v>
      </c>
      <c r="E4" s="60"/>
      <c r="F4" s="110" t="s">
        <v>202</v>
      </c>
      <c r="G4" s="88" t="str">
        <f>IF(H4="","Typical",H4)</f>
        <v>Typical</v>
      </c>
      <c r="H4" s="106"/>
      <c r="W4"/>
      <c r="X4"/>
      <c r="Y4"/>
      <c r="Z4"/>
    </row>
    <row r="5" spans="2:31" s="57" customFormat="1" ht="15.6" x14ac:dyDescent="0.3">
      <c r="C5" s="110" t="s">
        <v>30</v>
      </c>
      <c r="D5" s="112" t="s">
        <v>69</v>
      </c>
      <c r="E5" s="60"/>
      <c r="F5" s="110" t="s">
        <v>203</v>
      </c>
      <c r="G5" s="88" t="str">
        <f>IF(H5="","Typical",H5)</f>
        <v>Typical</v>
      </c>
      <c r="H5" s="106"/>
      <c r="W5"/>
      <c r="X5"/>
      <c r="Y5"/>
      <c r="Z5"/>
    </row>
    <row r="6" spans="2:31" s="57" customFormat="1" ht="15.6" x14ac:dyDescent="0.3">
      <c r="C6" s="110" t="s">
        <v>99</v>
      </c>
      <c r="D6" s="112" t="s">
        <v>7</v>
      </c>
      <c r="F6" s="110" t="s">
        <v>198</v>
      </c>
      <c r="G6" s="88" t="str">
        <f>IF(H6="","None",H6)</f>
        <v>None</v>
      </c>
      <c r="H6" s="120"/>
      <c r="W6"/>
      <c r="X6"/>
      <c r="Y6"/>
      <c r="Z6"/>
    </row>
    <row r="7" spans="2:31" s="57" customFormat="1" x14ac:dyDescent="0.3">
      <c r="C7" s="59" t="s">
        <v>100</v>
      </c>
      <c r="D7" s="87" t="str">
        <f>IF(E7="","General",E7)</f>
        <v>General</v>
      </c>
      <c r="E7" s="94"/>
      <c r="W7"/>
      <c r="X7"/>
      <c r="Y7"/>
      <c r="Z7"/>
    </row>
    <row r="8" spans="2:31" s="57" customFormat="1" x14ac:dyDescent="0.3">
      <c r="C8" s="66" t="s">
        <v>158</v>
      </c>
      <c r="D8" s="67" t="str">
        <f>CurrentCropName&amp;" "&amp;CurrentCropType&amp;" "&amp;CurrentCropVariety</f>
        <v>Onion Vegetable General</v>
      </c>
      <c r="W8"/>
      <c r="X8"/>
      <c r="Y8"/>
      <c r="Z8"/>
    </row>
    <row r="9" spans="2:31" s="57" customFormat="1" x14ac:dyDescent="0.3">
      <c r="C9" s="59" t="s">
        <v>4</v>
      </c>
      <c r="D9" s="93">
        <f ca="1">IF(E9="",TODAY(),E9)</f>
        <v>45139</v>
      </c>
      <c r="E9" s="69">
        <v>45139</v>
      </c>
      <c r="F9" s="59" t="s">
        <v>153</v>
      </c>
      <c r="G9" s="87" t="str">
        <f>IF(H9="",VLOOKUP(CurrentCropNameFull,CropCoefficients,13,FALSE),H9)</f>
        <v>Seed</v>
      </c>
      <c r="H9" s="74"/>
      <c r="W9"/>
      <c r="X9"/>
      <c r="Y9"/>
      <c r="Z9"/>
    </row>
    <row r="10" spans="2:31" s="57" customFormat="1" x14ac:dyDescent="0.3">
      <c r="C10" s="59" t="s">
        <v>5</v>
      </c>
      <c r="D10" s="93">
        <f>IF(E10="",CurrentEstablishDate+125,E10)</f>
        <v>45337</v>
      </c>
      <c r="E10" s="69">
        <v>45337</v>
      </c>
      <c r="F10" s="59" t="s">
        <v>154</v>
      </c>
      <c r="G10" s="87" t="str">
        <f>IF(H10="",VLOOKUP(CurrentCropNameFull,CropCoefficients,15,FALSE),H10)</f>
        <v>Maturity</v>
      </c>
      <c r="H10" s="74"/>
      <c r="W10"/>
      <c r="X10"/>
      <c r="Y10"/>
      <c r="Z10"/>
    </row>
    <row r="11" spans="2:31" s="57" customFormat="1" x14ac:dyDescent="0.3">
      <c r="C11" s="59" t="s">
        <v>144</v>
      </c>
      <c r="D11" s="87" t="str">
        <f>IF(CurrentUnits="kg/head",IF(E11="",VLOOKUP(CurrentCropNameFull,CropCoefficients,20,FALSE),E11),"  -")</f>
        <v xml:space="preserve">  -</v>
      </c>
      <c r="E11" s="74"/>
      <c r="F11" s="59" t="s">
        <v>141</v>
      </c>
      <c r="G11" s="87">
        <f>IF(H11="",VLOOKUP(CurrentCropNameFull,CropCoefficients,23,FALSE),H11)</f>
        <v>0</v>
      </c>
      <c r="H11" s="74"/>
      <c r="W11"/>
      <c r="X11"/>
      <c r="Y11"/>
      <c r="Z11"/>
    </row>
    <row r="12" spans="2:31" s="57" customFormat="1" x14ac:dyDescent="0.3">
      <c r="C12" s="59" t="str">
        <f>"Yield ("&amp;CurrentUnits&amp;")"</f>
        <v>Yield (t/ha)</v>
      </c>
      <c r="D12" s="87">
        <f>IF(E12="",VLOOKUP(CurrentCropNameFull,CropCoefficients,17,FALSE),E12)</f>
        <v>70</v>
      </c>
      <c r="E12" s="71">
        <v>70</v>
      </c>
      <c r="F12" s="59" t="s">
        <v>143</v>
      </c>
      <c r="G12" s="87">
        <f>IF(H12="",VLOOKUP(CurrentCropNameFull,CropCoefficients,22,FALSE),H12)</f>
        <v>0</v>
      </c>
      <c r="H12" s="74"/>
      <c r="W12"/>
      <c r="X12"/>
      <c r="Y12"/>
      <c r="Z12"/>
    </row>
    <row r="13" spans="2:31" s="57" customFormat="1" x14ac:dyDescent="0.3">
      <c r="C13" s="59" t="s">
        <v>15</v>
      </c>
      <c r="D13" s="88" t="str">
        <f>IF(E13="",VLOOKUP(CurrentCropNameFull,CropCoefficients,18,FALSE),E13)</f>
        <v>t/ha</v>
      </c>
      <c r="E13" s="73"/>
      <c r="F13" s="59" t="s">
        <v>142</v>
      </c>
      <c r="G13" s="101">
        <f>IF(H13="",VLOOKUP(CurrentCropNameFull,CropCoefficients,26,FALSE),H13)</f>
        <v>89</v>
      </c>
      <c r="H13" s="74"/>
      <c r="W13"/>
      <c r="X13"/>
      <c r="Y13"/>
      <c r="Z13"/>
    </row>
    <row r="14" spans="2:31" s="57" customFormat="1" x14ac:dyDescent="0.3">
      <c r="B14" s="92">
        <f>IF(CurrentUnits="kg/head",CurrentYield*CurrentPopulation/1000,IF(CurrentUnits="kg/ha",CurrentYield/1000,CurrentYield))</f>
        <v>70</v>
      </c>
      <c r="C14" s="66" t="str">
        <f>"Yield "&amp;CurrentYield_tperHa&amp;" (t/ha)"</f>
        <v>Yield 70 (t/ha)</v>
      </c>
      <c r="D14" s="92" t="str">
        <f ca="1">"requires "&amp;ROUND(SUM('Model Interface'!V3:W3),0)&amp;" kg N/ha from all sources"</f>
        <v>requires 153 kg N/ha from all sources</v>
      </c>
      <c r="F14" s="59" t="s">
        <v>168</v>
      </c>
      <c r="G14" s="87" t="str">
        <f>IF(H14="","None removed",H14)</f>
        <v>None removed</v>
      </c>
      <c r="H14" s="74"/>
      <c r="R14" s="85">
        <f ca="1">MAX(PriorHarvestDate,MIN(C38,CurrentEstablishDate))</f>
        <v>45139</v>
      </c>
      <c r="W14"/>
      <c r="X14"/>
      <c r="Y14"/>
      <c r="Z14"/>
    </row>
    <row r="15" spans="2:31" s="57" customFormat="1" ht="16.2" thickBot="1" x14ac:dyDescent="0.35">
      <c r="B15" s="57">
        <f ca="1">SUMIF(B29:B43,1,G29:G43)</f>
        <v>120</v>
      </c>
      <c r="C15" s="113" t="s">
        <v>240</v>
      </c>
      <c r="D15" s="114" t="str">
        <f ca="1">SUMIF(B29:B43,1,G29:G43)&amp;" Kg/ha"</f>
        <v>120 Kg/ha</v>
      </c>
      <c r="E15" s="115" t="s">
        <v>197</v>
      </c>
      <c r="F15" s="59" t="s">
        <v>169</v>
      </c>
      <c r="G15" s="87" t="str">
        <f>IF(H15="","Full (Plough)",H15)</f>
        <v>Full (Plough)</v>
      </c>
      <c r="H15" s="74"/>
      <c r="R15" s="136" t="s">
        <v>243</v>
      </c>
      <c r="S15" s="136"/>
      <c r="T15" s="136"/>
      <c r="U15" s="136"/>
      <c r="V15" s="136"/>
      <c r="W15" s="134" t="s">
        <v>242</v>
      </c>
      <c r="X15" s="134"/>
      <c r="Y15" s="134"/>
      <c r="Z15" s="134"/>
      <c r="AA15" s="135" t="s">
        <v>244</v>
      </c>
      <c r="AB15" s="135"/>
      <c r="AC15" s="135"/>
      <c r="AD15" s="135"/>
      <c r="AE15" s="135"/>
    </row>
    <row r="16" spans="2:31" s="57" customFormat="1" ht="5.25" customHeight="1" x14ac:dyDescent="0.3">
      <c r="W16"/>
      <c r="X16"/>
      <c r="Y16"/>
      <c r="Z16"/>
    </row>
    <row r="17" spans="1:31" s="56" customFormat="1" ht="15" thickBot="1" x14ac:dyDescent="0.35">
      <c r="A17" s="57"/>
      <c r="B17" s="57"/>
      <c r="C17" s="127" t="s">
        <v>195</v>
      </c>
      <c r="D17" s="127"/>
      <c r="E17" s="127"/>
      <c r="F17" s="127"/>
      <c r="G17" s="127"/>
      <c r="H17" s="127"/>
      <c r="I17" s="57"/>
      <c r="J17" s="57"/>
      <c r="K17" s="57"/>
      <c r="L17" s="57"/>
      <c r="M17" s="57"/>
      <c r="N17" s="57"/>
      <c r="O17" s="57"/>
      <c r="P17" s="57"/>
      <c r="Q17" s="57"/>
      <c r="R17" s="57" t="str">
        <f ca="1">'Model Interface'!P5</f>
        <v>Date</v>
      </c>
      <c r="S17" s="57"/>
      <c r="T17" s="57" t="s">
        <v>167</v>
      </c>
      <c r="U17" s="57" t="s">
        <v>166</v>
      </c>
      <c r="V17" s="57" t="s">
        <v>13</v>
      </c>
      <c r="W17" s="57" t="s">
        <v>215</v>
      </c>
      <c r="X17" s="57" t="s">
        <v>216</v>
      </c>
      <c r="Y17" s="57" t="s">
        <v>198</v>
      </c>
      <c r="Z17" s="57" t="s">
        <v>219</v>
      </c>
      <c r="AA17" s="57" t="s">
        <v>14</v>
      </c>
      <c r="AB17" s="57"/>
      <c r="AC17" s="57" t="s">
        <v>167</v>
      </c>
      <c r="AD17" s="57" t="s">
        <v>166</v>
      </c>
      <c r="AE17" s="57" t="s">
        <v>13</v>
      </c>
    </row>
    <row r="18" spans="1:31" s="57" customFormat="1" ht="5.25" customHeight="1" x14ac:dyDescent="0.3">
      <c r="F18" s="61"/>
      <c r="G18" s="61"/>
      <c r="H18" s="61"/>
      <c r="R18" s="85">
        <f t="array" aca="1" ref="R18:R662" ca="1">_xlfn._xlws.FILTER('Model Interface'!AD6:AD495,('Model Interface'!AD6:AD495&gt;=StartGraphDate)*('Model Interface'!AD6:AD495&lt;=CurrentHarvestDate),"")</f>
        <v>45139</v>
      </c>
      <c r="S18" s="57">
        <f ca="1">IF(R18&gt;1,R18,"")</f>
        <v>45139</v>
      </c>
      <c r="T18" s="57">
        <f t="shared" ref="T18:T81" ca="1" si="0">VLOOKUP(S18,ModelOutputs,2,FALSE)</f>
        <v>10</v>
      </c>
      <c r="U18" s="57">
        <f t="shared" ref="U18:U81" ca="1" si="1">VLOOKUP(S18,ModelOutputs,7,FALSE)</f>
        <v>2.91631595309953</v>
      </c>
      <c r="V18" s="57">
        <f t="shared" ref="V18:V81" ca="1" si="2">VLOOKUP(S18,ModelOutputs,6,FALSE)</f>
        <v>0</v>
      </c>
      <c r="W18">
        <f t="shared" ref="W18:W81" ca="1" si="3">VLOOKUP(S18,ModelOutputs,10,FALSE)*AWC</f>
        <v>120</v>
      </c>
      <c r="X18">
        <f ca="1">VLOOKUP(S18,ModelOutputs,11,FALSE)</f>
        <v>4.3221233068618403</v>
      </c>
      <c r="Y18">
        <f t="shared" ref="Y18:Y81" ca="1" si="4">VLOOKUP(S18,ModelOutputs,12,FALSE)</f>
        <v>0</v>
      </c>
      <c r="Z18">
        <f t="shared" ref="Z18:Z81" ca="1" si="5">VLOOKUP(S18,ModelOutputs,13,FALSE)</f>
        <v>5.6933569233555501E-3</v>
      </c>
      <c r="AA18" s="85">
        <f t="array" aca="1" ref="AA18:AA662" ca="1">_xlfn._xlws.FILTER('Model Interface'!AD6:AD999,('Model Interface'!AD6:AD999&gt;=CurrentHarvestDate+1)*('Model Interface'!AD6:AD999&lt;=FollowingHarvestDate),"")</f>
        <v>45338</v>
      </c>
      <c r="AB18" s="57">
        <f ca="1">IF(AA18&gt;1,AA18,"")</f>
        <v>45338</v>
      </c>
      <c r="AC18" s="57">
        <f t="shared" ref="AC18:AC20" ca="1" si="6">VLOOKUP(AB18,ModelOutputs,2,FALSE)</f>
        <v>36.240858593061532</v>
      </c>
      <c r="AD18" s="57">
        <f t="shared" ref="AD18:AD20" ca="1" si="7">VLOOKUP(AB18,ModelOutputs,7,FALSE)</f>
        <v>0</v>
      </c>
      <c r="AE18" s="57">
        <f t="shared" ref="AE18:AE20" ca="1" si="8">VLOOKUP(AB18,ModelOutputs,6,FALSE)</f>
        <v>0</v>
      </c>
    </row>
    <row r="19" spans="1:31" s="57" customFormat="1" x14ac:dyDescent="0.3">
      <c r="C19" s="59" t="s">
        <v>237</v>
      </c>
      <c r="D19" s="87">
        <f>IF(E19="",60,E19)</f>
        <v>10</v>
      </c>
      <c r="E19" s="18">
        <v>10</v>
      </c>
      <c r="F19" s="102" t="str">
        <f ca="1">ROUND('Model Interface'!T2,0)&amp;" kg N/ha available from SOM mineralisation"</f>
        <v>29 kg N/ha available from SOM mineralisation</v>
      </c>
      <c r="R19" s="85">
        <f ca="1"/>
        <v>45140</v>
      </c>
      <c r="S19" s="57">
        <f t="shared" ref="S19:S82" ca="1" si="9">IF(R19&gt;1,R19,"")</f>
        <v>45140</v>
      </c>
      <c r="T19" s="57">
        <f t="shared" ca="1" si="0"/>
        <v>10.263589135023643</v>
      </c>
      <c r="U19" s="57">
        <f t="shared" ca="1" si="1"/>
        <v>3.0146442202364399</v>
      </c>
      <c r="V19" s="57">
        <f t="shared" ca="1" si="2"/>
        <v>0</v>
      </c>
      <c r="W19">
        <f t="shared" ca="1" si="3"/>
        <v>120</v>
      </c>
      <c r="X19">
        <f t="shared" ref="X19:X82" ca="1" si="10">VLOOKUP(S19,ModelOutputs,11,FALSE)+X18</f>
        <v>7.6555257167483859</v>
      </c>
      <c r="Y19">
        <f t="shared" ca="1" si="4"/>
        <v>0</v>
      </c>
      <c r="Z19">
        <f t="shared" ca="1" si="5"/>
        <v>6.0630190792949103E-3</v>
      </c>
      <c r="AA19" s="85">
        <f ca="1"/>
        <v>45339</v>
      </c>
      <c r="AB19" s="57">
        <f t="shared" ref="AB19:AB20" ca="1" si="11">IF(AA19&gt;1,AA19,"")</f>
        <v>45339</v>
      </c>
      <c r="AC19" s="57">
        <f t="shared" ca="1" si="6"/>
        <v>41.228468858879921</v>
      </c>
      <c r="AD19" s="57">
        <f t="shared" ca="1" si="7"/>
        <v>0</v>
      </c>
      <c r="AE19" s="57">
        <f t="shared" ca="1" si="8"/>
        <v>0</v>
      </c>
    </row>
    <row r="20" spans="1:31" s="57" customFormat="1" x14ac:dyDescent="0.3">
      <c r="C20" s="59" t="s">
        <v>227</v>
      </c>
      <c r="D20" s="87" t="str">
        <f>IF(E20="","PMN",E20)</f>
        <v>PMN</v>
      </c>
      <c r="E20" s="18"/>
      <c r="F20" s="102"/>
      <c r="R20" s="85">
        <f ca="1"/>
        <v>45141</v>
      </c>
      <c r="S20" s="57">
        <f t="shared" ca="1" si="9"/>
        <v>45141</v>
      </c>
      <c r="T20" s="57">
        <f t="shared" ca="1" si="0"/>
        <v>10.483012377639312</v>
      </c>
      <c r="U20" s="57">
        <f t="shared" ca="1" si="1"/>
        <v>3.11143756173783</v>
      </c>
      <c r="V20" s="57">
        <f t="shared" ca="1" si="2"/>
        <v>0</v>
      </c>
      <c r="W20">
        <f t="shared" ca="1" si="3"/>
        <v>120</v>
      </c>
      <c r="X20">
        <f t="shared" ca="1" si="10"/>
        <v>8.3470264190817005</v>
      </c>
      <c r="Y20">
        <f t="shared" ca="1" si="4"/>
        <v>0</v>
      </c>
      <c r="Z20">
        <f t="shared" ca="1" si="5"/>
        <v>6.4376958397586196E-3</v>
      </c>
      <c r="AA20" s="85">
        <f ca="1"/>
        <v>45340</v>
      </c>
      <c r="AB20" s="57">
        <f t="shared" ca="1" si="11"/>
        <v>45340</v>
      </c>
      <c r="AC20" s="57">
        <f t="shared" ca="1" si="6"/>
        <v>45.817766407011717</v>
      </c>
      <c r="AD20" s="57">
        <f t="shared" ca="1" si="7"/>
        <v>0</v>
      </c>
      <c r="AE20" s="57">
        <f t="shared" ca="1" si="8"/>
        <v>0</v>
      </c>
    </row>
    <row r="21" spans="1:31" s="57" customFormat="1" ht="15.75" customHeight="1" x14ac:dyDescent="0.3">
      <c r="B21" s="57">
        <f>VLOOKUP(SampleDepth,depths,2,FALSE)</f>
        <v>3</v>
      </c>
      <c r="C21" s="59" t="s">
        <v>225</v>
      </c>
      <c r="D21" s="87" t="str">
        <f>IF(E21="","0-30cm",E21)</f>
        <v>0-30cm</v>
      </c>
      <c r="E21" s="18"/>
      <c r="F21" s="102"/>
      <c r="R21" s="85">
        <f ca="1"/>
        <v>45142</v>
      </c>
      <c r="S21" s="57">
        <f t="shared" ca="1" si="9"/>
        <v>45142</v>
      </c>
      <c r="T21" s="57">
        <f t="shared" ca="1" si="0"/>
        <v>10.676830676309059</v>
      </c>
      <c r="U21" s="57">
        <f t="shared" ca="1" si="1"/>
        <v>3.2120683722339098</v>
      </c>
      <c r="V21" s="57">
        <f t="shared" ca="1" si="2"/>
        <v>0</v>
      </c>
      <c r="W21">
        <f t="shared" ca="1" si="3"/>
        <v>120</v>
      </c>
      <c r="X21">
        <f t="shared" ca="1" si="10"/>
        <v>13.300210470537735</v>
      </c>
      <c r="Y21">
        <f t="shared" ca="1" si="4"/>
        <v>0</v>
      </c>
      <c r="Z21">
        <f t="shared" ca="1" si="5"/>
        <v>6.8385368709400996E-3</v>
      </c>
      <c r="AA21" s="85">
        <f ca="1"/>
        <v>45341</v>
      </c>
      <c r="AB21" s="57">
        <f t="shared" ref="AB21:AB84" ca="1" si="12">IF(AA21&gt;1,AA21,"")</f>
        <v>45341</v>
      </c>
      <c r="AC21" s="57">
        <f t="shared" ref="AC21:AC84" ca="1" si="13">VLOOKUP(AB21,ModelOutputs,2,FALSE)</f>
        <v>50.099903589848765</v>
      </c>
      <c r="AD21" s="57">
        <f t="shared" ref="AD21:AD84" ca="1" si="14">VLOOKUP(AB21,ModelOutputs,7,FALSE)</f>
        <v>0</v>
      </c>
      <c r="AE21" s="57">
        <f t="shared" ref="AE21:AE84" ca="1" si="15">VLOOKUP(AB21,ModelOutputs,6,FALSE)</f>
        <v>0</v>
      </c>
    </row>
    <row r="22" spans="1:31" s="57" customFormat="1" ht="15" customHeight="1" x14ac:dyDescent="0.3">
      <c r="C22" s="59" t="s">
        <v>226</v>
      </c>
      <c r="D22" s="87" t="str">
        <f>IF(E22="","Brown",E22)</f>
        <v>Brown</v>
      </c>
      <c r="E22" s="18"/>
      <c r="F22" s="102"/>
      <c r="R22" s="85">
        <f ca="1"/>
        <v>45143</v>
      </c>
      <c r="S22" s="57">
        <f t="shared" ca="1" si="9"/>
        <v>45143</v>
      </c>
      <c r="T22" s="57">
        <f t="shared" ca="1" si="0"/>
        <v>10.839295652219455</v>
      </c>
      <c r="U22" s="57">
        <f t="shared" ca="1" si="1"/>
        <v>3.3116152867742201</v>
      </c>
      <c r="V22" s="57">
        <f t="shared" ca="1" si="2"/>
        <v>0</v>
      </c>
      <c r="W22">
        <f t="shared" ca="1" si="3"/>
        <v>120</v>
      </c>
      <c r="X22">
        <f t="shared" ca="1" si="10"/>
        <v>14.940315347843693</v>
      </c>
      <c r="Y22">
        <f t="shared" ca="1" si="4"/>
        <v>0</v>
      </c>
      <c r="Z22">
        <f t="shared" ca="1" si="5"/>
        <v>7.2463696301328798E-3</v>
      </c>
      <c r="AA22" s="85">
        <f ca="1"/>
        <v>45342</v>
      </c>
      <c r="AB22" s="57">
        <f t="shared" ca="1" si="12"/>
        <v>45342</v>
      </c>
      <c r="AC22" s="57">
        <f t="shared" ca="1" si="13"/>
        <v>53.876504484348089</v>
      </c>
      <c r="AD22" s="57">
        <f t="shared" ca="1" si="14"/>
        <v>0</v>
      </c>
      <c r="AE22" s="57">
        <f t="shared" ca="1" si="15"/>
        <v>0</v>
      </c>
    </row>
    <row r="23" spans="1:31" s="57" customFormat="1" x14ac:dyDescent="0.3">
      <c r="C23" s="59" t="s">
        <v>223</v>
      </c>
      <c r="D23" s="87">
        <f>IF(E23="",VLOOKUP(SoilOrder,SoilOrders,B21,FALSE),E23)</f>
        <v>1.22</v>
      </c>
      <c r="E23" s="125"/>
      <c r="F23" s="102"/>
      <c r="R23" s="85">
        <f ca="1"/>
        <v>45144</v>
      </c>
      <c r="S23" s="57">
        <f t="shared" ca="1" si="9"/>
        <v>45144</v>
      </c>
      <c r="T23" s="57">
        <f t="shared" ca="1" si="0"/>
        <v>10.98291966630476</v>
      </c>
      <c r="U23" s="57">
        <f t="shared" ca="1" si="1"/>
        <v>3.4153332097149001</v>
      </c>
      <c r="V23" s="57">
        <f t="shared" ca="1" si="2"/>
        <v>0</v>
      </c>
      <c r="W23">
        <f t="shared" ca="1" si="3"/>
        <v>120</v>
      </c>
      <c r="X23">
        <f t="shared" ca="1" si="10"/>
        <v>18.397664824525577</v>
      </c>
      <c r="Y23">
        <f t="shared" ca="1" si="4"/>
        <v>0</v>
      </c>
      <c r="Z23">
        <f t="shared" ca="1" si="5"/>
        <v>7.68321808210047E-3</v>
      </c>
      <c r="AA23" s="85">
        <f ca="1"/>
        <v>45343</v>
      </c>
      <c r="AB23" s="57">
        <f t="shared" ca="1" si="12"/>
        <v>45343</v>
      </c>
      <c r="AC23" s="57">
        <f t="shared" ca="1" si="13"/>
        <v>57.126493289940782</v>
      </c>
      <c r="AD23" s="57">
        <f t="shared" ca="1" si="14"/>
        <v>0</v>
      </c>
      <c r="AE23" s="57">
        <f t="shared" ca="1" si="15"/>
        <v>0</v>
      </c>
    </row>
    <row r="24" spans="1:31" s="57" customFormat="1" x14ac:dyDescent="0.3">
      <c r="D24" s="124"/>
      <c r="F24" s="102"/>
      <c r="R24" s="85">
        <f ca="1"/>
        <v>45145</v>
      </c>
      <c r="S24" s="57">
        <f t="shared" ca="1" si="9"/>
        <v>45145</v>
      </c>
      <c r="T24" s="57">
        <f t="shared" ca="1" si="0"/>
        <v>11.109038955065991</v>
      </c>
      <c r="U24" s="57">
        <f t="shared" ca="1" si="1"/>
        <v>3.52341515483206</v>
      </c>
      <c r="V24" s="57">
        <f t="shared" ca="1" si="2"/>
        <v>0</v>
      </c>
      <c r="W24">
        <f t="shared" ca="1" si="3"/>
        <v>120</v>
      </c>
      <c r="X24">
        <f t="shared" ca="1" si="10"/>
        <v>19.49471635972732</v>
      </c>
      <c r="Y24">
        <f t="shared" ca="1" si="4"/>
        <v>0</v>
      </c>
      <c r="Z24">
        <f t="shared" ca="1" si="5"/>
        <v>8.1513576783887008E-3</v>
      </c>
      <c r="AA24" s="85">
        <f ca="1"/>
        <v>45344</v>
      </c>
      <c r="AB24" s="57">
        <f t="shared" ca="1" si="12"/>
        <v>45344</v>
      </c>
      <c r="AC24" s="57">
        <f t="shared" ca="1" si="13"/>
        <v>60.198761137459854</v>
      </c>
      <c r="AD24" s="57">
        <f t="shared" ca="1" si="14"/>
        <v>0</v>
      </c>
      <c r="AE24" s="57">
        <f t="shared" ca="1" si="15"/>
        <v>0</v>
      </c>
    </row>
    <row r="25" spans="1:31" s="57" customFormat="1" x14ac:dyDescent="0.3">
      <c r="C25" s="63" t="str">
        <f>IF(COUNT(C29:C34)&gt;0,"Side dressings remaining","Side dressings")</f>
        <v>Side dressings</v>
      </c>
      <c r="D25" s="87">
        <f>IF(E25="",1,E25)</f>
        <v>3</v>
      </c>
      <c r="E25" s="106">
        <v>3</v>
      </c>
      <c r="R25" s="85">
        <f ca="1"/>
        <v>45146</v>
      </c>
      <c r="S25" s="57">
        <f t="shared" ca="1" si="9"/>
        <v>45146</v>
      </c>
      <c r="T25" s="57">
        <f t="shared" ca="1" si="0"/>
        <v>11.212294084588137</v>
      </c>
      <c r="U25" s="57">
        <f t="shared" ca="1" si="1"/>
        <v>3.6288948389806301</v>
      </c>
      <c r="V25" s="57">
        <f t="shared" ca="1" si="2"/>
        <v>0</v>
      </c>
      <c r="W25">
        <f t="shared" ca="1" si="3"/>
        <v>120</v>
      </c>
      <c r="X25">
        <f t="shared" ca="1" si="10"/>
        <v>22.003481187764649</v>
      </c>
      <c r="Y25">
        <f t="shared" ca="1" si="4"/>
        <v>0</v>
      </c>
      <c r="Z25">
        <f t="shared" ca="1" si="5"/>
        <v>8.6208896757455893E-3</v>
      </c>
      <c r="AA25" s="85">
        <f ca="1"/>
        <v>45345</v>
      </c>
      <c r="AB25" s="57">
        <f t="shared" ca="1" si="12"/>
        <v>45345</v>
      </c>
      <c r="AC25" s="57">
        <f t="shared" ca="1" si="13"/>
        <v>62.672114071232429</v>
      </c>
      <c r="AD25" s="57">
        <f t="shared" ca="1" si="14"/>
        <v>0</v>
      </c>
      <c r="AE25" s="57">
        <f t="shared" ca="1" si="15"/>
        <v>0</v>
      </c>
    </row>
    <row r="26" spans="1:31" s="57" customFormat="1" ht="15" thickBot="1" x14ac:dyDescent="0.35">
      <c r="C26" s="58"/>
      <c r="D26" s="58"/>
      <c r="E26" s="58"/>
      <c r="F26" s="58"/>
      <c r="R26" s="85">
        <f ca="1"/>
        <v>45147</v>
      </c>
      <c r="S26" s="57">
        <f t="shared" ca="1" si="9"/>
        <v>45147</v>
      </c>
      <c r="T26" s="57">
        <f t="shared" ca="1" si="0"/>
        <v>11.292755813483559</v>
      </c>
      <c r="U26" s="57">
        <f t="shared" ca="1" si="1"/>
        <v>3.7254477598006899</v>
      </c>
      <c r="V26" s="57">
        <f t="shared" ca="1" si="2"/>
        <v>0</v>
      </c>
      <c r="W26">
        <f t="shared" ca="1" si="3"/>
        <v>120</v>
      </c>
      <c r="X26">
        <f t="shared" ca="1" si="10"/>
        <v>24.079455761121622</v>
      </c>
      <c r="Y26">
        <f t="shared" ca="1" si="4"/>
        <v>0</v>
      </c>
      <c r="Z26">
        <f t="shared" ca="1" si="5"/>
        <v>9.0616171155840104E-3</v>
      </c>
      <c r="AA26" s="85">
        <f ca="1"/>
        <v>45346</v>
      </c>
      <c r="AB26" s="57">
        <f t="shared" ca="1" si="12"/>
        <v>45346</v>
      </c>
      <c r="AC26" s="57">
        <f t="shared" ca="1" si="13"/>
        <v>64.755185961594719</v>
      </c>
      <c r="AD26" s="57">
        <f t="shared" ca="1" si="14"/>
        <v>0</v>
      </c>
      <c r="AE26" s="57">
        <f t="shared" ca="1" si="15"/>
        <v>0</v>
      </c>
    </row>
    <row r="27" spans="1:31" s="57" customFormat="1" ht="15" thickBot="1" x14ac:dyDescent="0.35">
      <c r="C27" s="130" t="s">
        <v>145</v>
      </c>
      <c r="D27" s="131"/>
      <c r="E27" s="62"/>
      <c r="F27" s="132" t="s">
        <v>152</v>
      </c>
      <c r="G27" s="133"/>
      <c r="R27" s="85">
        <f ca="1"/>
        <v>45148</v>
      </c>
      <c r="S27" s="57">
        <f t="shared" ca="1" si="9"/>
        <v>45148</v>
      </c>
      <c r="T27" s="57">
        <f t="shared" ca="1" si="0"/>
        <v>11.359041555815821</v>
      </c>
      <c r="U27" s="57">
        <f t="shared" ca="1" si="1"/>
        <v>3.81751890277812</v>
      </c>
      <c r="V27" s="57">
        <f t="shared" ca="1" si="2"/>
        <v>0</v>
      </c>
      <c r="W27">
        <f t="shared" ca="1" si="3"/>
        <v>120</v>
      </c>
      <c r="X27">
        <f t="shared" ca="1" si="10"/>
        <v>24.174561675031867</v>
      </c>
      <c r="Y27">
        <f t="shared" ca="1" si="4"/>
        <v>0</v>
      </c>
      <c r="Z27">
        <f t="shared" ca="1" si="5"/>
        <v>9.4915909806232504E-3</v>
      </c>
      <c r="AA27" s="85">
        <f ca="1"/>
        <v>45347</v>
      </c>
      <c r="AB27" s="57">
        <f t="shared" ca="1" si="12"/>
        <v>45347</v>
      </c>
      <c r="AC27" s="57">
        <f t="shared" ca="1" si="13"/>
        <v>66.648389453668528</v>
      </c>
      <c r="AD27" s="57">
        <f t="shared" ca="1" si="14"/>
        <v>0</v>
      </c>
      <c r="AE27" s="57">
        <f t="shared" ca="1" si="15"/>
        <v>0</v>
      </c>
    </row>
    <row r="28" spans="1:31" s="57" customFormat="1" ht="15" thickBot="1" x14ac:dyDescent="0.35">
      <c r="C28" s="116" t="s">
        <v>14</v>
      </c>
      <c r="D28" s="117" t="s">
        <v>116</v>
      </c>
      <c r="F28" s="10" t="s">
        <v>14</v>
      </c>
      <c r="G28" s="64" t="s">
        <v>116</v>
      </c>
      <c r="R28" s="85">
        <f ca="1"/>
        <v>45149</v>
      </c>
      <c r="S28" s="57">
        <f t="shared" ca="1" si="9"/>
        <v>45149</v>
      </c>
      <c r="T28" s="57">
        <f t="shared" ca="1" si="0"/>
        <v>11.422314904410335</v>
      </c>
      <c r="U28" s="57">
        <f t="shared" ca="1" si="1"/>
        <v>3.9233832601816401</v>
      </c>
      <c r="V28" s="57">
        <f t="shared" ca="1" si="2"/>
        <v>0</v>
      </c>
      <c r="W28">
        <f t="shared" ca="1" si="3"/>
        <v>120</v>
      </c>
      <c r="X28">
        <f t="shared" ca="1" si="10"/>
        <v>27.604480375467631</v>
      </c>
      <c r="Y28">
        <f t="shared" ca="1" si="4"/>
        <v>0</v>
      </c>
      <c r="Z28">
        <f t="shared" ca="1" si="5"/>
        <v>9.9976535024700504E-3</v>
      </c>
      <c r="AA28" s="85">
        <f ca="1"/>
        <v>45348</v>
      </c>
      <c r="AB28" s="57">
        <f t="shared" ca="1" si="12"/>
        <v>45348</v>
      </c>
      <c r="AC28" s="57">
        <f t="shared" ca="1" si="13"/>
        <v>68.261008493819659</v>
      </c>
      <c r="AD28" s="57">
        <f t="shared" ca="1" si="14"/>
        <v>0</v>
      </c>
      <c r="AE28" s="57">
        <f t="shared" ca="1" si="15"/>
        <v>0</v>
      </c>
    </row>
    <row r="29" spans="1:31" s="57" customFormat="1" x14ac:dyDescent="0.3">
      <c r="A29" s="85">
        <f t="array" aca="1" ref="A29:A43" ca="1">_xlfn._xlws.FILTER('Model Interface'!AD6:AD495,'Model Interface'!AE6:AE495&gt;0,"")</f>
        <v>45225</v>
      </c>
      <c r="B29" s="57">
        <f t="shared" ref="B29:B43" ca="1" si="16">IF(AND(NOT(F29=""),F29&gt;=StartSchedullingDate),1,0)</f>
        <v>1</v>
      </c>
      <c r="C29" s="80"/>
      <c r="D29" s="82"/>
      <c r="F29" s="76">
        <f ca="1">A29</f>
        <v>45225</v>
      </c>
      <c r="G29" s="78">
        <f ca="1">IFERROR(VLOOKUP(F29,'Model Interface'!$P$6:$U$495,6,FALSE),"")</f>
        <v>40</v>
      </c>
      <c r="H29" s="57" t="str">
        <f ca="1">IF(B29=1,"Suggested","Applied or Planned")</f>
        <v>Suggested</v>
      </c>
      <c r="R29" s="85">
        <f ca="1"/>
        <v>45150</v>
      </c>
      <c r="S29" s="57">
        <f t="shared" ca="1" si="9"/>
        <v>45150</v>
      </c>
      <c r="T29" s="57">
        <f t="shared" ca="1" si="0"/>
        <v>11.477814119042833</v>
      </c>
      <c r="U29" s="57">
        <f t="shared" ca="1" si="1"/>
        <v>4.0372787074109304</v>
      </c>
      <c r="V29" s="57">
        <f t="shared" ca="1" si="2"/>
        <v>0</v>
      </c>
      <c r="W29">
        <f t="shared" ca="1" si="3"/>
        <v>120</v>
      </c>
      <c r="X29">
        <f t="shared" ca="1" si="10"/>
        <v>31.354468881138288</v>
      </c>
      <c r="Y29">
        <f t="shared" ca="1" si="4"/>
        <v>0</v>
      </c>
      <c r="Z29">
        <f t="shared" ca="1" si="5"/>
        <v>1.05560079806046E-2</v>
      </c>
      <c r="AA29" s="85">
        <f ca="1"/>
        <v>45349</v>
      </c>
      <c r="AB29" s="57">
        <f t="shared" ca="1" si="12"/>
        <v>45349</v>
      </c>
      <c r="AC29" s="57">
        <f t="shared" ca="1" si="13"/>
        <v>69.666362060756953</v>
      </c>
      <c r="AD29" s="57">
        <f t="shared" ca="1" si="14"/>
        <v>0</v>
      </c>
      <c r="AE29" s="57">
        <f t="shared" ca="1" si="15"/>
        <v>0</v>
      </c>
    </row>
    <row r="30" spans="1:31" s="57" customFormat="1" x14ac:dyDescent="0.3">
      <c r="A30" s="85">
        <f ca="1"/>
        <v>45248</v>
      </c>
      <c r="B30" s="57">
        <f t="shared" ca="1" si="16"/>
        <v>1</v>
      </c>
      <c r="C30" s="80"/>
      <c r="D30" s="83"/>
      <c r="F30" s="76">
        <f t="shared" ref="F30:F43" ca="1" si="17">IFERROR(IF(A30=A29,"",A30),"")</f>
        <v>45248</v>
      </c>
      <c r="G30" s="78">
        <f ca="1">IFERROR(VLOOKUP(F30,'Model Interface'!$P$6:$U$495,6,FALSE),"")</f>
        <v>40</v>
      </c>
      <c r="H30" s="57" t="str">
        <f t="shared" ref="H30:H43" ca="1" si="18">IF(F30="","",IF(F30&lt;=StartSchedullingDate,"Applied or Planned","Suggested"))</f>
        <v>Suggested</v>
      </c>
      <c r="R30" s="85">
        <f ca="1"/>
        <v>45151</v>
      </c>
      <c r="S30" s="57">
        <f t="shared" ca="1" si="9"/>
        <v>45151</v>
      </c>
      <c r="T30" s="57">
        <f t="shared" ca="1" si="0"/>
        <v>11.524473081754465</v>
      </c>
      <c r="U30" s="57">
        <f t="shared" ca="1" si="1"/>
        <v>4.1581554161183396</v>
      </c>
      <c r="V30" s="57">
        <f t="shared" ca="1" si="2"/>
        <v>0</v>
      </c>
      <c r="W30">
        <f t="shared" ca="1" si="3"/>
        <v>120</v>
      </c>
      <c r="X30">
        <f t="shared" ca="1" si="10"/>
        <v>33.266959867363553</v>
      </c>
      <c r="Y30">
        <f t="shared" ca="1" si="4"/>
        <v>0</v>
      </c>
      <c r="Z30">
        <f t="shared" ca="1" si="5"/>
        <v>1.1164293985691401E-2</v>
      </c>
      <c r="AA30" s="85">
        <f ca="1"/>
        <v>45350</v>
      </c>
      <c r="AB30" s="57">
        <f t="shared" ca="1" si="12"/>
        <v>45350</v>
      </c>
      <c r="AC30" s="57">
        <f t="shared" ca="1" si="13"/>
        <v>70.957435400808905</v>
      </c>
      <c r="AD30" s="57">
        <f t="shared" ca="1" si="14"/>
        <v>0</v>
      </c>
      <c r="AE30" s="57">
        <f t="shared" ca="1" si="15"/>
        <v>0</v>
      </c>
    </row>
    <row r="31" spans="1:31" s="57" customFormat="1" x14ac:dyDescent="0.3">
      <c r="A31" s="85">
        <f ca="1"/>
        <v>45268</v>
      </c>
      <c r="B31" s="57">
        <f t="shared" ca="1" si="16"/>
        <v>1</v>
      </c>
      <c r="C31" s="80"/>
      <c r="D31" s="83"/>
      <c r="F31" s="76">
        <f t="shared" ca="1" si="17"/>
        <v>45268</v>
      </c>
      <c r="G31" s="78">
        <f ca="1">IFERROR(VLOOKUP(F31,'Model Interface'!$P$6:$U$495,6,FALSE),"")</f>
        <v>40</v>
      </c>
      <c r="H31" s="57" t="str">
        <f t="shared" ca="1" si="18"/>
        <v>Suggested</v>
      </c>
      <c r="R31" s="85">
        <f ca="1"/>
        <v>45152</v>
      </c>
      <c r="S31" s="57">
        <f t="shared" ca="1" si="9"/>
        <v>45152</v>
      </c>
      <c r="T31" s="57">
        <f t="shared" ca="1" si="0"/>
        <v>11.562074972326016</v>
      </c>
      <c r="U31" s="57">
        <f t="shared" ca="1" si="1"/>
        <v>4.28631652958794</v>
      </c>
      <c r="V31" s="57">
        <f t="shared" ca="1" si="2"/>
        <v>0</v>
      </c>
      <c r="W31">
        <f t="shared" ca="1" si="3"/>
        <v>120</v>
      </c>
      <c r="X31">
        <f t="shared" ca="1" si="10"/>
        <v>38.831230393222356</v>
      </c>
      <c r="Y31">
        <f t="shared" ca="1" si="4"/>
        <v>0</v>
      </c>
      <c r="Z31">
        <f t="shared" ca="1" si="5"/>
        <v>1.1826838028297501E-2</v>
      </c>
      <c r="AA31" s="85">
        <f ca="1"/>
        <v>45351</v>
      </c>
      <c r="AB31" s="57">
        <f t="shared" ca="1" si="12"/>
        <v>45351</v>
      </c>
      <c r="AC31" s="57">
        <f t="shared" ca="1" si="13"/>
        <v>72.105374755591981</v>
      </c>
      <c r="AD31" s="57">
        <f t="shared" ca="1" si="14"/>
        <v>0</v>
      </c>
      <c r="AE31" s="57">
        <f t="shared" ca="1" si="15"/>
        <v>0</v>
      </c>
    </row>
    <row r="32" spans="1:31" s="57" customFormat="1" x14ac:dyDescent="0.3">
      <c r="A32" s="85" t="e">
        <f ca="1"/>
        <v>#N/A</v>
      </c>
      <c r="B32" s="57">
        <f t="shared" ca="1" si="16"/>
        <v>0</v>
      </c>
      <c r="C32" s="80"/>
      <c r="D32" s="83"/>
      <c r="F32" s="76" t="str">
        <f t="shared" ca="1" si="17"/>
        <v/>
      </c>
      <c r="G32" s="78" t="str">
        <f ca="1">IFERROR(VLOOKUP(F32,'Model Interface'!$P$6:$U$495,6,FALSE),"")</f>
        <v/>
      </c>
      <c r="H32" s="57" t="str">
        <f t="shared" ca="1" si="18"/>
        <v/>
      </c>
      <c r="R32" s="85">
        <f ca="1"/>
        <v>45153</v>
      </c>
      <c r="S32" s="57">
        <f t="shared" ca="1" si="9"/>
        <v>45153</v>
      </c>
      <c r="T32" s="57">
        <f t="shared" ca="1" si="0"/>
        <v>11.589047351377957</v>
      </c>
      <c r="U32" s="57">
        <f t="shared" ca="1" si="1"/>
        <v>4.4136359779072301</v>
      </c>
      <c r="V32" s="57">
        <f t="shared" ca="1" si="2"/>
        <v>0</v>
      </c>
      <c r="W32">
        <f t="shared" ca="1" si="3"/>
        <v>120</v>
      </c>
      <c r="X32">
        <f t="shared" ca="1" si="10"/>
        <v>40.873525176670526</v>
      </c>
      <c r="Y32">
        <f t="shared" ca="1" si="4"/>
        <v>0</v>
      </c>
      <c r="Z32">
        <f t="shared" ca="1" si="5"/>
        <v>1.25029000965565E-2</v>
      </c>
      <c r="AA32" s="85">
        <f ca="1"/>
        <v>45352</v>
      </c>
      <c r="AB32" s="57">
        <f t="shared" ca="1" si="12"/>
        <v>45352</v>
      </c>
      <c r="AC32" s="57">
        <f t="shared" ca="1" si="13"/>
        <v>73.149430094001701</v>
      </c>
      <c r="AD32" s="57">
        <f t="shared" ca="1" si="14"/>
        <v>3.6070769382340999</v>
      </c>
      <c r="AE32" s="57">
        <f t="shared" ca="1" si="15"/>
        <v>0</v>
      </c>
    </row>
    <row r="33" spans="1:31" s="57" customFormat="1" x14ac:dyDescent="0.3">
      <c r="A33" s="85" t="e">
        <f ca="1"/>
        <v>#N/A</v>
      </c>
      <c r="B33" s="57">
        <f t="shared" ca="1" si="16"/>
        <v>0</v>
      </c>
      <c r="C33" s="80"/>
      <c r="D33" s="83"/>
      <c r="F33" s="76" t="str">
        <f t="shared" ca="1" si="17"/>
        <v/>
      </c>
      <c r="G33" s="78" t="str">
        <f ca="1">IFERROR(VLOOKUP(F33,'Model Interface'!$P$6:$U$495,6,FALSE),"")</f>
        <v/>
      </c>
      <c r="H33" s="57" t="str">
        <f t="shared" ca="1" si="18"/>
        <v/>
      </c>
      <c r="R33" s="85">
        <f ca="1"/>
        <v>45154</v>
      </c>
      <c r="S33" s="57">
        <f t="shared" ca="1" si="9"/>
        <v>45154</v>
      </c>
      <c r="T33" s="57">
        <f t="shared" ca="1" si="0"/>
        <v>11.607689726047596</v>
      </c>
      <c r="U33" s="57">
        <f t="shared" ca="1" si="1"/>
        <v>4.5483215185409902</v>
      </c>
      <c r="V33" s="57">
        <f t="shared" ca="1" si="2"/>
        <v>0</v>
      </c>
      <c r="W33">
        <f t="shared" ca="1" si="3"/>
        <v>120</v>
      </c>
      <c r="X33">
        <f t="shared" ca="1" si="10"/>
        <v>41.171941408295197</v>
      </c>
      <c r="Y33">
        <f t="shared" ca="1" si="4"/>
        <v>0</v>
      </c>
      <c r="Z33">
        <f t="shared" ca="1" si="5"/>
        <v>1.32373841816056E-2</v>
      </c>
      <c r="AA33" s="85">
        <f ca="1"/>
        <v>45353</v>
      </c>
      <c r="AB33" s="57">
        <f t="shared" ca="1" si="12"/>
        <v>45353</v>
      </c>
      <c r="AC33" s="57">
        <f t="shared" ca="1" si="13"/>
        <v>73.876754934955301</v>
      </c>
      <c r="AD33" s="57">
        <f t="shared" ca="1" si="14"/>
        <v>3.8197591594989402</v>
      </c>
      <c r="AE33" s="57">
        <f t="shared" ca="1" si="15"/>
        <v>0</v>
      </c>
    </row>
    <row r="34" spans="1:31" s="57" customFormat="1" ht="15" thickBot="1" x14ac:dyDescent="0.35">
      <c r="A34" s="85" t="e">
        <f ca="1"/>
        <v>#N/A</v>
      </c>
      <c r="B34" s="57">
        <f t="shared" ca="1" si="16"/>
        <v>0</v>
      </c>
      <c r="C34" s="81"/>
      <c r="D34" s="84"/>
      <c r="F34" s="76" t="str">
        <f t="shared" ca="1" si="17"/>
        <v/>
      </c>
      <c r="G34" s="78" t="str">
        <f ca="1">IFERROR(VLOOKUP(F34,'Model Interface'!$P$6:$U$495,6,FALSE),"")</f>
        <v/>
      </c>
      <c r="H34" s="57" t="str">
        <f t="shared" ca="1" si="18"/>
        <v/>
      </c>
      <c r="R34" s="85">
        <f ca="1"/>
        <v>45155</v>
      </c>
      <c r="S34" s="57">
        <f t="shared" ca="1" si="9"/>
        <v>45155</v>
      </c>
      <c r="T34" s="57">
        <f t="shared" ca="1" si="0"/>
        <v>11.617653628984307</v>
      </c>
      <c r="U34" s="57">
        <f t="shared" ca="1" si="1"/>
        <v>4.6857822346538303</v>
      </c>
      <c r="V34" s="57">
        <f t="shared" ca="1" si="2"/>
        <v>0</v>
      </c>
      <c r="W34">
        <f t="shared" ca="1" si="3"/>
        <v>120</v>
      </c>
      <c r="X34">
        <f t="shared" ca="1" si="10"/>
        <v>46.400556830687052</v>
      </c>
      <c r="Y34">
        <f t="shared" ca="1" si="4"/>
        <v>0</v>
      </c>
      <c r="Z34">
        <f t="shared" ca="1" si="5"/>
        <v>1.40073866273982E-2</v>
      </c>
      <c r="AA34" s="85">
        <f ca="1"/>
        <v>45354</v>
      </c>
      <c r="AB34" s="57">
        <f t="shared" ca="1" si="12"/>
        <v>45354</v>
      </c>
      <c r="AC34" s="57">
        <f t="shared" ca="1" si="13"/>
        <v>74.505905207322485</v>
      </c>
      <c r="AD34" s="57">
        <f t="shared" ca="1" si="14"/>
        <v>4.0382155761624601</v>
      </c>
      <c r="AE34" s="57">
        <f t="shared" ca="1" si="15"/>
        <v>0</v>
      </c>
    </row>
    <row r="35" spans="1:31" s="57" customFormat="1" ht="15" thickBot="1" x14ac:dyDescent="0.35">
      <c r="A35" s="85" t="e">
        <f ca="1"/>
        <v>#N/A</v>
      </c>
      <c r="B35" s="57">
        <f t="shared" ca="1" si="16"/>
        <v>0</v>
      </c>
      <c r="F35" s="76" t="str">
        <f t="shared" ca="1" si="17"/>
        <v/>
      </c>
      <c r="G35" s="78" t="str">
        <f ca="1">IFERROR(VLOOKUP(F35,'Model Interface'!$P$6:$U$495,6,FALSE),"")</f>
        <v/>
      </c>
      <c r="H35" s="57" t="str">
        <f t="shared" ca="1" si="18"/>
        <v/>
      </c>
      <c r="R35" s="85">
        <f ca="1"/>
        <v>45156</v>
      </c>
      <c r="S35" s="57">
        <f t="shared" ca="1" si="9"/>
        <v>45156</v>
      </c>
      <c r="T35" s="57">
        <f t="shared" ca="1" si="0"/>
        <v>11.620140169243449</v>
      </c>
      <c r="U35" s="57">
        <f t="shared" ca="1" si="1"/>
        <v>4.8155880061585901</v>
      </c>
      <c r="V35" s="57">
        <f t="shared" ca="1" si="2"/>
        <v>0</v>
      </c>
      <c r="W35">
        <f t="shared" ca="1" si="3"/>
        <v>120</v>
      </c>
      <c r="X35">
        <f t="shared" ca="1" si="10"/>
        <v>48.312576845506626</v>
      </c>
      <c r="Y35">
        <f t="shared" ca="1" si="4"/>
        <v>0</v>
      </c>
      <c r="Z35">
        <f t="shared" ca="1" si="5"/>
        <v>1.47533336659126E-2</v>
      </c>
      <c r="AA35" s="85">
        <f ca="1"/>
        <v>45355</v>
      </c>
      <c r="AB35" s="57">
        <f t="shared" ca="1" si="12"/>
        <v>45355</v>
      </c>
      <c r="AC35" s="57">
        <f t="shared" ca="1" si="13"/>
        <v>75.080036146726741</v>
      </c>
      <c r="AD35" s="57">
        <f t="shared" ca="1" si="14"/>
        <v>4.27354616761159</v>
      </c>
      <c r="AE35" s="57">
        <f t="shared" ca="1" si="15"/>
        <v>0</v>
      </c>
    </row>
    <row r="36" spans="1:31" s="57" customFormat="1" ht="15" thickBot="1" x14ac:dyDescent="0.35">
      <c r="A36" s="85" t="e">
        <f ca="1"/>
        <v>#N/A</v>
      </c>
      <c r="B36" s="57">
        <f t="shared" ca="1" si="16"/>
        <v>0</v>
      </c>
      <c r="C36" s="130" t="s">
        <v>146</v>
      </c>
      <c r="D36" s="131"/>
      <c r="F36" s="76" t="str">
        <f t="shared" ca="1" si="17"/>
        <v/>
      </c>
      <c r="G36" s="78" t="str">
        <f ca="1">IFERROR(VLOOKUP(F36,'Model Interface'!$P$6:$U$495,6,FALSE),"")</f>
        <v/>
      </c>
      <c r="H36" s="57" t="str">
        <f t="shared" ca="1" si="18"/>
        <v/>
      </c>
      <c r="R36" s="85">
        <f ca="1"/>
        <v>45157</v>
      </c>
      <c r="S36" s="57">
        <f t="shared" ca="1" si="9"/>
        <v>45157</v>
      </c>
      <c r="T36" s="57">
        <f t="shared" ca="1" si="0"/>
        <v>11.615119761826364</v>
      </c>
      <c r="U36" s="57">
        <f t="shared" ca="1" si="1"/>
        <v>4.95882033771242</v>
      </c>
      <c r="V36" s="57">
        <f t="shared" ca="1" si="2"/>
        <v>0</v>
      </c>
      <c r="W36">
        <f t="shared" ca="1" si="3"/>
        <v>120</v>
      </c>
      <c r="X36">
        <f t="shared" ca="1" si="10"/>
        <v>48.884983893092013</v>
      </c>
      <c r="Y36">
        <f t="shared" ca="1" si="4"/>
        <v>0</v>
      </c>
      <c r="Z36">
        <f t="shared" ca="1" si="5"/>
        <v>1.55975664158039E-2</v>
      </c>
      <c r="AA36" s="85">
        <f ca="1"/>
        <v>45356</v>
      </c>
      <c r="AB36" s="57">
        <f t="shared" ca="1" si="12"/>
        <v>45356</v>
      </c>
      <c r="AC36" s="57">
        <f t="shared" ca="1" si="13"/>
        <v>75.556678752149182</v>
      </c>
      <c r="AD36" s="57">
        <f t="shared" ca="1" si="14"/>
        <v>4.5149528852491798</v>
      </c>
      <c r="AE36" s="57">
        <f t="shared" ca="1" si="15"/>
        <v>0</v>
      </c>
    </row>
    <row r="37" spans="1:31" s="57" customFormat="1" ht="15" thickBot="1" x14ac:dyDescent="0.35">
      <c r="A37" s="85" t="e">
        <f ca="1"/>
        <v>#N/A</v>
      </c>
      <c r="B37" s="57">
        <f t="shared" ca="1" si="16"/>
        <v>0</v>
      </c>
      <c r="C37" s="116" t="s">
        <v>14</v>
      </c>
      <c r="D37" s="117" t="s">
        <v>19</v>
      </c>
      <c r="F37" s="76" t="str">
        <f t="shared" ca="1" si="17"/>
        <v/>
      </c>
      <c r="G37" s="78" t="str">
        <f ca="1">IFERROR(VLOOKUP(F37,'Model Interface'!$P$6:$U$495,6,FALSE),"")</f>
        <v/>
      </c>
      <c r="H37" s="57" t="str">
        <f t="shared" ca="1" si="18"/>
        <v/>
      </c>
      <c r="R37" s="85">
        <f ca="1"/>
        <v>45158</v>
      </c>
      <c r="S37" s="57">
        <f t="shared" ca="1" si="9"/>
        <v>45158</v>
      </c>
      <c r="T37" s="57">
        <f t="shared" ca="1" si="0"/>
        <v>11.603356278056012</v>
      </c>
      <c r="U37" s="57">
        <f t="shared" ca="1" si="1"/>
        <v>5.1026254249512197</v>
      </c>
      <c r="V37" s="57">
        <f t="shared" ca="1" si="2"/>
        <v>0</v>
      </c>
      <c r="W37">
        <f t="shared" ca="1" si="3"/>
        <v>120</v>
      </c>
      <c r="X37">
        <f t="shared" ca="1" si="10"/>
        <v>51.092706418043534</v>
      </c>
      <c r="Y37">
        <f t="shared" ca="1" si="4"/>
        <v>0</v>
      </c>
      <c r="Z37">
        <f t="shared" ca="1" si="5"/>
        <v>1.6467375350039601E-2</v>
      </c>
      <c r="AA37" s="85">
        <f ca="1"/>
        <v>45357</v>
      </c>
      <c r="AB37" s="57">
        <f t="shared" ca="1" si="12"/>
        <v>45357</v>
      </c>
      <c r="AC37" s="57">
        <f t="shared" ca="1" si="13"/>
        <v>75.984251001161198</v>
      </c>
      <c r="AD37" s="57">
        <f t="shared" ca="1" si="14"/>
        <v>4.7662903865380599</v>
      </c>
      <c r="AE37" s="57">
        <f t="shared" ca="1" si="15"/>
        <v>0</v>
      </c>
    </row>
    <row r="38" spans="1:31" s="57" customFormat="1" x14ac:dyDescent="0.3">
      <c r="A38" s="85" t="e">
        <f ca="1"/>
        <v>#N/A</v>
      </c>
      <c r="B38" s="57">
        <f t="shared" ca="1" si="16"/>
        <v>0</v>
      </c>
      <c r="C38" s="126">
        <v>45139</v>
      </c>
      <c r="D38" s="83">
        <v>10</v>
      </c>
      <c r="F38" s="76" t="str">
        <f t="shared" ca="1" si="17"/>
        <v/>
      </c>
      <c r="G38" s="78" t="str">
        <f ca="1">IFERROR(VLOOKUP(F38,'Model Interface'!$P$6:$U$495,6,FALSE),"")</f>
        <v/>
      </c>
      <c r="H38" s="57" t="str">
        <f t="shared" ca="1" si="18"/>
        <v/>
      </c>
      <c r="R38" s="85">
        <f ca="1"/>
        <v>45159</v>
      </c>
      <c r="S38" s="57">
        <f t="shared" ca="1" si="9"/>
        <v>45159</v>
      </c>
      <c r="T38" s="57">
        <f t="shared" ca="1" si="0"/>
        <v>11.58349904482278</v>
      </c>
      <c r="U38" s="57">
        <f t="shared" ca="1" si="1"/>
        <v>5.2587597718644199</v>
      </c>
      <c r="V38" s="57">
        <f t="shared" ca="1" si="2"/>
        <v>0</v>
      </c>
      <c r="W38">
        <f t="shared" ca="1" si="3"/>
        <v>120</v>
      </c>
      <c r="X38">
        <f t="shared" ca="1" si="10"/>
        <v>51.754724868310376</v>
      </c>
      <c r="Y38">
        <f t="shared" ca="1" si="4"/>
        <v>0</v>
      </c>
      <c r="Z38">
        <f t="shared" ca="1" si="5"/>
        <v>1.7436823237097401E-2</v>
      </c>
      <c r="AA38" s="85">
        <f ca="1"/>
        <v>45358</v>
      </c>
      <c r="AB38" s="57">
        <f t="shared" ca="1" si="12"/>
        <v>45358</v>
      </c>
      <c r="AC38" s="57">
        <f t="shared" ca="1" si="13"/>
        <v>76.335406984418995</v>
      </c>
      <c r="AD38" s="57">
        <f t="shared" ca="1" si="14"/>
        <v>5.0321398420181902</v>
      </c>
      <c r="AE38" s="57">
        <f t="shared" ca="1" si="15"/>
        <v>0</v>
      </c>
    </row>
    <row r="39" spans="1:31" s="57" customFormat="1" x14ac:dyDescent="0.3">
      <c r="A39" s="85" t="e">
        <f ca="1"/>
        <v>#N/A</v>
      </c>
      <c r="B39" s="57">
        <f t="shared" ca="1" si="16"/>
        <v>0</v>
      </c>
      <c r="C39" s="80">
        <v>45200</v>
      </c>
      <c r="D39" s="83">
        <v>50</v>
      </c>
      <c r="F39" s="76" t="str">
        <f t="shared" ca="1" si="17"/>
        <v/>
      </c>
      <c r="G39" s="78" t="str">
        <f ca="1">IFERROR(VLOOKUP(F39,'Model Interface'!$P$6:$U$495,6,FALSE),"")</f>
        <v/>
      </c>
      <c r="H39" s="57" t="str">
        <f t="shared" ca="1" si="18"/>
        <v/>
      </c>
      <c r="R39" s="85">
        <f ca="1"/>
        <v>45160</v>
      </c>
      <c r="S39" s="57">
        <f t="shared" ca="1" si="9"/>
        <v>45160</v>
      </c>
      <c r="T39" s="57">
        <f t="shared" ca="1" si="0"/>
        <v>11.557295031480045</v>
      </c>
      <c r="U39" s="57">
        <f t="shared" ca="1" si="1"/>
        <v>5.4153299246724798</v>
      </c>
      <c r="V39" s="57">
        <f t="shared" ca="1" si="2"/>
        <v>0</v>
      </c>
      <c r="W39">
        <f t="shared" ca="1" si="3"/>
        <v>120</v>
      </c>
      <c r="X39">
        <f t="shared" ca="1" si="10"/>
        <v>54.545108352646594</v>
      </c>
      <c r="Y39">
        <f t="shared" ca="1" si="4"/>
        <v>0</v>
      </c>
      <c r="Z39">
        <f t="shared" ca="1" si="5"/>
        <v>1.8435048718694901E-2</v>
      </c>
      <c r="AA39" s="85">
        <f ca="1"/>
        <v>45359</v>
      </c>
      <c r="AB39" s="57">
        <f t="shared" ca="1" si="12"/>
        <v>45359</v>
      </c>
      <c r="AC39" s="57">
        <f t="shared" ca="1" si="13"/>
        <v>76.601569605457087</v>
      </c>
      <c r="AD39" s="57">
        <f t="shared" ca="1" si="14"/>
        <v>5.3083735001149996</v>
      </c>
      <c r="AE39" s="57">
        <f t="shared" ca="1" si="15"/>
        <v>0</v>
      </c>
    </row>
    <row r="40" spans="1:31" s="57" customFormat="1" ht="6.75" customHeight="1" x14ac:dyDescent="0.3">
      <c r="A40" s="85" t="e">
        <f ca="1"/>
        <v>#N/A</v>
      </c>
      <c r="B40" s="57">
        <f t="shared" ca="1" si="16"/>
        <v>0</v>
      </c>
      <c r="C40" s="80"/>
      <c r="D40" s="83"/>
      <c r="F40" s="76" t="str">
        <f t="shared" ca="1" si="17"/>
        <v/>
      </c>
      <c r="G40" s="78" t="str">
        <f ca="1">IFERROR(VLOOKUP(F40,'Model Interface'!$P$6:$U$495,6,FALSE),"")</f>
        <v/>
      </c>
      <c r="H40" s="57" t="str">
        <f t="shared" ca="1" si="18"/>
        <v/>
      </c>
      <c r="R40" s="85">
        <f ca="1"/>
        <v>45161</v>
      </c>
      <c r="S40" s="57">
        <f t="shared" ca="1" si="9"/>
        <v>45161</v>
      </c>
      <c r="T40" s="57">
        <f t="shared" ca="1" si="0"/>
        <v>11.524170778480816</v>
      </c>
      <c r="U40" s="57">
        <f t="shared" ca="1" si="1"/>
        <v>5.5773912227616798</v>
      </c>
      <c r="V40" s="57">
        <f t="shared" ca="1" si="2"/>
        <v>0</v>
      </c>
      <c r="W40">
        <f t="shared" ca="1" si="3"/>
        <v>120</v>
      </c>
      <c r="X40">
        <f t="shared" ca="1" si="10"/>
        <v>54.585702033942397</v>
      </c>
      <c r="Y40">
        <f t="shared" ca="1" si="4"/>
        <v>0</v>
      </c>
      <c r="Z40">
        <f t="shared" ca="1" si="5"/>
        <v>1.9495632764278199E-2</v>
      </c>
      <c r="AA40" s="85">
        <f ca="1"/>
        <v>45360</v>
      </c>
      <c r="AB40" s="57">
        <f t="shared" ca="1" si="12"/>
        <v>45360</v>
      </c>
      <c r="AC40" s="57">
        <f t="shared" ca="1" si="13"/>
        <v>76.81483605964786</v>
      </c>
      <c r="AD40" s="57">
        <f t="shared" ca="1" si="14"/>
        <v>5.6076216362080302</v>
      </c>
      <c r="AE40" s="57">
        <f t="shared" ca="1" si="15"/>
        <v>0</v>
      </c>
    </row>
    <row r="41" spans="1:31" s="57" customFormat="1" x14ac:dyDescent="0.3">
      <c r="A41" s="85" t="e">
        <f ca="1"/>
        <v>#N/A</v>
      </c>
      <c r="B41" s="57">
        <f t="shared" ca="1" si="16"/>
        <v>0</v>
      </c>
      <c r="C41" s="80"/>
      <c r="D41" s="83"/>
      <c r="F41" s="76" t="str">
        <f t="shared" ca="1" si="17"/>
        <v/>
      </c>
      <c r="G41" s="78" t="str">
        <f ca="1">IFERROR(VLOOKUP(F41,'Model Interface'!$P$6:$U$495,6,FALSE),"")</f>
        <v/>
      </c>
      <c r="H41" s="57" t="str">
        <f t="shared" ca="1" si="18"/>
        <v/>
      </c>
      <c r="R41" s="85">
        <f ca="1"/>
        <v>45162</v>
      </c>
      <c r="S41" s="57">
        <f t="shared" ca="1" si="9"/>
        <v>45162</v>
      </c>
      <c r="T41" s="57">
        <f t="shared" ca="1" si="0"/>
        <v>11.482788717522453</v>
      </c>
      <c r="U41" s="57">
        <f t="shared" ca="1" si="1"/>
        <v>5.7495641202410201</v>
      </c>
      <c r="V41" s="57">
        <f t="shared" ca="1" si="2"/>
        <v>0</v>
      </c>
      <c r="W41">
        <f t="shared" ca="1" si="3"/>
        <v>118.82799314820541</v>
      </c>
      <c r="X41">
        <f t="shared" ca="1" si="10"/>
        <v>54.585702033942397</v>
      </c>
      <c r="Y41">
        <f t="shared" ca="1" si="4"/>
        <v>0</v>
      </c>
      <c r="Z41">
        <f t="shared" ca="1" si="5"/>
        <v>2.0652695615857398E-2</v>
      </c>
      <c r="AA41" s="85">
        <f ca="1"/>
        <v>45361</v>
      </c>
      <c r="AB41" s="57">
        <f t="shared" ca="1" si="12"/>
        <v>45361</v>
      </c>
      <c r="AC41" s="57">
        <f t="shared" ca="1" si="13"/>
        <v>76.976883315258149</v>
      </c>
      <c r="AD41" s="57">
        <f t="shared" ca="1" si="14"/>
        <v>5.9162169521672396</v>
      </c>
      <c r="AE41" s="57">
        <f t="shared" ca="1" si="15"/>
        <v>0</v>
      </c>
    </row>
    <row r="42" spans="1:31" s="57" customFormat="1" x14ac:dyDescent="0.3">
      <c r="A42" s="85" t="e">
        <f ca="1"/>
        <v>#N/A</v>
      </c>
      <c r="B42" s="57">
        <f t="shared" ca="1" si="16"/>
        <v>0</v>
      </c>
      <c r="C42" s="80"/>
      <c r="D42" s="83"/>
      <c r="F42" s="76" t="str">
        <f t="shared" ca="1" si="17"/>
        <v/>
      </c>
      <c r="G42" s="78" t="str">
        <f ca="1">IFERROR(VLOOKUP(F42,'Model Interface'!$P$6:$U$495,6,FALSE),"")</f>
        <v/>
      </c>
      <c r="H42" s="57" t="str">
        <f t="shared" ca="1" si="18"/>
        <v/>
      </c>
      <c r="R42" s="85">
        <f ca="1"/>
        <v>45163</v>
      </c>
      <c r="S42" s="57">
        <f t="shared" ca="1" si="9"/>
        <v>45163</v>
      </c>
      <c r="T42" s="57">
        <f t="shared" ca="1" si="0"/>
        <v>11.43551882390102</v>
      </c>
      <c r="U42" s="57">
        <f t="shared" ca="1" si="1"/>
        <v>5.9238125430299604</v>
      </c>
      <c r="V42" s="57">
        <f t="shared" ca="1" si="2"/>
        <v>0</v>
      </c>
      <c r="W42">
        <f t="shared" ca="1" si="3"/>
        <v>119.85318310937829</v>
      </c>
      <c r="X42">
        <f t="shared" ca="1" si="10"/>
        <v>54.585702033942397</v>
      </c>
      <c r="Y42">
        <f t="shared" ca="1" si="4"/>
        <v>0</v>
      </c>
      <c r="Z42">
        <f t="shared" ca="1" si="5"/>
        <v>2.1855303654105301E-2</v>
      </c>
      <c r="AA42" s="85">
        <f ca="1"/>
        <v>45362</v>
      </c>
      <c r="AB42" s="57">
        <f t="shared" ca="1" si="12"/>
        <v>45362</v>
      </c>
      <c r="AC42" s="57">
        <f t="shared" ca="1" si="13"/>
        <v>77.083786418613343</v>
      </c>
      <c r="AD42" s="57">
        <f t="shared" ca="1" si="14"/>
        <v>6.2440376438510103</v>
      </c>
      <c r="AE42" s="57">
        <f t="shared" ca="1" si="15"/>
        <v>0</v>
      </c>
    </row>
    <row r="43" spans="1:31" s="57" customFormat="1" ht="15" thickBot="1" x14ac:dyDescent="0.35">
      <c r="A43" s="85" t="e">
        <f ca="1"/>
        <v>#N/A</v>
      </c>
      <c r="B43" s="57">
        <f t="shared" ca="1" si="16"/>
        <v>0</v>
      </c>
      <c r="C43" s="81"/>
      <c r="D43" s="84"/>
      <c r="F43" s="77" t="str">
        <f t="shared" ca="1" si="17"/>
        <v/>
      </c>
      <c r="G43" s="79" t="str">
        <f ca="1">IFERROR(VLOOKUP(F43,'Model Interface'!$P$6:$U$495,6,FALSE),"")</f>
        <v/>
      </c>
      <c r="H43" s="57" t="str">
        <f t="shared" ca="1" si="18"/>
        <v/>
      </c>
      <c r="R43" s="85">
        <f ca="1"/>
        <v>45164</v>
      </c>
      <c r="S43" s="57">
        <f t="shared" ca="1" si="9"/>
        <v>45164</v>
      </c>
      <c r="T43" s="57">
        <f t="shared" ca="1" si="0"/>
        <v>11.375766548459055</v>
      </c>
      <c r="U43" s="57">
        <f t="shared" ca="1" si="1"/>
        <v>6.12178986202884</v>
      </c>
      <c r="V43" s="57">
        <f t="shared" ca="1" si="2"/>
        <v>0</v>
      </c>
      <c r="W43">
        <f t="shared" ca="1" si="3"/>
        <v>120</v>
      </c>
      <c r="X43">
        <f t="shared" ca="1" si="10"/>
        <v>56.017371113746947</v>
      </c>
      <c r="Y43">
        <f t="shared" ca="1" si="4"/>
        <v>0</v>
      </c>
      <c r="Z43">
        <f t="shared" ca="1" si="5"/>
        <v>2.3259999497581701E-2</v>
      </c>
      <c r="AA43" s="85">
        <f ca="1"/>
        <v>45363</v>
      </c>
      <c r="AB43" s="57">
        <f t="shared" ca="1" si="12"/>
        <v>45363</v>
      </c>
      <c r="AC43" s="57">
        <f t="shared" ca="1" si="13"/>
        <v>77.131431334768166</v>
      </c>
      <c r="AD43" s="57">
        <f t="shared" ca="1" si="14"/>
        <v>6.5660977881704099</v>
      </c>
      <c r="AE43" s="57">
        <f t="shared" ca="1" si="15"/>
        <v>0</v>
      </c>
    </row>
    <row r="44" spans="1:31" s="56" customFormat="1" x14ac:dyDescent="0.3">
      <c r="A44" s="57"/>
      <c r="B44" s="57">
        <f ca="1">IF(C38="",CurrentEstablishDate,IF(AND(C38&gt;CurrentEstablishDate,(C38-CurrentEstablishDate)&lt;10),C38,CurrentEstablishDate))</f>
        <v>45139</v>
      </c>
      <c r="C44" s="102" t="s">
        <v>157</v>
      </c>
      <c r="D44" s="104">
        <f ca="1">MAX(CurrentEstablishDate,C38:C43,MAX(C29:C34)+1)</f>
        <v>45200</v>
      </c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85">
        <f ca="1"/>
        <v>45165</v>
      </c>
      <c r="S44" s="57">
        <f t="shared" ca="1" si="9"/>
        <v>45165</v>
      </c>
      <c r="T44" s="57">
        <f t="shared" ca="1" si="0"/>
        <v>11.307688586344049</v>
      </c>
      <c r="U44" s="57">
        <f t="shared" ca="1" si="1"/>
        <v>6.3268328947338599</v>
      </c>
      <c r="V44" s="57">
        <f t="shared" ca="1" si="2"/>
        <v>0</v>
      </c>
      <c r="W44">
        <f t="shared" ca="1" si="3"/>
        <v>119.37898463099964</v>
      </c>
      <c r="X44">
        <f t="shared" ca="1" si="10"/>
        <v>56.017371113746947</v>
      </c>
      <c r="Y44">
        <f t="shared" ca="1" si="4"/>
        <v>0</v>
      </c>
      <c r="Z44">
        <f t="shared" ca="1" si="5"/>
        <v>2.4757487423038599E-2</v>
      </c>
      <c r="AA44" s="85">
        <f ca="1"/>
        <v>45364</v>
      </c>
      <c r="AB44" s="57">
        <f t="shared" ca="1" si="12"/>
        <v>45364</v>
      </c>
      <c r="AC44" s="57">
        <f t="shared" ca="1" si="13"/>
        <v>77.130716249144939</v>
      </c>
      <c r="AD44" s="57">
        <f t="shared" ca="1" si="14"/>
        <v>6.9156388277703602</v>
      </c>
      <c r="AE44" s="57">
        <f t="shared" ca="1" si="15"/>
        <v>0</v>
      </c>
    </row>
    <row r="45" spans="1:31" s="57" customFormat="1" x14ac:dyDescent="0.3">
      <c r="R45" s="85">
        <f ca="1"/>
        <v>45166</v>
      </c>
      <c r="S45" s="57">
        <f t="shared" ca="1" si="9"/>
        <v>45166</v>
      </c>
      <c r="T45" s="57">
        <f t="shared" ca="1" si="0"/>
        <v>11.229312440484513</v>
      </c>
      <c r="U45" s="57">
        <f t="shared" ca="1" si="1"/>
        <v>6.5450287301893599</v>
      </c>
      <c r="V45" s="57">
        <f t="shared" ca="1" si="2"/>
        <v>0</v>
      </c>
      <c r="W45">
        <f t="shared" ca="1" si="3"/>
        <v>119.64474241622304</v>
      </c>
      <c r="X45">
        <f t="shared" ca="1" si="10"/>
        <v>56.017371113746947</v>
      </c>
      <c r="Y45">
        <f t="shared" ca="1" si="4"/>
        <v>0</v>
      </c>
      <c r="Z45">
        <f t="shared" ca="1" si="5"/>
        <v>2.63983258625798E-2</v>
      </c>
      <c r="AA45" s="85">
        <f ca="1"/>
        <v>45365</v>
      </c>
      <c r="AB45" s="57">
        <f t="shared" ca="1" si="12"/>
        <v>45365</v>
      </c>
      <c r="AC45" s="57">
        <f t="shared" ca="1" si="13"/>
        <v>77.079439223271947</v>
      </c>
      <c r="AD45" s="57">
        <f t="shared" ca="1" si="14"/>
        <v>7.3100522187144401</v>
      </c>
      <c r="AE45" s="57">
        <f t="shared" ca="1" si="15"/>
        <v>0</v>
      </c>
    </row>
    <row r="46" spans="1:31" s="57" customFormat="1" ht="15" thickBot="1" x14ac:dyDescent="0.35">
      <c r="C46" s="127" t="s">
        <v>164</v>
      </c>
      <c r="D46" s="127"/>
      <c r="E46" s="127"/>
      <c r="F46" s="127"/>
      <c r="G46" s="127"/>
      <c r="H46" s="127"/>
      <c r="R46" s="85">
        <f ca="1"/>
        <v>45167</v>
      </c>
      <c r="S46" s="57">
        <f t="shared" ca="1" si="9"/>
        <v>45167</v>
      </c>
      <c r="T46" s="57">
        <f t="shared" ca="1" si="0"/>
        <v>11.146327873794746</v>
      </c>
      <c r="U46" s="57">
        <f t="shared" ca="1" si="1"/>
        <v>6.7599999934369199</v>
      </c>
      <c r="V46" s="57">
        <f t="shared" ca="1" si="2"/>
        <v>0</v>
      </c>
      <c r="W46">
        <f t="shared" ca="1" si="3"/>
        <v>120</v>
      </c>
      <c r="X46">
        <f t="shared" ca="1" si="10"/>
        <v>57.176610942583466</v>
      </c>
      <c r="Y46">
        <f t="shared" ca="1" si="4"/>
        <v>0</v>
      </c>
      <c r="Z46">
        <f t="shared" ca="1" si="5"/>
        <v>2.8062197171391599E-2</v>
      </c>
      <c r="AA46" s="85">
        <f ca="1"/>
        <v>45366</v>
      </c>
      <c r="AB46" s="57">
        <f t="shared" ca="1" si="12"/>
        <v>45366</v>
      </c>
      <c r="AC46" s="57">
        <f t="shared" ca="1" si="13"/>
        <v>76.982970738634279</v>
      </c>
      <c r="AD46" s="57">
        <f t="shared" ca="1" si="14"/>
        <v>7.7461703085644498</v>
      </c>
      <c r="AE46" s="57">
        <f t="shared" ca="1" si="15"/>
        <v>0</v>
      </c>
    </row>
    <row r="47" spans="1:31" s="57" customFormat="1" x14ac:dyDescent="0.3">
      <c r="C47" s="63" t="s">
        <v>30</v>
      </c>
      <c r="D47" s="90" t="str">
        <f>IF(E47="","Fodder",E47)</f>
        <v>Fodder</v>
      </c>
      <c r="E47" s="89"/>
      <c r="F47" s="63" t="s">
        <v>141</v>
      </c>
      <c r="G47" s="90">
        <f>IF(H47="",VLOOKUP(PriorCropNameFull,CropCoefficients,23,FALSE),H47)</f>
        <v>0</v>
      </c>
      <c r="H47" s="91"/>
      <c r="R47" s="85">
        <f ca="1"/>
        <v>45168</v>
      </c>
      <c r="S47" s="57">
        <f t="shared" ca="1" si="9"/>
        <v>45168</v>
      </c>
      <c r="T47" s="57">
        <f t="shared" ca="1" si="0"/>
        <v>11.050903816882254</v>
      </c>
      <c r="U47" s="57">
        <f t="shared" ca="1" si="1"/>
        <v>6.9932404817410401</v>
      </c>
      <c r="V47" s="57">
        <f t="shared" ca="1" si="2"/>
        <v>0</v>
      </c>
      <c r="W47">
        <f t="shared" ca="1" si="3"/>
        <v>119.78842442960301</v>
      </c>
      <c r="X47">
        <f t="shared" ca="1" si="10"/>
        <v>57.176610942583466</v>
      </c>
      <c r="Y47">
        <f t="shared" ca="1" si="4"/>
        <v>0</v>
      </c>
      <c r="Z47">
        <f t="shared" ca="1" si="5"/>
        <v>2.9920067985668201E-2</v>
      </c>
      <c r="AA47" s="85">
        <f ca="1"/>
        <v>45367</v>
      </c>
      <c r="AB47" s="57">
        <f t="shared" ca="1" si="12"/>
        <v>45367</v>
      </c>
      <c r="AC47" s="57">
        <f t="shared" ca="1" si="13"/>
        <v>76.847231701585983</v>
      </c>
      <c r="AD47" s="57">
        <f t="shared" ca="1" si="14"/>
        <v>8.1628024200050504</v>
      </c>
      <c r="AE47" s="57">
        <f t="shared" ca="1" si="15"/>
        <v>0</v>
      </c>
    </row>
    <row r="48" spans="1:31" s="57" customFormat="1" x14ac:dyDescent="0.3">
      <c r="C48" s="63" t="s">
        <v>99</v>
      </c>
      <c r="D48" s="86" t="str">
        <f>IF(E48="","Barley",E48)</f>
        <v>Barley</v>
      </c>
      <c r="E48" s="68"/>
      <c r="F48" s="63" t="s">
        <v>143</v>
      </c>
      <c r="G48" s="86">
        <f>IF(H48="",VLOOKUP(PriorCropNameFull,CropCoefficients,22,FALSE),H48)</f>
        <v>0</v>
      </c>
      <c r="H48" s="74"/>
      <c r="R48" s="85">
        <f ca="1"/>
        <v>45169</v>
      </c>
      <c r="S48" s="57">
        <f t="shared" ca="1" si="9"/>
        <v>45169</v>
      </c>
      <c r="T48" s="57">
        <f t="shared" ca="1" si="0"/>
        <v>10.950982569514302</v>
      </c>
      <c r="U48" s="57">
        <f t="shared" ca="1" si="1"/>
        <v>7.2241498438490801</v>
      </c>
      <c r="V48" s="57">
        <f t="shared" ca="1" si="2"/>
        <v>0</v>
      </c>
      <c r="W48">
        <f t="shared" ca="1" si="3"/>
        <v>119.71733055497457</v>
      </c>
      <c r="X48">
        <f t="shared" ca="1" si="10"/>
        <v>57.176610942583466</v>
      </c>
      <c r="Y48">
        <f t="shared" ca="1" si="4"/>
        <v>0</v>
      </c>
      <c r="Z48">
        <f t="shared" ca="1" si="5"/>
        <v>3.1812772459053403E-2</v>
      </c>
      <c r="AA48" s="85">
        <f ca="1"/>
        <v>45368</v>
      </c>
      <c r="AB48" s="57">
        <f t="shared" ca="1" si="12"/>
        <v>45368</v>
      </c>
      <c r="AC48" s="57">
        <f t="shared" ca="1" si="13"/>
        <v>76.68629096194347</v>
      </c>
      <c r="AD48" s="57">
        <f t="shared" ca="1" si="14"/>
        <v>8.5807033806107604</v>
      </c>
      <c r="AE48" s="57">
        <f t="shared" ca="1" si="15"/>
        <v>0</v>
      </c>
    </row>
    <row r="49" spans="2:31" s="57" customFormat="1" x14ac:dyDescent="0.3">
      <c r="C49" s="63" t="s">
        <v>100</v>
      </c>
      <c r="D49" s="86" t="str">
        <f>IF(E49="","General",E49)</f>
        <v>General</v>
      </c>
      <c r="E49" s="68"/>
      <c r="F49" s="63" t="s">
        <v>142</v>
      </c>
      <c r="G49" s="86">
        <f>IF(H49="",VLOOKUP(PriorCropNameFull,CropCoefficients,26,FALSE),H49)</f>
        <v>0</v>
      </c>
      <c r="H49" s="74"/>
      <c r="R49" s="85">
        <f ca="1"/>
        <v>45170</v>
      </c>
      <c r="S49" s="57">
        <f t="shared" ca="1" si="9"/>
        <v>45170</v>
      </c>
      <c r="T49" s="57">
        <f t="shared" ca="1" si="0"/>
        <v>10.848599018490468</v>
      </c>
      <c r="U49" s="57">
        <f t="shared" ca="1" si="1"/>
        <v>7.4499383817340501</v>
      </c>
      <c r="V49" s="57">
        <f t="shared" ca="1" si="2"/>
        <v>0</v>
      </c>
      <c r="W49">
        <f t="shared" ca="1" si="3"/>
        <v>118.71698616744726</v>
      </c>
      <c r="X49">
        <f t="shared" ca="1" si="10"/>
        <v>57.176610942583466</v>
      </c>
      <c r="Y49">
        <f t="shared" ca="1" si="4"/>
        <v>0</v>
      </c>
      <c r="Z49">
        <f t="shared" ca="1" si="5"/>
        <v>3.3714361360981798E-2</v>
      </c>
      <c r="AA49" s="85">
        <f ca="1"/>
        <v>45369</v>
      </c>
      <c r="AB49" s="57">
        <f t="shared" ca="1" si="12"/>
        <v>45369</v>
      </c>
      <c r="AC49" s="57">
        <f t="shared" ca="1" si="13"/>
        <v>76.48141387099669</v>
      </c>
      <c r="AD49" s="57">
        <f t="shared" ca="1" si="14"/>
        <v>9.0329248502511099</v>
      </c>
      <c r="AE49" s="57">
        <f t="shared" ca="1" si="15"/>
        <v>0</v>
      </c>
    </row>
    <row r="50" spans="2:31" s="57" customFormat="1" x14ac:dyDescent="0.3">
      <c r="B50" s="92">
        <f>IF(PriorUnits="kg/head",PriorYield*PriorPopulation,IF(PriorUnits="kg/ha",PriorYield/1000,PriorYield))</f>
        <v>8</v>
      </c>
      <c r="C50" s="66" t="s">
        <v>158</v>
      </c>
      <c r="D50" s="67" t="str">
        <f>PriorCropName&amp;" "&amp;PriorCropType&amp;" "&amp;PriorCropVariety</f>
        <v>Barley Fodder General</v>
      </c>
      <c r="F50" s="58"/>
      <c r="R50" s="85">
        <f ca="1"/>
        <v>45171</v>
      </c>
      <c r="S50" s="57">
        <f t="shared" ca="1" si="9"/>
        <v>45171</v>
      </c>
      <c r="T50" s="57">
        <f t="shared" ca="1" si="0"/>
        <v>10.744167665868027</v>
      </c>
      <c r="U50" s="57">
        <f t="shared" ca="1" si="1"/>
        <v>7.6717463768912904</v>
      </c>
      <c r="V50" s="57">
        <f t="shared" ca="1" si="2"/>
        <v>0</v>
      </c>
      <c r="W50">
        <f t="shared" ca="1" si="3"/>
        <v>120</v>
      </c>
      <c r="X50">
        <f t="shared" ca="1" si="10"/>
        <v>57.540150902239091</v>
      </c>
      <c r="Y50">
        <f t="shared" ca="1" si="4"/>
        <v>0</v>
      </c>
      <c r="Z50">
        <f t="shared" ca="1" si="5"/>
        <v>3.5630886755299102E-2</v>
      </c>
      <c r="AA50" s="85">
        <f ca="1"/>
        <v>45370</v>
      </c>
      <c r="AB50" s="57">
        <f t="shared" ca="1" si="12"/>
        <v>45370</v>
      </c>
      <c r="AC50" s="57">
        <f t="shared" ca="1" si="13"/>
        <v>76.229907614854767</v>
      </c>
      <c r="AD50" s="57">
        <f t="shared" ca="1" si="14"/>
        <v>9.5187238273173893</v>
      </c>
      <c r="AE50" s="57">
        <f t="shared" ca="1" si="15"/>
        <v>0</v>
      </c>
    </row>
    <row r="51" spans="2:31" s="57" customFormat="1" x14ac:dyDescent="0.3">
      <c r="C51" s="63" t="s">
        <v>4</v>
      </c>
      <c r="D51" s="70">
        <f ca="1">IF(E51="",CurrentEstablishDate-60,E51)</f>
        <v>45079</v>
      </c>
      <c r="E51" s="69"/>
      <c r="F51" s="63" t="s">
        <v>153</v>
      </c>
      <c r="G51" s="86" t="str">
        <f>IF(H51="",VLOOKUP(PriorCropNameFull,CropCoefficients,13,FALSE),H51)</f>
        <v>Seed</v>
      </c>
      <c r="H51" s="74"/>
      <c r="R51" s="85">
        <f ca="1"/>
        <v>45172</v>
      </c>
      <c r="S51" s="57">
        <f t="shared" ca="1" si="9"/>
        <v>45172</v>
      </c>
      <c r="T51" s="57">
        <f t="shared" ca="1" si="0"/>
        <v>10.631809009286712</v>
      </c>
      <c r="U51" s="57">
        <f t="shared" ca="1" si="1"/>
        <v>7.9020034391471397</v>
      </c>
      <c r="V51" s="57">
        <f t="shared" ca="1" si="2"/>
        <v>0</v>
      </c>
      <c r="W51">
        <f t="shared" ca="1" si="3"/>
        <v>119.32501354451864</v>
      </c>
      <c r="X51">
        <f t="shared" ca="1" si="10"/>
        <v>57.540150902239091</v>
      </c>
      <c r="Y51">
        <f t="shared" ca="1" si="4"/>
        <v>0</v>
      </c>
      <c r="Z51">
        <f t="shared" ca="1" si="5"/>
        <v>3.7670682294524499E-2</v>
      </c>
      <c r="AA51" s="85">
        <f ca="1"/>
        <v>45371</v>
      </c>
      <c r="AB51" s="57">
        <f t="shared" ca="1" si="12"/>
        <v>45371</v>
      </c>
      <c r="AC51" s="57">
        <f t="shared" ca="1" si="13"/>
        <v>75.935328322882896</v>
      </c>
      <c r="AD51" s="57">
        <f t="shared" ca="1" si="14"/>
        <v>10.0378038847486</v>
      </c>
      <c r="AE51" s="57">
        <f t="shared" ca="1" si="15"/>
        <v>0</v>
      </c>
    </row>
    <row r="52" spans="2:31" s="57" customFormat="1" x14ac:dyDescent="0.3">
      <c r="C52" s="63" t="s">
        <v>5</v>
      </c>
      <c r="D52" s="70">
        <f ca="1">IF(E52="",CurrentEstablishDate-15,E52)</f>
        <v>45124</v>
      </c>
      <c r="E52" s="69"/>
      <c r="F52" s="63" t="s">
        <v>154</v>
      </c>
      <c r="G52" s="86" t="str">
        <f>IF(H52="",VLOOKUP(PriorCropNameFull,CropCoefficients,15,FALSE),H52)</f>
        <v>EarlyReproductive</v>
      </c>
      <c r="H52" s="74"/>
      <c r="R52" s="85">
        <f ca="1"/>
        <v>45173</v>
      </c>
      <c r="S52" s="57">
        <f t="shared" ca="1" si="9"/>
        <v>45173</v>
      </c>
      <c r="T52" s="57">
        <f t="shared" ca="1" si="0"/>
        <v>10.508556960168562</v>
      </c>
      <c r="U52" s="57">
        <f t="shared" ca="1" si="1"/>
        <v>8.1462853734105405</v>
      </c>
      <c r="V52" s="57">
        <f t="shared" ca="1" si="2"/>
        <v>0</v>
      </c>
      <c r="W52">
        <f t="shared" ca="1" si="3"/>
        <v>119.98423023840981</v>
      </c>
      <c r="X52">
        <f t="shared" ca="1" si="10"/>
        <v>57.540150902239091</v>
      </c>
      <c r="Y52">
        <f t="shared" ca="1" si="4"/>
        <v>0</v>
      </c>
      <c r="Z52">
        <f t="shared" ca="1" si="5"/>
        <v>3.9890064419835197E-2</v>
      </c>
      <c r="AA52" s="85">
        <f ca="1"/>
        <v>45372</v>
      </c>
      <c r="AB52" s="57">
        <f t="shared" ca="1" si="12"/>
        <v>45372</v>
      </c>
      <c r="AC52" s="57">
        <f t="shared" ca="1" si="13"/>
        <v>75.5995262336438</v>
      </c>
      <c r="AD52" s="57">
        <f t="shared" ca="1" si="14"/>
        <v>10.5901743396836</v>
      </c>
      <c r="AE52" s="57">
        <f t="shared" ca="1" si="15"/>
        <v>0</v>
      </c>
    </row>
    <row r="53" spans="2:31" s="57" customFormat="1" x14ac:dyDescent="0.3">
      <c r="C53" s="63" t="s">
        <v>144</v>
      </c>
      <c r="D53" s="75" t="str">
        <f>IF(PriorUnits="kg/head",IF(E11="",VLOOKUP(PriorCropNameFull,CropCoefficients,20,FALSE),E11),"")</f>
        <v/>
      </c>
      <c r="E53" s="74"/>
      <c r="F53" s="63"/>
      <c r="G53" s="63"/>
      <c r="H53" s="63"/>
      <c r="R53" s="85">
        <f ca="1"/>
        <v>45174</v>
      </c>
      <c r="S53" s="57">
        <f t="shared" ca="1" si="9"/>
        <v>45174</v>
      </c>
      <c r="T53" s="57">
        <f t="shared" ca="1" si="0"/>
        <v>10.381590407995901</v>
      </c>
      <c r="U53" s="57">
        <f t="shared" ca="1" si="1"/>
        <v>8.3905125271912002</v>
      </c>
      <c r="V53" s="57">
        <f t="shared" ca="1" si="2"/>
        <v>0</v>
      </c>
      <c r="W53">
        <f t="shared" ca="1" si="3"/>
        <v>120</v>
      </c>
      <c r="X53">
        <f t="shared" ca="1" si="10"/>
        <v>59.225370226598045</v>
      </c>
      <c r="Y53">
        <f t="shared" ca="1" si="4"/>
        <v>0</v>
      </c>
      <c r="Z53">
        <f t="shared" ca="1" si="5"/>
        <v>4.2165217236127699E-2</v>
      </c>
      <c r="AA53" s="85">
        <f ca="1"/>
        <v>45373</v>
      </c>
      <c r="AB53" s="57">
        <f t="shared" ca="1" si="12"/>
        <v>45373</v>
      </c>
      <c r="AC53" s="57">
        <f t="shared" ca="1" si="13"/>
        <v>75.223693909995859</v>
      </c>
      <c r="AD53" s="57">
        <f t="shared" ca="1" si="14"/>
        <v>11.1753640573722</v>
      </c>
      <c r="AE53" s="57">
        <f t="shared" ca="1" si="15"/>
        <v>0</v>
      </c>
    </row>
    <row r="54" spans="2:31" s="56" customFormat="1" x14ac:dyDescent="0.3">
      <c r="B54" s="57"/>
      <c r="C54" s="63" t="s">
        <v>105</v>
      </c>
      <c r="D54" s="72">
        <f>IF(E54="",VLOOKUP(PriorCropNameFull,CropCoefficients,17,FALSE),E54)</f>
        <v>8</v>
      </c>
      <c r="E54" s="71"/>
      <c r="F54" s="63" t="s">
        <v>156</v>
      </c>
      <c r="G54" s="87" t="str">
        <f>IF(H54="","None removed",H54)</f>
        <v>None removed</v>
      </c>
      <c r="H54" s="74"/>
      <c r="I54" s="57"/>
      <c r="J54" s="57"/>
      <c r="K54" s="57"/>
      <c r="L54" s="57"/>
      <c r="M54" s="57"/>
      <c r="N54" s="57"/>
      <c r="O54" s="57"/>
      <c r="P54" s="57"/>
      <c r="Q54" s="57"/>
      <c r="R54" s="85">
        <f ca="1"/>
        <v>45175</v>
      </c>
      <c r="S54" s="57">
        <f t="shared" ca="1" si="9"/>
        <v>45175</v>
      </c>
      <c r="T54" s="57">
        <f t="shared" ca="1" si="0"/>
        <v>10.239387432210677</v>
      </c>
      <c r="U54" s="57">
        <f t="shared" ca="1" si="1"/>
        <v>8.6561920464231594</v>
      </c>
      <c r="V54" s="57">
        <f t="shared" ca="1" si="2"/>
        <v>0</v>
      </c>
      <c r="W54">
        <f t="shared" ca="1" si="3"/>
        <v>120</v>
      </c>
      <c r="X54">
        <f t="shared" ca="1" si="10"/>
        <v>63.685137144149422</v>
      </c>
      <c r="Y54">
        <f t="shared" ca="1" si="4"/>
        <v>0</v>
      </c>
      <c r="Z54">
        <f t="shared" ca="1" si="5"/>
        <v>4.4703262444042699E-2</v>
      </c>
      <c r="AA54" s="85">
        <f ca="1"/>
        <v>45374</v>
      </c>
      <c r="AB54" s="57">
        <f t="shared" ca="1" si="12"/>
        <v>45374</v>
      </c>
      <c r="AC54" s="57">
        <f t="shared" ca="1" si="13"/>
        <v>74.827066186785288</v>
      </c>
      <c r="AD54" s="57">
        <f t="shared" ca="1" si="14"/>
        <v>11.769651319064399</v>
      </c>
      <c r="AE54" s="57">
        <f t="shared" ca="1" si="15"/>
        <v>0</v>
      </c>
    </row>
    <row r="55" spans="2:31" s="57" customFormat="1" x14ac:dyDescent="0.3">
      <c r="C55" s="63" t="s">
        <v>15</v>
      </c>
      <c r="D55" s="86" t="str">
        <f>IF(E55="",VLOOKUP(PriorCropNameFull,CropCoefficients,18,FALSE),E55)</f>
        <v>t/ha</v>
      </c>
      <c r="E55" s="73"/>
      <c r="F55" s="60" t="s">
        <v>169</v>
      </c>
      <c r="G55" s="87" t="str">
        <f>IF(H55="","Full (Plough)",H55)</f>
        <v>Full (Plough)</v>
      </c>
      <c r="H55" s="74"/>
      <c r="R55" s="85">
        <f ca="1"/>
        <v>45176</v>
      </c>
      <c r="S55" s="57">
        <f t="shared" ca="1" si="9"/>
        <v>45176</v>
      </c>
      <c r="T55" s="57">
        <f t="shared" ca="1" si="0"/>
        <v>10.082440377726094</v>
      </c>
      <c r="U55" s="57">
        <f t="shared" ca="1" si="1"/>
        <v>8.9415393444262907</v>
      </c>
      <c r="V55" s="57">
        <f t="shared" ca="1" si="2"/>
        <v>0</v>
      </c>
      <c r="W55">
        <f t="shared" ca="1" si="3"/>
        <v>119.3829797167205</v>
      </c>
      <c r="X55">
        <f t="shared" ca="1" si="10"/>
        <v>63.685137144149422</v>
      </c>
      <c r="Y55">
        <f t="shared" ca="1" si="4"/>
        <v>0</v>
      </c>
      <c r="Z55">
        <f t="shared" ca="1" si="5"/>
        <v>4.7501312216588501E-2</v>
      </c>
      <c r="AA55" s="85">
        <f ca="1"/>
        <v>45375</v>
      </c>
      <c r="AB55" s="57">
        <f t="shared" ca="1" si="12"/>
        <v>45375</v>
      </c>
      <c r="AC55" s="57">
        <f t="shared" ca="1" si="13"/>
        <v>74.379335180962443</v>
      </c>
      <c r="AD55" s="57">
        <f t="shared" ca="1" si="14"/>
        <v>12.4184486266282</v>
      </c>
      <c r="AE55" s="57">
        <f t="shared" ca="1" si="15"/>
        <v>0</v>
      </c>
    </row>
    <row r="56" spans="2:31" s="57" customFormat="1" x14ac:dyDescent="0.3">
      <c r="C56" s="66" t="str">
        <f>"Yield "&amp;ROUND(PriorYield_tperHa,0)&amp;" (t/ha)"</f>
        <v>Yield 8 (t/ha)</v>
      </c>
      <c r="D56" s="92" t="str">
        <f ca="1">"Previous crop residues are providing "&amp;ROUND('Model Interface'!S4,0)&amp;" kg N/ha to the current crop"</f>
        <v>Previous crop residues are providing 11 kg N/ha to the current crop</v>
      </c>
      <c r="R56" s="85">
        <f ca="1"/>
        <v>45177</v>
      </c>
      <c r="S56" s="57">
        <f t="shared" ca="1" si="9"/>
        <v>45177</v>
      </c>
      <c r="T56" s="57">
        <f t="shared" ca="1" si="0"/>
        <v>9.9192898850381681</v>
      </c>
      <c r="U56" s="57">
        <f t="shared" ca="1" si="1"/>
        <v>9.2303941247249703</v>
      </c>
      <c r="V56" s="57">
        <f t="shared" ca="1" si="2"/>
        <v>0</v>
      </c>
      <c r="W56">
        <f t="shared" ca="1" si="3"/>
        <v>118.39812841545749</v>
      </c>
      <c r="X56">
        <f t="shared" ca="1" si="10"/>
        <v>63.685137144149422</v>
      </c>
      <c r="Y56">
        <f t="shared" ca="1" si="4"/>
        <v>0</v>
      </c>
      <c r="Z56">
        <f t="shared" ca="1" si="5"/>
        <v>5.0408621452839503E-2</v>
      </c>
      <c r="AA56" s="85">
        <f ca="1"/>
        <v>45376</v>
      </c>
      <c r="AB56" s="57">
        <f t="shared" ca="1" si="12"/>
        <v>45376</v>
      </c>
      <c r="AC56" s="57">
        <f t="shared" ca="1" si="13"/>
        <v>73.890730649266416</v>
      </c>
      <c r="AD56" s="57">
        <f t="shared" ca="1" si="14"/>
        <v>13.1065883208655</v>
      </c>
      <c r="AE56" s="57">
        <f t="shared" ca="1" si="15"/>
        <v>0</v>
      </c>
    </row>
    <row r="57" spans="2:31" s="57" customFormat="1" ht="15" thickBot="1" x14ac:dyDescent="0.35">
      <c r="C57" s="127" t="s">
        <v>165</v>
      </c>
      <c r="D57" s="127"/>
      <c r="E57" s="127"/>
      <c r="F57" s="127"/>
      <c r="G57" s="127"/>
      <c r="H57" s="127"/>
      <c r="R57" s="85">
        <f ca="1"/>
        <v>45178</v>
      </c>
      <c r="S57" s="57">
        <f t="shared" ca="1" si="9"/>
        <v>45178</v>
      </c>
      <c r="T57" s="57">
        <f t="shared" ca="1" si="0"/>
        <v>9.763371632420828</v>
      </c>
      <c r="U57" s="57">
        <f t="shared" ca="1" si="1"/>
        <v>9.5004196097064995</v>
      </c>
      <c r="V57" s="57">
        <f t="shared" ca="1" si="2"/>
        <v>0</v>
      </c>
      <c r="W57">
        <f t="shared" ca="1" si="3"/>
        <v>120</v>
      </c>
      <c r="X57">
        <f t="shared" ca="1" si="10"/>
        <v>64.620829841374956</v>
      </c>
      <c r="Y57">
        <f t="shared" ca="1" si="4"/>
        <v>0</v>
      </c>
      <c r="Z57">
        <f t="shared" ca="1" si="5"/>
        <v>5.3193400617861E-2</v>
      </c>
      <c r="AA57" s="85">
        <f ca="1"/>
        <v>45377</v>
      </c>
      <c r="AB57" s="57">
        <f t="shared" ca="1" si="12"/>
        <v>45377</v>
      </c>
      <c r="AC57" s="57">
        <f t="shared" ca="1" si="13"/>
        <v>73.350689640053417</v>
      </c>
      <c r="AD57" s="57">
        <f t="shared" ca="1" si="14"/>
        <v>13.841860863923699</v>
      </c>
      <c r="AE57" s="57">
        <f t="shared" ca="1" si="15"/>
        <v>0</v>
      </c>
    </row>
    <row r="58" spans="2:31" s="57" customFormat="1" x14ac:dyDescent="0.3">
      <c r="C58" s="63" t="s">
        <v>30</v>
      </c>
      <c r="D58" s="90" t="str">
        <f>IF(E58="","Fodder",E58)</f>
        <v>Fodder</v>
      </c>
      <c r="E58" s="89"/>
      <c r="F58" s="63" t="s">
        <v>141</v>
      </c>
      <c r="G58" s="90">
        <f>IF(H58="",VLOOKUP(FollowingCropFullName,CropCoefficients,23,FALSE),H58)</f>
        <v>0</v>
      </c>
      <c r="H58" s="91"/>
      <c r="R58" s="85">
        <f ca="1"/>
        <v>45179</v>
      </c>
      <c r="S58" s="57">
        <f t="shared" ca="1" si="9"/>
        <v>45179</v>
      </c>
      <c r="T58" s="57">
        <f t="shared" ca="1" si="0"/>
        <v>9.5914418237900136</v>
      </c>
      <c r="U58" s="57">
        <f t="shared" ca="1" si="1"/>
        <v>9.7917236785062105</v>
      </c>
      <c r="V58" s="57">
        <f t="shared" ca="1" si="2"/>
        <v>0</v>
      </c>
      <c r="W58">
        <f t="shared" ca="1" si="3"/>
        <v>120</v>
      </c>
      <c r="X58">
        <f t="shared" ca="1" si="10"/>
        <v>66.394927780179188</v>
      </c>
      <c r="Y58">
        <f t="shared" ca="1" si="4"/>
        <v>0</v>
      </c>
      <c r="Z58">
        <f t="shared" ca="1" si="5"/>
        <v>5.62689425097447E-2</v>
      </c>
      <c r="AA58" s="85">
        <f ca="1"/>
        <v>45378</v>
      </c>
      <c r="AB58" s="57">
        <f t="shared" ca="1" si="12"/>
        <v>45378</v>
      </c>
      <c r="AC58" s="57">
        <f t="shared" ca="1" si="13"/>
        <v>72.807439536672447</v>
      </c>
      <c r="AD58" s="57">
        <f t="shared" ca="1" si="14"/>
        <v>14.554759459154299</v>
      </c>
      <c r="AE58" s="57">
        <f t="shared" ca="1" si="15"/>
        <v>0</v>
      </c>
    </row>
    <row r="59" spans="2:31" s="57" customFormat="1" x14ac:dyDescent="0.3">
      <c r="C59" s="63" t="s">
        <v>99</v>
      </c>
      <c r="D59" s="86" t="str">
        <f>IF(E59="","Oat",E59)</f>
        <v>Oat</v>
      </c>
      <c r="E59" s="68"/>
      <c r="F59" s="63" t="s">
        <v>143</v>
      </c>
      <c r="G59" s="86">
        <f>IF(H59="",VLOOKUP(FollowingCropFullName,CropCoefficients,22,FALSE),H59)</f>
        <v>0</v>
      </c>
      <c r="H59" s="74"/>
      <c r="R59" s="85">
        <f ca="1"/>
        <v>45180</v>
      </c>
      <c r="S59" s="57">
        <f t="shared" ca="1" si="9"/>
        <v>45180</v>
      </c>
      <c r="T59" s="57">
        <f t="shared" ca="1" si="0"/>
        <v>9.4008652838754827</v>
      </c>
      <c r="U59" s="57">
        <f t="shared" ca="1" si="1"/>
        <v>10.108053843131801</v>
      </c>
      <c r="V59" s="57">
        <f t="shared" ca="1" si="2"/>
        <v>0</v>
      </c>
      <c r="W59">
        <f t="shared" ca="1" si="3"/>
        <v>120</v>
      </c>
      <c r="X59">
        <f t="shared" ca="1" si="10"/>
        <v>71.154557391425385</v>
      </c>
      <c r="Y59">
        <f t="shared" ca="1" si="4"/>
        <v>0</v>
      </c>
      <c r="Z59">
        <f t="shared" ca="1" si="5"/>
        <v>5.9690966623320303E-2</v>
      </c>
      <c r="AA59" s="85">
        <f ca="1"/>
        <v>45379</v>
      </c>
      <c r="AB59" s="57">
        <f t="shared" ca="1" si="12"/>
        <v>45379</v>
      </c>
      <c r="AC59" s="57">
        <f t="shared" ca="1" si="13"/>
        <v>72.211519118382512</v>
      </c>
      <c r="AD59" s="57">
        <f t="shared" ca="1" si="14"/>
        <v>15.321292716054099</v>
      </c>
      <c r="AE59" s="57">
        <f t="shared" ca="1" si="15"/>
        <v>0</v>
      </c>
    </row>
    <row r="60" spans="2:31" s="57" customFormat="1" x14ac:dyDescent="0.3">
      <c r="C60" s="63" t="s">
        <v>100</v>
      </c>
      <c r="D60" s="86" t="str">
        <f>IF(E60="","General",E60)</f>
        <v>General</v>
      </c>
      <c r="E60" s="68"/>
      <c r="F60" s="63" t="s">
        <v>142</v>
      </c>
      <c r="G60" s="86">
        <f>IF(H60="",VLOOKUP(FollowingCropFullName,CropCoefficients,26,FALSE),H60)</f>
        <v>0</v>
      </c>
      <c r="H60" s="74"/>
      <c r="R60" s="85">
        <f ca="1"/>
        <v>45181</v>
      </c>
      <c r="S60" s="57">
        <f t="shared" ca="1" si="9"/>
        <v>45181</v>
      </c>
      <c r="T60" s="57">
        <f t="shared" ca="1" si="0"/>
        <v>9.204168226963084</v>
      </c>
      <c r="U60" s="57">
        <f t="shared" ca="1" si="1"/>
        <v>10.428054509431099</v>
      </c>
      <c r="V60" s="57">
        <f t="shared" ca="1" si="2"/>
        <v>0</v>
      </c>
      <c r="W60">
        <f t="shared" ca="1" si="3"/>
        <v>120</v>
      </c>
      <c r="X60">
        <f t="shared" ca="1" si="10"/>
        <v>71.249237455384744</v>
      </c>
      <c r="Y60">
        <f t="shared" ca="1" si="4"/>
        <v>0</v>
      </c>
      <c r="Z60">
        <f t="shared" ca="1" si="5"/>
        <v>6.3238044720393599E-2</v>
      </c>
      <c r="AA60" s="85">
        <f ca="1"/>
        <v>45380</v>
      </c>
      <c r="AB60" s="57">
        <f t="shared" ca="1" si="12"/>
        <v>45380</v>
      </c>
      <c r="AC60" s="57">
        <f t="shared" ca="1" si="13"/>
        <v>71.565840271402962</v>
      </c>
      <c r="AD60" s="57">
        <f t="shared" ca="1" si="14"/>
        <v>16.1357519683101</v>
      </c>
      <c r="AE60" s="57">
        <f t="shared" ca="1" si="15"/>
        <v>0</v>
      </c>
    </row>
    <row r="61" spans="2:31" s="57" customFormat="1" x14ac:dyDescent="0.3">
      <c r="B61" s="92">
        <f>IF(FollowingUnits="kg/head",FollowingYIeld*FollowingPopulation,IF(FollowingUnits="kg/ha",FollowingYIeld/1000,FollowingYIeld))</f>
        <v>10</v>
      </c>
      <c r="C61" s="66" t="s">
        <v>158</v>
      </c>
      <c r="D61" s="67" t="str">
        <f>FollowingCropName&amp;" "&amp;FollowingCropType&amp;" "&amp;FollowingCropVariety</f>
        <v>Oat Fodder General</v>
      </c>
      <c r="F61" s="58"/>
      <c r="R61" s="85">
        <f ca="1"/>
        <v>45182</v>
      </c>
      <c r="S61" s="57">
        <f t="shared" ca="1" si="9"/>
        <v>45182</v>
      </c>
      <c r="T61" s="57">
        <f t="shared" ca="1" si="0"/>
        <v>8.9828051189711076</v>
      </c>
      <c r="U61" s="57">
        <f t="shared" ca="1" si="1"/>
        <v>10.7818420483281</v>
      </c>
      <c r="V61" s="57">
        <f t="shared" ca="1" si="2"/>
        <v>0</v>
      </c>
      <c r="W61">
        <f t="shared" ca="1" si="3"/>
        <v>119.62260899914814</v>
      </c>
      <c r="X61">
        <f t="shared" ca="1" si="10"/>
        <v>71.249237455384744</v>
      </c>
      <c r="Y61">
        <f t="shared" ca="1" si="4"/>
        <v>0</v>
      </c>
      <c r="Z61">
        <f t="shared" ca="1" si="5"/>
        <v>6.7257251337578997E-2</v>
      </c>
      <c r="AA61" s="85">
        <f ca="1"/>
        <v>45381</v>
      </c>
      <c r="AB61" s="57">
        <f t="shared" ca="1" si="12"/>
        <v>45381</v>
      </c>
      <c r="AC61" s="57">
        <f t="shared" ca="1" si="13"/>
        <v>70.897445951703403</v>
      </c>
      <c r="AD61" s="57">
        <f t="shared" ca="1" si="14"/>
        <v>16.962161853242598</v>
      </c>
      <c r="AE61" s="57">
        <f t="shared" ca="1" si="15"/>
        <v>0</v>
      </c>
    </row>
    <row r="62" spans="2:31" s="57" customFormat="1" x14ac:dyDescent="0.3">
      <c r="C62" s="63" t="s">
        <v>4</v>
      </c>
      <c r="D62" s="70">
        <f>IF(E62="",CurrentHarvestDate+15,E62)</f>
        <v>45352</v>
      </c>
      <c r="E62" s="69"/>
      <c r="F62" s="63" t="s">
        <v>153</v>
      </c>
      <c r="G62" s="86" t="str">
        <f>IF(H62="",VLOOKUP(FollowingCropFullName,CropCoefficients,13,FALSE),H62)</f>
        <v>Seed</v>
      </c>
      <c r="H62" s="74"/>
      <c r="R62" s="85">
        <f ca="1"/>
        <v>45183</v>
      </c>
      <c r="S62" s="57">
        <f t="shared" ca="1" si="9"/>
        <v>45183</v>
      </c>
      <c r="T62" s="57">
        <f t="shared" ca="1" si="0"/>
        <v>8.752592000957172</v>
      </c>
      <c r="U62" s="57">
        <f t="shared" ca="1" si="1"/>
        <v>11.142866213069899</v>
      </c>
      <c r="V62" s="57">
        <f t="shared" ca="1" si="2"/>
        <v>0</v>
      </c>
      <c r="W62">
        <f t="shared" ca="1" si="3"/>
        <v>120</v>
      </c>
      <c r="X62">
        <f t="shared" ca="1" si="10"/>
        <v>71.641746811209075</v>
      </c>
      <c r="Y62">
        <f t="shared" ca="1" si="4"/>
        <v>0</v>
      </c>
      <c r="Z62">
        <f t="shared" ca="1" si="5"/>
        <v>7.1461688180295496E-2</v>
      </c>
      <c r="AA62" s="85">
        <f ca="1"/>
        <v>45382</v>
      </c>
      <c r="AB62" s="57">
        <f t="shared" ca="1" si="12"/>
        <v>45382</v>
      </c>
      <c r="AC62" s="57">
        <f t="shared" ca="1" si="13"/>
        <v>70.196983769979596</v>
      </c>
      <c r="AD62" s="57">
        <f t="shared" ca="1" si="14"/>
        <v>17.8128361129857</v>
      </c>
      <c r="AE62" s="57">
        <f t="shared" ca="1" si="15"/>
        <v>0</v>
      </c>
    </row>
    <row r="63" spans="2:31" s="57" customFormat="1" x14ac:dyDescent="0.3">
      <c r="C63" s="63" t="s">
        <v>5</v>
      </c>
      <c r="D63" s="70">
        <f>IF(E63="",FollowingEstablishDate+120,E63)</f>
        <v>45472</v>
      </c>
      <c r="E63" s="69"/>
      <c r="F63" s="63" t="s">
        <v>154</v>
      </c>
      <c r="G63" s="86" t="str">
        <f>IF(H63="",VLOOKUP(FollowingCropFullName,CropCoefficients,15,FALSE),H63)</f>
        <v>EarlyReproductive</v>
      </c>
      <c r="H63" s="74"/>
      <c r="R63" s="85">
        <f ca="1"/>
        <v>45184</v>
      </c>
      <c r="S63" s="57">
        <f t="shared" ca="1" si="9"/>
        <v>45184</v>
      </c>
      <c r="T63" s="57">
        <f t="shared" ca="1" si="0"/>
        <v>8.5052444741463944</v>
      </c>
      <c r="U63" s="57">
        <f t="shared" ca="1" si="1"/>
        <v>11.5242489350711</v>
      </c>
      <c r="V63" s="57">
        <f t="shared" ca="1" si="2"/>
        <v>0</v>
      </c>
      <c r="W63">
        <f t="shared" ca="1" si="3"/>
        <v>119.49598882181479</v>
      </c>
      <c r="X63">
        <f t="shared" ca="1" si="10"/>
        <v>71.641746811209075</v>
      </c>
      <c r="Y63">
        <f t="shared" ca="1" si="4"/>
        <v>0</v>
      </c>
      <c r="Z63">
        <f t="shared" ca="1" si="5"/>
        <v>7.6013091481923006E-2</v>
      </c>
      <c r="AA63" s="85">
        <f ca="1"/>
        <v>45383</v>
      </c>
      <c r="AB63" s="57">
        <f t="shared" ca="1" si="12"/>
        <v>45383</v>
      </c>
      <c r="AC63" s="57">
        <f t="shared" ca="1" si="13"/>
        <v>69.478773868276221</v>
      </c>
      <c r="AD63" s="57">
        <f t="shared" ca="1" si="14"/>
        <v>18.6693689387637</v>
      </c>
      <c r="AE63" s="57">
        <f t="shared" ca="1" si="15"/>
        <v>0</v>
      </c>
    </row>
    <row r="64" spans="2:31" s="56" customFormat="1" x14ac:dyDescent="0.3">
      <c r="B64" s="57"/>
      <c r="C64" s="63" t="s">
        <v>144</v>
      </c>
      <c r="D64" s="75" t="str" cm="1">
        <f t="array" ref="D64">IF(FollowingUnits="kg/head",IF(G25="",VLOOKUP(FollowingCropNameFull,CropCoefficients,20,FALSE),G25),"")</f>
        <v/>
      </c>
      <c r="E64" s="74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85">
        <f ca="1"/>
        <v>45185</v>
      </c>
      <c r="S64" s="57">
        <f t="shared" ca="1" si="9"/>
        <v>45185</v>
      </c>
      <c r="T64" s="57">
        <f t="shared" ca="1" si="0"/>
        <v>8.2475739814570446</v>
      </c>
      <c r="U64" s="57">
        <f t="shared" ca="1" si="1"/>
        <v>11.9148374968747</v>
      </c>
      <c r="V64" s="57">
        <f t="shared" ca="1" si="2"/>
        <v>0</v>
      </c>
      <c r="W64">
        <f t="shared" ca="1" si="3"/>
        <v>120</v>
      </c>
      <c r="X64">
        <f t="shared" ca="1" si="10"/>
        <v>71.85695175618541</v>
      </c>
      <c r="Y64">
        <f t="shared" ca="1" si="4"/>
        <v>0</v>
      </c>
      <c r="Z64">
        <f t="shared" ca="1" si="5"/>
        <v>8.0787818404615699E-2</v>
      </c>
      <c r="AA64" s="85">
        <f ca="1"/>
        <v>45384</v>
      </c>
      <c r="AB64" s="57">
        <f t="shared" ca="1" si="12"/>
        <v>45384</v>
      </c>
      <c r="AC64" s="57">
        <f t="shared" ca="1" si="13"/>
        <v>68.678761098861088</v>
      </c>
      <c r="AD64" s="57">
        <f t="shared" ca="1" si="14"/>
        <v>19.620067871692299</v>
      </c>
      <c r="AE64" s="57">
        <f t="shared" ca="1" si="15"/>
        <v>0</v>
      </c>
    </row>
    <row r="65" spans="2:31" s="57" customFormat="1" x14ac:dyDescent="0.3">
      <c r="C65" s="63" t="s">
        <v>105</v>
      </c>
      <c r="D65" s="72">
        <f>IF(E65="",VLOOKUP(FollowingCropFullName,CropCoefficients,17,FALSE),E65)</f>
        <v>10</v>
      </c>
      <c r="E65" s="71"/>
      <c r="F65" s="63" t="s">
        <v>156</v>
      </c>
      <c r="G65" s="87" t="str">
        <f>IF(H65="","None removed",H65)</f>
        <v>None removed</v>
      </c>
      <c r="H65" s="74"/>
      <c r="R65" s="85">
        <f ca="1"/>
        <v>45186</v>
      </c>
      <c r="S65" s="57">
        <f t="shared" ca="1" si="9"/>
        <v>45186</v>
      </c>
      <c r="T65" s="57">
        <f t="shared" ca="1" si="0"/>
        <v>7.9560870932060155</v>
      </c>
      <c r="U65" s="57">
        <f t="shared" ca="1" si="1"/>
        <v>12.3509271915315</v>
      </c>
      <c r="V65" s="57">
        <f t="shared" ca="1" si="2"/>
        <v>0</v>
      </c>
      <c r="W65">
        <f t="shared" ca="1" si="3"/>
        <v>120</v>
      </c>
      <c r="X65">
        <f t="shared" ca="1" si="10"/>
        <v>74.41867653689728</v>
      </c>
      <c r="Y65">
        <f t="shared" ca="1" si="4"/>
        <v>0</v>
      </c>
      <c r="Z65">
        <f t="shared" ca="1" si="5"/>
        <v>8.62498188723307E-2</v>
      </c>
      <c r="AA65" s="85">
        <f ca="1"/>
        <v>45385</v>
      </c>
      <c r="AB65" s="57">
        <f t="shared" ca="1" si="12"/>
        <v>45385</v>
      </c>
      <c r="AC65" s="57">
        <f t="shared" ca="1" si="13"/>
        <v>67.852807781730064</v>
      </c>
      <c r="AD65" s="57">
        <f t="shared" ca="1" si="14"/>
        <v>20.597222905382502</v>
      </c>
      <c r="AE65" s="57">
        <f t="shared" ca="1" si="15"/>
        <v>0</v>
      </c>
    </row>
    <row r="66" spans="2:31" s="57" customFormat="1" x14ac:dyDescent="0.3">
      <c r="C66" s="63" t="s">
        <v>15</v>
      </c>
      <c r="D66" s="86" t="str">
        <f>IF(E66="",VLOOKUP(FollowingCropFullName,CropCoefficients,18,FALSE),E66)</f>
        <v>t/ha</v>
      </c>
      <c r="E66" s="73"/>
      <c r="F66" s="59" t="s">
        <v>169</v>
      </c>
      <c r="G66" s="87" t="str">
        <f>IF(H66="","Full (Plough)",H66)</f>
        <v>Full (Plough)</v>
      </c>
      <c r="H66" s="74"/>
      <c r="R66" s="85">
        <f ca="1"/>
        <v>45187</v>
      </c>
      <c r="S66" s="57">
        <f t="shared" ca="1" si="9"/>
        <v>45187</v>
      </c>
      <c r="T66" s="57">
        <f t="shared" ca="1" si="0"/>
        <v>7.6711866478020028</v>
      </c>
      <c r="U66" s="57">
        <f t="shared" ca="1" si="1"/>
        <v>12.7692575094033</v>
      </c>
      <c r="V66" s="57">
        <f t="shared" ca="1" si="2"/>
        <v>0</v>
      </c>
      <c r="W66">
        <f t="shared" ca="1" si="3"/>
        <v>120</v>
      </c>
      <c r="X66">
        <f t="shared" ca="1" si="10"/>
        <v>76.344560269939521</v>
      </c>
      <c r="Y66">
        <f t="shared" ca="1" si="4"/>
        <v>0</v>
      </c>
      <c r="Z66">
        <f t="shared" ca="1" si="5"/>
        <v>9.1614518146371296E-2</v>
      </c>
      <c r="AA66" s="85">
        <f ca="1"/>
        <v>45386</v>
      </c>
      <c r="AB66" s="57">
        <f t="shared" ca="1" si="12"/>
        <v>45386</v>
      </c>
      <c r="AC66" s="57">
        <f t="shared" ca="1" si="13"/>
        <v>67.049113004829735</v>
      </c>
      <c r="AD66" s="57">
        <f t="shared" ca="1" si="14"/>
        <v>21.538918233530801</v>
      </c>
      <c r="AE66" s="57">
        <f t="shared" ca="1" si="15"/>
        <v>0</v>
      </c>
    </row>
    <row r="67" spans="2:31" x14ac:dyDescent="0.3">
      <c r="B67" s="57"/>
      <c r="C67" s="66" t="str">
        <f>"Yield "&amp;ROUND(FollowingYield_tperHa,0)&amp;" (t/ha)"</f>
        <v>Yield 10 (t/ha)</v>
      </c>
      <c r="D67" s="109" t="str">
        <f ca="1">"Following crop will take up "&amp;ROUND('Model Interface'!R4,0)&amp;" kg N/ha"</f>
        <v>Following crop will take up 149 kg N/ha</v>
      </c>
      <c r="R67" s="85">
        <f ca="1"/>
        <v>45188</v>
      </c>
      <c r="S67" s="57">
        <f t="shared" ca="1" si="9"/>
        <v>45188</v>
      </c>
      <c r="T67" s="57">
        <f t="shared" ca="1" si="0"/>
        <v>7.3956024092075623</v>
      </c>
      <c r="U67" s="57">
        <f t="shared" ca="1" si="1"/>
        <v>13.167878088165001</v>
      </c>
      <c r="V67" s="57">
        <f t="shared" ca="1" si="2"/>
        <v>0</v>
      </c>
      <c r="W67">
        <f t="shared" ca="1" si="3"/>
        <v>120</v>
      </c>
      <c r="X67">
        <f t="shared" ca="1" si="10"/>
        <v>83.139137686536642</v>
      </c>
      <c r="Y67">
        <f t="shared" ca="1" si="4"/>
        <v>0</v>
      </c>
      <c r="Z67">
        <f t="shared" ca="1" si="5"/>
        <v>9.6835998880636306E-2</v>
      </c>
      <c r="AA67" s="85">
        <f ca="1"/>
        <v>45387</v>
      </c>
      <c r="AB67" s="57">
        <f t="shared" ca="1" si="12"/>
        <v>45387</v>
      </c>
      <c r="AC67" s="57">
        <f t="shared" ca="1" si="13"/>
        <v>66.234436864729687</v>
      </c>
      <c r="AD67" s="57">
        <f t="shared" ca="1" si="14"/>
        <v>22.482569167843302</v>
      </c>
      <c r="AE67" s="57">
        <f t="shared" ca="1" si="15"/>
        <v>0</v>
      </c>
    </row>
    <row r="68" spans="2:31" ht="15" thickBot="1" x14ac:dyDescent="0.35">
      <c r="C68" s="129" t="s">
        <v>196</v>
      </c>
      <c r="D68" s="129"/>
      <c r="E68" s="129"/>
      <c r="F68" s="129"/>
      <c r="G68" s="129"/>
      <c r="H68" s="129"/>
      <c r="R68" s="85">
        <f ca="1"/>
        <v>45189</v>
      </c>
      <c r="S68" s="57">
        <f t="shared" ca="1" si="9"/>
        <v>45189</v>
      </c>
      <c r="T68" s="57">
        <f t="shared" ca="1" si="0"/>
        <v>7.1119190583457907</v>
      </c>
      <c r="U68" s="57">
        <f t="shared" ca="1" si="1"/>
        <v>13.5731554962784</v>
      </c>
      <c r="V68" s="57">
        <f t="shared" ca="1" si="2"/>
        <v>0</v>
      </c>
      <c r="W68">
        <f t="shared" ca="1" si="3"/>
        <v>120</v>
      </c>
      <c r="X68">
        <f t="shared" ca="1" si="10"/>
        <v>84.902954677042132</v>
      </c>
      <c r="Y68">
        <f t="shared" ca="1" si="4"/>
        <v>0</v>
      </c>
      <c r="Z68">
        <f t="shared" ca="1" si="5"/>
        <v>0.10224984437189399</v>
      </c>
      <c r="AA68" s="85">
        <f ca="1"/>
        <v>45388</v>
      </c>
      <c r="AB68" s="57">
        <f t="shared" ca="1" si="12"/>
        <v>45388</v>
      </c>
      <c r="AC68" s="57">
        <f t="shared" ca="1" si="13"/>
        <v>65.442602307166254</v>
      </c>
      <c r="AD68" s="57">
        <f t="shared" ca="1" si="14"/>
        <v>23.390313804663101</v>
      </c>
      <c r="AE68" s="57">
        <f t="shared" ca="1" si="15"/>
        <v>0</v>
      </c>
    </row>
    <row r="69" spans="2:31" x14ac:dyDescent="0.3">
      <c r="C69" s="63" t="s">
        <v>159</v>
      </c>
      <c r="D69" s="90">
        <v>50</v>
      </c>
      <c r="E69" s="107"/>
      <c r="R69" s="85">
        <f ca="1"/>
        <v>45190</v>
      </c>
      <c r="S69" s="57">
        <f t="shared" ca="1" si="9"/>
        <v>45190</v>
      </c>
      <c r="T69" s="57">
        <f t="shared" ca="1" si="0"/>
        <v>6.8325245594595998</v>
      </c>
      <c r="U69" s="57">
        <f t="shared" ca="1" si="1"/>
        <v>13.9678592820585</v>
      </c>
      <c r="V69" s="57">
        <f t="shared" ca="1" si="2"/>
        <v>0</v>
      </c>
      <c r="W69">
        <f t="shared" ca="1" si="3"/>
        <v>119.66018355130257</v>
      </c>
      <c r="X69">
        <f t="shared" ca="1" si="10"/>
        <v>84.902954677042132</v>
      </c>
      <c r="Y69">
        <f t="shared" ca="1" si="4"/>
        <v>0</v>
      </c>
      <c r="Z69">
        <f t="shared" ca="1" si="5"/>
        <v>0.107620115653545</v>
      </c>
      <c r="AA69" s="85">
        <f ca="1"/>
        <v>45389</v>
      </c>
      <c r="AB69" s="57">
        <f t="shared" ca="1" si="12"/>
        <v>45389</v>
      </c>
      <c r="AC69" s="57">
        <f t="shared" ca="1" si="13"/>
        <v>64.584930543973144</v>
      </c>
      <c r="AD69" s="57">
        <f t="shared" ca="1" si="14"/>
        <v>24.373218056889201</v>
      </c>
      <c r="AE69" s="57">
        <f t="shared" ca="1" si="15"/>
        <v>0</v>
      </c>
    </row>
    <row r="70" spans="2:31" x14ac:dyDescent="0.3">
      <c r="C70" s="63" t="s">
        <v>160</v>
      </c>
      <c r="D70" s="86">
        <f>IF(E70="",30,E70)</f>
        <v>30</v>
      </c>
      <c r="E70" s="71"/>
      <c r="R70" s="85">
        <f ca="1"/>
        <v>45191</v>
      </c>
      <c r="S70" s="57">
        <f t="shared" ca="1" si="9"/>
        <v>45191</v>
      </c>
      <c r="T70" s="57">
        <f t="shared" ca="1" si="0"/>
        <v>6.5334622949518533</v>
      </c>
      <c r="U70" s="57">
        <f t="shared" ca="1" si="1"/>
        <v>14.385738118249</v>
      </c>
      <c r="V70" s="57">
        <f t="shared" ca="1" si="2"/>
        <v>0</v>
      </c>
      <c r="W70">
        <f t="shared" ca="1" si="3"/>
        <v>120</v>
      </c>
      <c r="X70">
        <f t="shared" ca="1" si="10"/>
        <v>86.188160678058082</v>
      </c>
      <c r="Y70">
        <f t="shared" ca="1" si="4"/>
        <v>0</v>
      </c>
      <c r="Z70">
        <f t="shared" ca="1" si="5"/>
        <v>0.113406046533025</v>
      </c>
      <c r="AA70" s="85">
        <f ca="1"/>
        <v>45390</v>
      </c>
      <c r="AB70" s="57">
        <f t="shared" ca="1" si="12"/>
        <v>45390</v>
      </c>
      <c r="AC70" s="57">
        <f t="shared" ca="1" si="13"/>
        <v>63.660263897431122</v>
      </c>
      <c r="AD70" s="57">
        <f t="shared" ca="1" si="14"/>
        <v>25.431281060908699</v>
      </c>
      <c r="AE70" s="57">
        <f t="shared" ca="1" si="15"/>
        <v>0</v>
      </c>
    </row>
    <row r="71" spans="2:31" x14ac:dyDescent="0.3">
      <c r="C71" s="63" t="s">
        <v>161</v>
      </c>
      <c r="D71" s="86">
        <f>IF(E71="",80,E71)</f>
        <v>80</v>
      </c>
      <c r="E71" s="71"/>
      <c r="R71" s="85">
        <f ca="1"/>
        <v>45192</v>
      </c>
      <c r="S71" s="57">
        <f t="shared" ca="1" si="9"/>
        <v>45192</v>
      </c>
      <c r="T71" s="57">
        <f t="shared" ca="1" si="0"/>
        <v>6.1982731605465631</v>
      </c>
      <c r="U71" s="57">
        <f t="shared" ca="1" si="1"/>
        <v>14.849276685026</v>
      </c>
      <c r="V71" s="57">
        <f t="shared" ca="1" si="2"/>
        <v>0</v>
      </c>
      <c r="W71">
        <f t="shared" ca="1" si="3"/>
        <v>119.660706003218</v>
      </c>
      <c r="X71">
        <f t="shared" ca="1" si="10"/>
        <v>86.188160678058082</v>
      </c>
      <c r="Y71">
        <f t="shared" ca="1" si="4"/>
        <v>0</v>
      </c>
      <c r="Z71">
        <f t="shared" ca="1" si="5"/>
        <v>0.11993895408461799</v>
      </c>
      <c r="AA71" s="85">
        <f ca="1"/>
        <v>45391</v>
      </c>
      <c r="AB71" s="57">
        <f t="shared" ca="1" si="12"/>
        <v>45391</v>
      </c>
      <c r="AC71" s="57">
        <f t="shared" ca="1" si="13"/>
        <v>62.690405112033773</v>
      </c>
      <c r="AD71" s="57">
        <f t="shared" ca="1" si="14"/>
        <v>26.5385517384899</v>
      </c>
      <c r="AE71" s="57">
        <f t="shared" ca="1" si="15"/>
        <v>0</v>
      </c>
    </row>
    <row r="72" spans="2:31" x14ac:dyDescent="0.3">
      <c r="C72" s="63" t="s">
        <v>213</v>
      </c>
      <c r="D72" s="86">
        <f>IF(E72="",120,E72)</f>
        <v>120</v>
      </c>
      <c r="E72" s="71"/>
      <c r="R72" s="85">
        <f ca="1"/>
        <v>45193</v>
      </c>
      <c r="S72" s="57">
        <f t="shared" ca="1" si="9"/>
        <v>45193</v>
      </c>
      <c r="T72" s="57">
        <f t="shared" ca="1" si="0"/>
        <v>5.8280437862033949</v>
      </c>
      <c r="U72" s="57">
        <f t="shared" ca="1" si="1"/>
        <v>15.3563188171936</v>
      </c>
      <c r="V72" s="57">
        <f t="shared" ca="1" si="2"/>
        <v>0</v>
      </c>
      <c r="W72">
        <f t="shared" ca="1" si="3"/>
        <v>120</v>
      </c>
      <c r="X72">
        <f t="shared" ca="1" si="10"/>
        <v>89.694158335422031</v>
      </c>
      <c r="Y72">
        <f t="shared" ca="1" si="4"/>
        <v>0</v>
      </c>
      <c r="Z72">
        <f t="shared" ca="1" si="5"/>
        <v>0.127215364727256</v>
      </c>
      <c r="AA72" s="85">
        <f ca="1"/>
        <v>45392</v>
      </c>
      <c r="AB72" s="57">
        <f t="shared" ca="1" si="12"/>
        <v>45392</v>
      </c>
      <c r="AC72" s="57">
        <f t="shared" ca="1" si="13"/>
        <v>61.696944606240407</v>
      </c>
      <c r="AD72" s="57">
        <f t="shared" ca="1" si="14"/>
        <v>27.664825145104899</v>
      </c>
      <c r="AE72" s="57">
        <f t="shared" ca="1" si="15"/>
        <v>0</v>
      </c>
    </row>
    <row r="73" spans="2:31" x14ac:dyDescent="0.3">
      <c r="R73" s="85">
        <f ca="1"/>
        <v>45194</v>
      </c>
      <c r="S73" s="57">
        <f t="shared" ca="1" si="9"/>
        <v>45194</v>
      </c>
      <c r="T73" s="57">
        <f t="shared" ca="1" si="0"/>
        <v>5.4271376843447214</v>
      </c>
      <c r="U73" s="57">
        <f t="shared" ca="1" si="1"/>
        <v>15.899999523232101</v>
      </c>
      <c r="V73" s="57">
        <f t="shared" ca="1" si="2"/>
        <v>0</v>
      </c>
      <c r="W73">
        <f t="shared" ca="1" si="3"/>
        <v>119.39970180021419</v>
      </c>
      <c r="X73">
        <f t="shared" ca="1" si="10"/>
        <v>89.694158335422031</v>
      </c>
      <c r="Y73">
        <f t="shared" ca="1" si="4"/>
        <v>0</v>
      </c>
      <c r="Z73">
        <f t="shared" ca="1" si="5"/>
        <v>0.135158917685019</v>
      </c>
      <c r="AA73" s="85">
        <f ca="1"/>
        <v>45393</v>
      </c>
      <c r="AB73" s="57">
        <f t="shared" ca="1" si="12"/>
        <v>45393</v>
      </c>
      <c r="AC73" s="57">
        <f t="shared" ca="1" si="13"/>
        <v>60.602430388326113</v>
      </c>
      <c r="AD73" s="57">
        <f t="shared" ca="1" si="14"/>
        <v>28.9041996749202</v>
      </c>
      <c r="AE73" s="57">
        <f t="shared" ca="1" si="15"/>
        <v>0</v>
      </c>
    </row>
    <row r="74" spans="2:31" x14ac:dyDescent="0.3">
      <c r="R74" s="85">
        <f ca="1"/>
        <v>45195</v>
      </c>
      <c r="S74" s="57">
        <f t="shared" ca="1" si="9"/>
        <v>45195</v>
      </c>
      <c r="T74" s="57">
        <f t="shared" ca="1" si="0"/>
        <v>5.0236763239138753</v>
      </c>
      <c r="U74" s="57">
        <f t="shared" ca="1" si="1"/>
        <v>16.440726085644101</v>
      </c>
      <c r="V74" s="57">
        <f t="shared" ca="1" si="2"/>
        <v>0</v>
      </c>
      <c r="W74">
        <f t="shared" ca="1" si="3"/>
        <v>118.25031433445481</v>
      </c>
      <c r="X74">
        <f t="shared" ca="1" si="10"/>
        <v>89.694158335422031</v>
      </c>
      <c r="Y74">
        <f t="shared" ca="1" si="4"/>
        <v>0</v>
      </c>
      <c r="Z74">
        <f t="shared" ca="1" si="5"/>
        <v>0.143193600899541</v>
      </c>
      <c r="AA74" s="85">
        <f ca="1"/>
        <v>45394</v>
      </c>
      <c r="AB74" s="57">
        <f t="shared" ca="1" si="12"/>
        <v>45394</v>
      </c>
      <c r="AC74" s="57">
        <f t="shared" ca="1" si="13"/>
        <v>59.50271906702956</v>
      </c>
      <c r="AD74" s="57">
        <f t="shared" ca="1" si="14"/>
        <v>30.146381168701801</v>
      </c>
      <c r="AE74" s="57">
        <f t="shared" ca="1" si="15"/>
        <v>0</v>
      </c>
    </row>
    <row r="75" spans="2:31" x14ac:dyDescent="0.3">
      <c r="R75" s="85">
        <f ca="1"/>
        <v>45196</v>
      </c>
      <c r="S75" s="57">
        <f t="shared" ca="1" si="9"/>
        <v>45196</v>
      </c>
      <c r="T75" s="57">
        <f t="shared" ca="1" si="0"/>
        <v>4.5909863175409811</v>
      </c>
      <c r="U75" s="57">
        <f t="shared" ca="1" si="1"/>
        <v>17.0153627345533</v>
      </c>
      <c r="V75" s="57">
        <f t="shared" ca="1" si="2"/>
        <v>0</v>
      </c>
      <c r="W75">
        <f t="shared" ca="1" si="3"/>
        <v>116.88211222553159</v>
      </c>
      <c r="X75">
        <f t="shared" ca="1" si="10"/>
        <v>89.694158335422031</v>
      </c>
      <c r="Y75">
        <f t="shared" ca="1" si="4"/>
        <v>0</v>
      </c>
      <c r="Z75">
        <f t="shared" ca="1" si="5"/>
        <v>0.15186665552703399</v>
      </c>
      <c r="AA75" s="85">
        <f ca="1"/>
        <v>45395</v>
      </c>
      <c r="AB75" s="57">
        <f t="shared" ca="1" si="12"/>
        <v>45395</v>
      </c>
      <c r="AC75" s="57">
        <f t="shared" ca="1" si="13"/>
        <v>58.453906841224097</v>
      </c>
      <c r="AD75" s="57">
        <f t="shared" ca="1" si="14"/>
        <v>31.327374365003401</v>
      </c>
      <c r="AE75" s="57">
        <f t="shared" ca="1" si="15"/>
        <v>0</v>
      </c>
    </row>
    <row r="76" spans="2:31" x14ac:dyDescent="0.3">
      <c r="R76" s="85">
        <f ca="1"/>
        <v>45197</v>
      </c>
      <c r="S76" s="57">
        <f t="shared" ca="1" si="9"/>
        <v>45197</v>
      </c>
      <c r="T76" s="57">
        <f t="shared" ca="1" si="0"/>
        <v>4.1305871021834548</v>
      </c>
      <c r="U76" s="57">
        <f t="shared" ca="1" si="1"/>
        <v>17.621285902956298</v>
      </c>
      <c r="V76" s="57">
        <f t="shared" ca="1" si="2"/>
        <v>0</v>
      </c>
      <c r="W76">
        <f t="shared" ca="1" si="3"/>
        <v>119.94564688199181</v>
      </c>
      <c r="X76">
        <f t="shared" ca="1" si="10"/>
        <v>89.694158335422031</v>
      </c>
      <c r="Y76">
        <f t="shared" ca="1" si="4"/>
        <v>0</v>
      </c>
      <c r="Z76">
        <f t="shared" ca="1" si="5"/>
        <v>0.161147872415561</v>
      </c>
      <c r="AA76" s="85">
        <f ca="1"/>
        <v>45396</v>
      </c>
      <c r="AB76" s="57">
        <f t="shared" ca="1" si="12"/>
        <v>45396</v>
      </c>
      <c r="AC76" s="57">
        <f t="shared" ca="1" si="13"/>
        <v>57.34382620109119</v>
      </c>
      <c r="AD76" s="57">
        <f t="shared" ca="1" si="14"/>
        <v>32.570367766593897</v>
      </c>
      <c r="AE76" s="57">
        <f t="shared" ca="1" si="15"/>
        <v>0</v>
      </c>
    </row>
    <row r="77" spans="2:31" x14ac:dyDescent="0.3">
      <c r="R77" s="85">
        <f ca="1"/>
        <v>45198</v>
      </c>
      <c r="S77" s="57">
        <f t="shared" ca="1" si="9"/>
        <v>45198</v>
      </c>
      <c r="T77" s="57">
        <f t="shared" ca="1" si="0"/>
        <v>3.6391584424805217</v>
      </c>
      <c r="U77" s="57">
        <f t="shared" ca="1" si="1"/>
        <v>18.262483062605298</v>
      </c>
      <c r="V77" s="57">
        <f t="shared" ca="1" si="2"/>
        <v>0</v>
      </c>
      <c r="W77">
        <f t="shared" ca="1" si="3"/>
        <v>119.78975742411082</v>
      </c>
      <c r="X77">
        <f t="shared" ca="1" si="10"/>
        <v>89.694158335422031</v>
      </c>
      <c r="Y77">
        <f t="shared" ca="1" si="4"/>
        <v>0</v>
      </c>
      <c r="Z77">
        <f t="shared" ca="1" si="5"/>
        <v>0.17110476257493201</v>
      </c>
      <c r="AA77" s="85">
        <f ca="1"/>
        <v>45397</v>
      </c>
      <c r="AB77" s="57">
        <f t="shared" ca="1" si="12"/>
        <v>45397</v>
      </c>
      <c r="AC77" s="57">
        <f t="shared" ca="1" si="13"/>
        <v>56.191448476581314</v>
      </c>
      <c r="AD77" s="57">
        <f t="shared" ca="1" si="14"/>
        <v>33.865503767727297</v>
      </c>
      <c r="AE77" s="57">
        <f t="shared" ca="1" si="15"/>
        <v>0</v>
      </c>
    </row>
    <row r="78" spans="2:31" x14ac:dyDescent="0.3">
      <c r="R78" s="85">
        <f ca="1"/>
        <v>45199</v>
      </c>
      <c r="S78" s="57">
        <f t="shared" ca="1" si="9"/>
        <v>45199</v>
      </c>
      <c r="T78" s="57">
        <f t="shared" ca="1" si="0"/>
        <v>3.1326741314367439</v>
      </c>
      <c r="U78" s="57">
        <f t="shared" ca="1" si="1"/>
        <v>18.916987277450399</v>
      </c>
      <c r="V78" s="57">
        <f t="shared" ca="1" si="2"/>
        <v>0</v>
      </c>
      <c r="W78">
        <f t="shared" ca="1" si="3"/>
        <v>120</v>
      </c>
      <c r="X78">
        <f t="shared" ca="1" si="10"/>
        <v>92.657499501995972</v>
      </c>
      <c r="Y78">
        <f t="shared" ca="1" si="4"/>
        <v>0</v>
      </c>
      <c r="Z78">
        <f t="shared" ca="1" si="5"/>
        <v>0.181393690404999</v>
      </c>
      <c r="AA78" s="85">
        <f ca="1"/>
        <v>45398</v>
      </c>
      <c r="AB78" s="57">
        <f t="shared" ca="1" si="12"/>
        <v>45398</v>
      </c>
      <c r="AC78" s="57">
        <f t="shared" ca="1" si="13"/>
        <v>55.025263139058623</v>
      </c>
      <c r="AD78" s="57">
        <f t="shared" ca="1" si="14"/>
        <v>35.173417800412899</v>
      </c>
      <c r="AE78" s="57">
        <f t="shared" ca="1" si="15"/>
        <v>0</v>
      </c>
    </row>
    <row r="79" spans="2:31" x14ac:dyDescent="0.3">
      <c r="R79" s="85">
        <f ca="1"/>
        <v>45200</v>
      </c>
      <c r="S79" s="57">
        <f t="shared" ca="1" si="9"/>
        <v>45200</v>
      </c>
      <c r="T79" s="57">
        <f t="shared" ca="1" si="0"/>
        <v>50</v>
      </c>
      <c r="U79" s="57">
        <f t="shared" ca="1" si="1"/>
        <v>19.544053106673498</v>
      </c>
      <c r="V79" s="57">
        <f t="shared" ca="1" si="2"/>
        <v>0</v>
      </c>
      <c r="W79">
        <f t="shared" ca="1" si="3"/>
        <v>119.88264966558708</v>
      </c>
      <c r="X79">
        <f t="shared" ca="1" si="10"/>
        <v>92.657499501995972</v>
      </c>
      <c r="Y79">
        <f t="shared" ca="1" si="4"/>
        <v>0</v>
      </c>
      <c r="Z79">
        <f t="shared" ca="1" si="5"/>
        <v>0.19135300308919001</v>
      </c>
      <c r="AA79" s="85">
        <f ca="1"/>
        <v>45399</v>
      </c>
      <c r="AB79" s="57">
        <f t="shared" ca="1" si="12"/>
        <v>45399</v>
      </c>
      <c r="AC79" s="57">
        <f t="shared" ca="1" si="13"/>
        <v>53.817367989641951</v>
      </c>
      <c r="AD79" s="57">
        <f t="shared" ca="1" si="14"/>
        <v>36.524162029288</v>
      </c>
      <c r="AE79" s="57">
        <f t="shared" ca="1" si="15"/>
        <v>0</v>
      </c>
    </row>
    <row r="80" spans="2:31" x14ac:dyDescent="0.3">
      <c r="R80" s="85">
        <f ca="1"/>
        <v>45201</v>
      </c>
      <c r="S80" s="57">
        <f t="shared" ca="1" si="9"/>
        <v>45201</v>
      </c>
      <c r="T80" s="57">
        <f t="shared" ca="1" si="0"/>
        <v>49.475966902202032</v>
      </c>
      <c r="U80" s="57">
        <f t="shared" ca="1" si="1"/>
        <v>20.209451382862301</v>
      </c>
      <c r="V80" s="57">
        <f t="shared" ca="1" si="2"/>
        <v>0</v>
      </c>
      <c r="W80">
        <f t="shared" ca="1" si="3"/>
        <v>120</v>
      </c>
      <c r="X80">
        <f t="shared" ca="1" si="10"/>
        <v>92.705234216535288</v>
      </c>
      <c r="Y80">
        <f t="shared" ca="1" si="4"/>
        <v>0</v>
      </c>
      <c r="Z80">
        <f t="shared" ca="1" si="5"/>
        <v>0.20201183252080501</v>
      </c>
      <c r="AA80" s="85">
        <f ca="1"/>
        <v>45400</v>
      </c>
      <c r="AB80" s="57">
        <f t="shared" ca="1" si="12"/>
        <v>45400</v>
      </c>
      <c r="AC80" s="57">
        <f t="shared" ca="1" si="13"/>
        <v>52.636721288887543</v>
      </c>
      <c r="AD80" s="57">
        <f t="shared" ca="1" si="14"/>
        <v>37.8381210409324</v>
      </c>
      <c r="AE80" s="57">
        <f t="shared" ca="1" si="15"/>
        <v>0</v>
      </c>
    </row>
    <row r="81" spans="18:31" x14ac:dyDescent="0.3">
      <c r="R81" s="85">
        <f ca="1"/>
        <v>45202</v>
      </c>
      <c r="S81" s="57">
        <f t="shared" ca="1" si="9"/>
        <v>45202</v>
      </c>
      <c r="T81" s="57">
        <f t="shared" ca="1" si="0"/>
        <v>48.891502550692202</v>
      </c>
      <c r="U81" s="57">
        <f t="shared" ca="1" si="1"/>
        <v>20.947563913165201</v>
      </c>
      <c r="V81" s="57">
        <f t="shared" ca="1" si="2"/>
        <v>0</v>
      </c>
      <c r="W81">
        <f t="shared" ca="1" si="3"/>
        <v>120</v>
      </c>
      <c r="X81">
        <f t="shared" ca="1" si="10"/>
        <v>94.344313328192158</v>
      </c>
      <c r="Y81">
        <f t="shared" ca="1" si="4"/>
        <v>0</v>
      </c>
      <c r="Z81">
        <f t="shared" ca="1" si="5"/>
        <v>0.21392249792111201</v>
      </c>
      <c r="AA81" s="85">
        <f ca="1"/>
        <v>45401</v>
      </c>
      <c r="AB81" s="57">
        <f t="shared" ca="1" si="12"/>
        <v>45401</v>
      </c>
      <c r="AC81" s="57">
        <f t="shared" ca="1" si="13"/>
        <v>51.294188210373903</v>
      </c>
      <c r="AD81" s="57">
        <f t="shared" ca="1" si="14"/>
        <v>39.329071482943398</v>
      </c>
      <c r="AE81" s="57">
        <f t="shared" ca="1" si="15"/>
        <v>0</v>
      </c>
    </row>
    <row r="82" spans="18:31" x14ac:dyDescent="0.3">
      <c r="R82" s="85">
        <f ca="1"/>
        <v>45203</v>
      </c>
      <c r="S82" s="57">
        <f t="shared" ca="1" si="9"/>
        <v>45203</v>
      </c>
      <c r="T82" s="57">
        <f t="shared" ref="T82:T145" ca="1" si="19">VLOOKUP(S82,ModelOutputs,2,FALSE)</f>
        <v>48.33029833026859</v>
      </c>
      <c r="U82" s="57">
        <f t="shared" ref="U82:U145" ca="1" si="20">VLOOKUP(S82,ModelOutputs,7,FALSE)</f>
        <v>21.6492482370479</v>
      </c>
      <c r="V82" s="57">
        <f t="shared" ref="V82:V145" ca="1" si="21">VLOOKUP(S82,ModelOutputs,6,FALSE)</f>
        <v>0</v>
      </c>
      <c r="W82">
        <f t="shared" ref="W82:W145" ca="1" si="22">VLOOKUP(S82,ModelOutputs,10,FALSE)*AWC</f>
        <v>118.90817278094505</v>
      </c>
      <c r="X82">
        <f t="shared" ca="1" si="10"/>
        <v>94.344313328192158</v>
      </c>
      <c r="Y82">
        <f t="shared" ref="Y82:Y145" ca="1" si="23">VLOOKUP(S82,ModelOutputs,12,FALSE)</f>
        <v>0</v>
      </c>
      <c r="Z82">
        <f t="shared" ref="Z82:Z145" ca="1" si="24">VLOOKUP(S82,ModelOutputs,13,FALSE)</f>
        <v>0.22530844564661801</v>
      </c>
      <c r="AA82" s="85">
        <f ca="1"/>
        <v>45402</v>
      </c>
      <c r="AB82" s="57">
        <f t="shared" ca="1" si="12"/>
        <v>45402</v>
      </c>
      <c r="AC82" s="57">
        <f t="shared" ca="1" si="13"/>
        <v>49.910437751592212</v>
      </c>
      <c r="AD82" s="57">
        <f t="shared" ca="1" si="14"/>
        <v>40.861578083916697</v>
      </c>
      <c r="AE82" s="57">
        <f t="shared" ca="1" si="15"/>
        <v>0</v>
      </c>
    </row>
    <row r="83" spans="18:31" x14ac:dyDescent="0.3">
      <c r="R83" s="85">
        <f ca="1"/>
        <v>45204</v>
      </c>
      <c r="S83" s="57">
        <f t="shared" ref="S83:S146" ca="1" si="25">IF(R83&gt;1,R83,"")</f>
        <v>45204</v>
      </c>
      <c r="T83" s="57">
        <f t="shared" ca="1" si="19"/>
        <v>47.752063420923051</v>
      </c>
      <c r="U83" s="57">
        <f t="shared" ca="1" si="20"/>
        <v>22.367257257281199</v>
      </c>
      <c r="V83" s="57">
        <f t="shared" ca="1" si="21"/>
        <v>0</v>
      </c>
      <c r="W83">
        <f t="shared" ca="1" si="22"/>
        <v>118.7759387666416</v>
      </c>
      <c r="X83">
        <f t="shared" ref="X83:X146" ca="1" si="26">VLOOKUP(S83,ModelOutputs,11,FALSE)+X82</f>
        <v>94.344313328192158</v>
      </c>
      <c r="Y83">
        <f t="shared" ca="1" si="23"/>
        <v>0</v>
      </c>
      <c r="Z83">
        <f t="shared" ca="1" si="24"/>
        <v>0.23700124753971</v>
      </c>
      <c r="AA83" s="85">
        <f ca="1"/>
        <v>45403</v>
      </c>
      <c r="AB83" s="57">
        <f t="shared" ca="1" si="12"/>
        <v>45403</v>
      </c>
      <c r="AC83" s="57">
        <f t="shared" ca="1" si="13"/>
        <v>48.549693546870458</v>
      </c>
      <c r="AD83" s="57">
        <f t="shared" ca="1" si="14"/>
        <v>42.361002451896397</v>
      </c>
      <c r="AE83" s="57">
        <f t="shared" ca="1" si="15"/>
        <v>0</v>
      </c>
    </row>
    <row r="84" spans="18:31" x14ac:dyDescent="0.3">
      <c r="R84" s="85">
        <f ca="1"/>
        <v>45205</v>
      </c>
      <c r="S84" s="57">
        <f t="shared" ca="1" si="25"/>
        <v>45205</v>
      </c>
      <c r="T84" s="57">
        <f t="shared" ca="1" si="19"/>
        <v>47.157199651327176</v>
      </c>
      <c r="U84" s="57">
        <f t="shared" ca="1" si="20"/>
        <v>23.101085505639698</v>
      </c>
      <c r="V84" s="57">
        <f t="shared" ca="1" si="21"/>
        <v>0</v>
      </c>
      <c r="W84">
        <f t="shared" ca="1" si="22"/>
        <v>117.70682476684362</v>
      </c>
      <c r="X84">
        <f t="shared" ca="1" si="26"/>
        <v>94.344313328192158</v>
      </c>
      <c r="Y84">
        <f t="shared" ca="1" si="23"/>
        <v>0</v>
      </c>
      <c r="Z84">
        <f t="shared" ca="1" si="24"/>
        <v>0.248973797645821</v>
      </c>
      <c r="AA84" s="85">
        <f ca="1"/>
        <v>45404</v>
      </c>
      <c r="AB84" s="57">
        <f t="shared" ca="1" si="12"/>
        <v>45404</v>
      </c>
      <c r="AC84" s="57">
        <f t="shared" ca="1" si="13"/>
        <v>47.115366380559237</v>
      </c>
      <c r="AD84" s="57">
        <f t="shared" ca="1" si="14"/>
        <v>43.935482892164799</v>
      </c>
      <c r="AE84" s="57">
        <f t="shared" ca="1" si="15"/>
        <v>0</v>
      </c>
    </row>
    <row r="85" spans="18:31" x14ac:dyDescent="0.3">
      <c r="R85" s="85">
        <f ca="1"/>
        <v>45206</v>
      </c>
      <c r="S85" s="57">
        <f t="shared" ca="1" si="25"/>
        <v>45206</v>
      </c>
      <c r="T85" s="57">
        <f t="shared" ca="1" si="19"/>
        <v>46.527030919537083</v>
      </c>
      <c r="U85" s="57">
        <f t="shared" ca="1" si="20"/>
        <v>23.8740887943265</v>
      </c>
      <c r="V85" s="57">
        <f t="shared" ca="1" si="21"/>
        <v>0</v>
      </c>
      <c r="W85">
        <f t="shared" ca="1" si="22"/>
        <v>116.7490661815754</v>
      </c>
      <c r="X85">
        <f t="shared" ca="1" si="26"/>
        <v>94.344313328192158</v>
      </c>
      <c r="Y85">
        <f t="shared" ca="1" si="23"/>
        <v>0</v>
      </c>
      <c r="Z85">
        <f t="shared" ca="1" si="24"/>
        <v>0.26158628835345699</v>
      </c>
      <c r="AA85" s="85">
        <f ca="1"/>
        <v>45405</v>
      </c>
      <c r="AB85" s="57">
        <f t="shared" ref="AB85:AB148" ca="1" si="27">IF(AA85&gt;1,AA85,"")</f>
        <v>45405</v>
      </c>
      <c r="AC85" s="57">
        <f t="shared" ref="AC85:AC148" ca="1" si="28">VLOOKUP(AB85,ModelOutputs,2,FALSE)</f>
        <v>45.546294517049546</v>
      </c>
      <c r="AD85" s="57">
        <f t="shared" ref="AD85:AD148" ca="1" si="29">VLOOKUP(AB85,ModelOutputs,7,FALSE)</f>
        <v>45.657196664896098</v>
      </c>
      <c r="AE85" s="57">
        <f t="shared" ref="AE85:AE148" ca="1" si="30">VLOOKUP(AB85,ModelOutputs,6,FALSE)</f>
        <v>0</v>
      </c>
    </row>
    <row r="86" spans="18:31" x14ac:dyDescent="0.3">
      <c r="R86" s="85">
        <f ca="1"/>
        <v>45207</v>
      </c>
      <c r="S86" s="57">
        <f t="shared" ca="1" si="25"/>
        <v>45207</v>
      </c>
      <c r="T86" s="57">
        <f t="shared" ca="1" si="19"/>
        <v>45.889767477101678</v>
      </c>
      <c r="U86" s="57">
        <f t="shared" ca="1" si="20"/>
        <v>24.650786765624101</v>
      </c>
      <c r="V86" s="57">
        <f t="shared" ca="1" si="21"/>
        <v>0</v>
      </c>
      <c r="W86">
        <f t="shared" ca="1" si="22"/>
        <v>118.88029712525636</v>
      </c>
      <c r="X86">
        <f t="shared" ca="1" si="26"/>
        <v>94.344313328192158</v>
      </c>
      <c r="Y86">
        <f t="shared" ca="1" si="23"/>
        <v>0</v>
      </c>
      <c r="Z86">
        <f t="shared" ca="1" si="24"/>
        <v>0.2742363517159</v>
      </c>
      <c r="AA86" s="85">
        <f ca="1"/>
        <v>45406</v>
      </c>
      <c r="AB86" s="57">
        <f t="shared" ca="1" si="27"/>
        <v>45406</v>
      </c>
      <c r="AC86" s="57">
        <f t="shared" ca="1" si="28"/>
        <v>43.984881777696216</v>
      </c>
      <c r="AD86" s="57">
        <f t="shared" ca="1" si="29"/>
        <v>47.375603536003403</v>
      </c>
      <c r="AE86" s="57">
        <f t="shared" ca="1" si="30"/>
        <v>0</v>
      </c>
    </row>
    <row r="87" spans="18:31" x14ac:dyDescent="0.3">
      <c r="R87" s="85">
        <f ca="1"/>
        <v>45208</v>
      </c>
      <c r="S87" s="57">
        <f t="shared" ca="1" si="25"/>
        <v>45208</v>
      </c>
      <c r="T87" s="57">
        <f t="shared" ca="1" si="19"/>
        <v>45.250950096857679</v>
      </c>
      <c r="U87" s="57">
        <f t="shared" ca="1" si="20"/>
        <v>25.4246911451493</v>
      </c>
      <c r="V87" s="57">
        <f t="shared" ca="1" si="21"/>
        <v>0</v>
      </c>
      <c r="W87">
        <f t="shared" ca="1" si="22"/>
        <v>118.79573338701675</v>
      </c>
      <c r="X87">
        <f t="shared" ca="1" si="26"/>
        <v>94.344313328192158</v>
      </c>
      <c r="Y87">
        <f t="shared" ca="1" si="23"/>
        <v>0</v>
      </c>
      <c r="Z87">
        <f t="shared" ca="1" si="24"/>
        <v>0.286795789032675</v>
      </c>
      <c r="AA87" s="85">
        <f ca="1"/>
        <v>45407</v>
      </c>
      <c r="AB87" s="57">
        <f t="shared" ca="1" si="27"/>
        <v>45407</v>
      </c>
      <c r="AC87" s="57">
        <f t="shared" ca="1" si="28"/>
        <v>42.432344099786619</v>
      </c>
      <c r="AD87" s="57">
        <f t="shared" ca="1" si="29"/>
        <v>49.0773809407697</v>
      </c>
      <c r="AE87" s="57">
        <f t="shared" ca="1" si="30"/>
        <v>0</v>
      </c>
    </row>
    <row r="88" spans="18:31" x14ac:dyDescent="0.3">
      <c r="R88" s="85">
        <f ca="1"/>
        <v>45209</v>
      </c>
      <c r="S88" s="57">
        <f t="shared" ca="1" si="25"/>
        <v>45209</v>
      </c>
      <c r="T88" s="57">
        <f t="shared" ca="1" si="19"/>
        <v>44.604789518850581</v>
      </c>
      <c r="U88" s="57">
        <f t="shared" ca="1" si="20"/>
        <v>26.203277391386401</v>
      </c>
      <c r="V88" s="57">
        <f t="shared" ca="1" si="21"/>
        <v>0</v>
      </c>
      <c r="W88">
        <f t="shared" ca="1" si="22"/>
        <v>119.22456257034219</v>
      </c>
      <c r="X88">
        <f t="shared" ca="1" si="26"/>
        <v>94.344313328192158</v>
      </c>
      <c r="Y88">
        <f t="shared" ca="1" si="23"/>
        <v>0</v>
      </c>
      <c r="Z88">
        <f t="shared" ca="1" si="24"/>
        <v>0.29936450258995301</v>
      </c>
      <c r="AA88" s="85">
        <f ca="1"/>
        <v>45408</v>
      </c>
      <c r="AB88" s="57">
        <f t="shared" ca="1" si="27"/>
        <v>45408</v>
      </c>
      <c r="AC88" s="57">
        <f t="shared" ca="1" si="28"/>
        <v>40.747330239321826</v>
      </c>
      <c r="AD88" s="57">
        <f t="shared" ca="1" si="29"/>
        <v>50.928019181806398</v>
      </c>
      <c r="AE88" s="57">
        <f t="shared" ca="1" si="30"/>
        <v>0</v>
      </c>
    </row>
    <row r="89" spans="18:31" x14ac:dyDescent="0.3">
      <c r="R89" s="85">
        <f ca="1"/>
        <v>45210</v>
      </c>
      <c r="S89" s="57">
        <f t="shared" ca="1" si="25"/>
        <v>45210</v>
      </c>
      <c r="T89" s="57">
        <f t="shared" ca="1" si="19"/>
        <v>43.872344538616915</v>
      </c>
      <c r="U89" s="57">
        <f t="shared" ca="1" si="20"/>
        <v>27.082925471237001</v>
      </c>
      <c r="V89" s="57">
        <f t="shared" ca="1" si="21"/>
        <v>0</v>
      </c>
      <c r="W89">
        <f t="shared" ca="1" si="22"/>
        <v>120</v>
      </c>
      <c r="X89">
        <f t="shared" ca="1" si="26"/>
        <v>94.665711340842961</v>
      </c>
      <c r="Y89">
        <f t="shared" ca="1" si="23"/>
        <v>0</v>
      </c>
      <c r="Z89">
        <f t="shared" ca="1" si="24"/>
        <v>0.31345930639405301</v>
      </c>
      <c r="AA89" s="85">
        <f ca="1"/>
        <v>45409</v>
      </c>
      <c r="AB89" s="57">
        <f t="shared" ca="1" si="27"/>
        <v>45409</v>
      </c>
      <c r="AC89" s="57">
        <f t="shared" ca="1" si="28"/>
        <v>39.106326459604048</v>
      </c>
      <c r="AD89" s="57">
        <f t="shared" ca="1" si="29"/>
        <v>52.732245309592699</v>
      </c>
      <c r="AE89" s="57">
        <f t="shared" ca="1" si="30"/>
        <v>0</v>
      </c>
    </row>
    <row r="90" spans="18:31" x14ac:dyDescent="0.3">
      <c r="R90" s="85">
        <f ca="1"/>
        <v>45211</v>
      </c>
      <c r="S90" s="57">
        <f t="shared" ca="1" si="25"/>
        <v>45211</v>
      </c>
      <c r="T90" s="57">
        <f t="shared" ca="1" si="19"/>
        <v>43.1106806827596</v>
      </c>
      <c r="U90" s="57">
        <f t="shared" ca="1" si="20"/>
        <v>27.993120557068</v>
      </c>
      <c r="V90" s="57">
        <f t="shared" ca="1" si="21"/>
        <v>0</v>
      </c>
      <c r="W90">
        <f t="shared" ca="1" si="22"/>
        <v>119.21268963432094</v>
      </c>
      <c r="X90">
        <f t="shared" ca="1" si="26"/>
        <v>94.665711340842961</v>
      </c>
      <c r="Y90">
        <f t="shared" ca="1" si="23"/>
        <v>0</v>
      </c>
      <c r="Z90">
        <f t="shared" ca="1" si="24"/>
        <v>0.327898965205346</v>
      </c>
      <c r="AA90" s="85">
        <f ca="1"/>
        <v>45410</v>
      </c>
      <c r="AB90" s="57">
        <f t="shared" ca="1" si="27"/>
        <v>45410</v>
      </c>
      <c r="AC90" s="57">
        <f t="shared" ca="1" si="28"/>
        <v>37.463895862801337</v>
      </c>
      <c r="AD90" s="57">
        <f t="shared" ca="1" si="29"/>
        <v>54.539375312493199</v>
      </c>
      <c r="AE90" s="57">
        <f t="shared" ca="1" si="30"/>
        <v>0</v>
      </c>
    </row>
    <row r="91" spans="18:31" x14ac:dyDescent="0.3">
      <c r="R91" s="85">
        <f ca="1"/>
        <v>45212</v>
      </c>
      <c r="S91" s="57">
        <f t="shared" ca="1" si="25"/>
        <v>45212</v>
      </c>
      <c r="T91" s="57">
        <f t="shared" ca="1" si="19"/>
        <v>42.352124362933402</v>
      </c>
      <c r="U91" s="57">
        <f t="shared" ca="1" si="20"/>
        <v>28.8944893406053</v>
      </c>
      <c r="V91" s="57">
        <f t="shared" ca="1" si="21"/>
        <v>0</v>
      </c>
      <c r="W91">
        <f t="shared" ca="1" si="22"/>
        <v>119.96187252766192</v>
      </c>
      <c r="X91">
        <f t="shared" ca="1" si="26"/>
        <v>94.665711340842961</v>
      </c>
      <c r="Y91">
        <f t="shared" ca="1" si="23"/>
        <v>0</v>
      </c>
      <c r="Z91">
        <f t="shared" ca="1" si="24"/>
        <v>0.34202792368970197</v>
      </c>
      <c r="AA91" s="85">
        <f ca="1"/>
        <v>45411</v>
      </c>
      <c r="AB91" s="57">
        <f t="shared" ca="1" si="27"/>
        <v>45411</v>
      </c>
      <c r="AC91" s="57">
        <f t="shared" ca="1" si="28"/>
        <v>35.810205014162861</v>
      </c>
      <c r="AD91" s="57">
        <f t="shared" ca="1" si="29"/>
        <v>56.357120347751703</v>
      </c>
      <c r="AE91" s="57">
        <f t="shared" ca="1" si="30"/>
        <v>0</v>
      </c>
    </row>
    <row r="92" spans="18:31" x14ac:dyDescent="0.3">
      <c r="R92" s="85">
        <f ca="1"/>
        <v>45213</v>
      </c>
      <c r="S92" s="57">
        <f t="shared" ca="1" si="25"/>
        <v>45213</v>
      </c>
      <c r="T92" s="57">
        <f t="shared" ca="1" si="19"/>
        <v>41.531088800179468</v>
      </c>
      <c r="U92" s="57">
        <f t="shared" ca="1" si="20"/>
        <v>29.866680178871199</v>
      </c>
      <c r="V92" s="57">
        <f t="shared" ca="1" si="21"/>
        <v>0</v>
      </c>
      <c r="W92">
        <f t="shared" ca="1" si="22"/>
        <v>120</v>
      </c>
      <c r="X92">
        <f t="shared" ca="1" si="26"/>
        <v>96.04317006348397</v>
      </c>
      <c r="Y92">
        <f t="shared" ca="1" si="23"/>
        <v>0</v>
      </c>
      <c r="Z92">
        <f t="shared" ca="1" si="24"/>
        <v>0.35705001121666702</v>
      </c>
      <c r="AA92" s="85">
        <f ca="1"/>
        <v>45412</v>
      </c>
      <c r="AB92" s="57">
        <f t="shared" ca="1" si="27"/>
        <v>45412</v>
      </c>
      <c r="AC92" s="57">
        <f t="shared" ca="1" si="28"/>
        <v>34.339210250454983</v>
      </c>
      <c r="AD92" s="57">
        <f t="shared" ca="1" si="29"/>
        <v>57.968182593767501</v>
      </c>
      <c r="AE92" s="57">
        <f t="shared" ca="1" si="30"/>
        <v>0</v>
      </c>
    </row>
    <row r="93" spans="18:31" x14ac:dyDescent="0.3">
      <c r="R93" s="85">
        <f ca="1"/>
        <v>45214</v>
      </c>
      <c r="S93" s="57">
        <f t="shared" ca="1" si="25"/>
        <v>45214</v>
      </c>
      <c r="T93" s="57">
        <f t="shared" ca="1" si="19"/>
        <v>40.690964951563714</v>
      </c>
      <c r="U93" s="57">
        <f t="shared" ca="1" si="20"/>
        <v>30.8567790133784</v>
      </c>
      <c r="V93" s="57">
        <f t="shared" ca="1" si="21"/>
        <v>0</v>
      </c>
      <c r="W93">
        <f t="shared" ca="1" si="22"/>
        <v>120</v>
      </c>
      <c r="X93">
        <f t="shared" ca="1" si="26"/>
        <v>97.878912359396125</v>
      </c>
      <c r="Y93">
        <f t="shared" ca="1" si="23"/>
        <v>0</v>
      </c>
      <c r="Z93">
        <f t="shared" ca="1" si="24"/>
        <v>0.372091509931058</v>
      </c>
      <c r="AA93" s="85">
        <f ca="1"/>
        <v>45413</v>
      </c>
      <c r="AB93" s="57">
        <f t="shared" ca="1" si="27"/>
        <v>45413</v>
      </c>
      <c r="AC93" s="57">
        <f t="shared" ca="1" si="28"/>
        <v>32.846055952201596</v>
      </c>
      <c r="AD93" s="57">
        <f t="shared" ca="1" si="29"/>
        <v>59.600630882560601</v>
      </c>
      <c r="AE93" s="57">
        <f t="shared" ca="1" si="30"/>
        <v>0</v>
      </c>
    </row>
    <row r="94" spans="18:31" x14ac:dyDescent="0.3">
      <c r="R94" s="85">
        <f ca="1"/>
        <v>45215</v>
      </c>
      <c r="S94" s="57">
        <f t="shared" ca="1" si="25"/>
        <v>45215</v>
      </c>
      <c r="T94" s="57">
        <f t="shared" ca="1" si="19"/>
        <v>39.851353613840139</v>
      </c>
      <c r="U94" s="57">
        <f t="shared" ca="1" si="20"/>
        <v>31.841433537067601</v>
      </c>
      <c r="V94" s="57">
        <f t="shared" ca="1" si="21"/>
        <v>0</v>
      </c>
      <c r="W94">
        <f t="shared" ca="1" si="22"/>
        <v>118.68662892996421</v>
      </c>
      <c r="X94">
        <f t="shared" ca="1" si="26"/>
        <v>97.878912359396125</v>
      </c>
      <c r="Y94">
        <f t="shared" ca="1" si="23"/>
        <v>0</v>
      </c>
      <c r="Z94">
        <f t="shared" ca="1" si="24"/>
        <v>0.38676960772382302</v>
      </c>
      <c r="AA94" s="85">
        <f ca="1"/>
        <v>45414</v>
      </c>
      <c r="AB94" s="57">
        <f t="shared" ca="1" si="27"/>
        <v>45414</v>
      </c>
      <c r="AC94" s="57">
        <f t="shared" ca="1" si="28"/>
        <v>31.171252543456802</v>
      </c>
      <c r="AD94" s="57">
        <f t="shared" ca="1" si="29"/>
        <v>61.431412965723403</v>
      </c>
      <c r="AE94" s="57">
        <f t="shared" ca="1" si="30"/>
        <v>0</v>
      </c>
    </row>
    <row r="95" spans="18:31" x14ac:dyDescent="0.3">
      <c r="R95" s="85">
        <f ca="1"/>
        <v>45216</v>
      </c>
      <c r="S95" s="57">
        <f t="shared" ca="1" si="25"/>
        <v>45216</v>
      </c>
      <c r="T95" s="57">
        <f t="shared" ca="1" si="19"/>
        <v>38.94101103357935</v>
      </c>
      <c r="U95" s="57">
        <f t="shared" ca="1" si="20"/>
        <v>32.905981795769598</v>
      </c>
      <c r="V95" s="57">
        <f t="shared" ca="1" si="21"/>
        <v>0</v>
      </c>
      <c r="W95">
        <f t="shared" ca="1" si="22"/>
        <v>118.80245495308229</v>
      </c>
      <c r="X95">
        <f t="shared" ca="1" si="26"/>
        <v>97.878912359396125</v>
      </c>
      <c r="Y95">
        <f t="shared" ca="1" si="23"/>
        <v>0</v>
      </c>
      <c r="Z95">
        <f t="shared" ca="1" si="24"/>
        <v>0.40230087142378101</v>
      </c>
      <c r="AA95" s="85">
        <f ca="1"/>
        <v>45415</v>
      </c>
      <c r="AB95" s="57">
        <f t="shared" ca="1" si="27"/>
        <v>45415</v>
      </c>
      <c r="AC95" s="57">
        <f t="shared" ca="1" si="28"/>
        <v>29.461092269032804</v>
      </c>
      <c r="AD95" s="57">
        <f t="shared" ca="1" si="29"/>
        <v>63.2981844200553</v>
      </c>
      <c r="AE95" s="57">
        <f t="shared" ca="1" si="30"/>
        <v>0</v>
      </c>
    </row>
    <row r="96" spans="18:31" x14ac:dyDescent="0.3">
      <c r="R96" s="85">
        <f ca="1"/>
        <v>45217</v>
      </c>
      <c r="S96" s="57">
        <f t="shared" ca="1" si="25"/>
        <v>45217</v>
      </c>
      <c r="T96" s="57">
        <f t="shared" ca="1" si="19"/>
        <v>38.022290379436967</v>
      </c>
      <c r="U96" s="57">
        <f t="shared" ca="1" si="20"/>
        <v>33.975570059046902</v>
      </c>
      <c r="V96" s="57">
        <f t="shared" ca="1" si="21"/>
        <v>0</v>
      </c>
      <c r="W96">
        <f t="shared" ca="1" si="22"/>
        <v>119.64746728293298</v>
      </c>
      <c r="X96">
        <f t="shared" ca="1" si="26"/>
        <v>97.878912359396125</v>
      </c>
      <c r="Y96">
        <f t="shared" ca="1" si="23"/>
        <v>0</v>
      </c>
      <c r="Z96">
        <f t="shared" ca="1" si="24"/>
        <v>0.41753169999317802</v>
      </c>
      <c r="AA96" s="85">
        <f ca="1"/>
        <v>45416</v>
      </c>
      <c r="AB96" s="57">
        <f t="shared" ca="1" si="27"/>
        <v>45416</v>
      </c>
      <c r="AC96" s="57">
        <f t="shared" ca="1" si="28"/>
        <v>27.663403916373227</v>
      </c>
      <c r="AD96" s="57">
        <f t="shared" ca="1" si="29"/>
        <v>65.258780204388799</v>
      </c>
      <c r="AE96" s="57">
        <f t="shared" ca="1" si="30"/>
        <v>0</v>
      </c>
    </row>
    <row r="97" spans="18:31" x14ac:dyDescent="0.3">
      <c r="R97" s="85">
        <f ca="1"/>
        <v>45218</v>
      </c>
      <c r="S97" s="57">
        <f t="shared" ca="1" si="25"/>
        <v>45218</v>
      </c>
      <c r="T97" s="57">
        <f t="shared" ca="1" si="19"/>
        <v>37.121852296344471</v>
      </c>
      <c r="U97" s="57">
        <f t="shared" ca="1" si="20"/>
        <v>35.019082564528297</v>
      </c>
      <c r="V97" s="57">
        <f t="shared" ca="1" si="21"/>
        <v>0</v>
      </c>
      <c r="W97">
        <f t="shared" ca="1" si="22"/>
        <v>117.76195687767819</v>
      </c>
      <c r="X97">
        <f t="shared" ca="1" si="26"/>
        <v>97.878912359396125</v>
      </c>
      <c r="Y97">
        <f t="shared" ca="1" si="23"/>
        <v>0</v>
      </c>
      <c r="Z97">
        <f t="shared" ca="1" si="24"/>
        <v>0.43201357516792099</v>
      </c>
      <c r="AA97" s="85">
        <f ca="1"/>
        <v>45417</v>
      </c>
      <c r="AB97" s="57">
        <f t="shared" ca="1" si="27"/>
        <v>45417</v>
      </c>
      <c r="AC97" s="57">
        <f t="shared" ca="1" si="28"/>
        <v>25.880070061509855</v>
      </c>
      <c r="AD97" s="57">
        <f t="shared" ca="1" si="29"/>
        <v>67.200472579637506</v>
      </c>
      <c r="AE97" s="57">
        <f t="shared" ca="1" si="30"/>
        <v>0</v>
      </c>
    </row>
    <row r="98" spans="18:31" x14ac:dyDescent="0.3">
      <c r="R98" s="85">
        <f ca="1"/>
        <v>45219</v>
      </c>
      <c r="S98" s="57">
        <f t="shared" ca="1" si="25"/>
        <v>45219</v>
      </c>
      <c r="T98" s="57">
        <f t="shared" ca="1" si="19"/>
        <v>36.160096000146204</v>
      </c>
      <c r="U98" s="57">
        <f t="shared" ca="1" si="20"/>
        <v>36.1306953615249</v>
      </c>
      <c r="V98" s="57">
        <f t="shared" ca="1" si="21"/>
        <v>0</v>
      </c>
      <c r="W98">
        <f t="shared" ca="1" si="22"/>
        <v>116.20984848149462</v>
      </c>
      <c r="X98">
        <f t="shared" ca="1" si="26"/>
        <v>97.878912359396125</v>
      </c>
      <c r="Y98">
        <f t="shared" ca="1" si="23"/>
        <v>0</v>
      </c>
      <c r="Z98">
        <f t="shared" ca="1" si="24"/>
        <v>0.44701618307848501</v>
      </c>
      <c r="AA98" s="85">
        <f ca="1"/>
        <v>45418</v>
      </c>
      <c r="AB98" s="57">
        <f t="shared" ca="1" si="27"/>
        <v>45418</v>
      </c>
      <c r="AC98" s="57">
        <f t="shared" ca="1" si="28"/>
        <v>24.151237348680553</v>
      </c>
      <c r="AD98" s="57">
        <f t="shared" ca="1" si="29"/>
        <v>69.079533226413304</v>
      </c>
      <c r="AE98" s="57">
        <f t="shared" ca="1" si="30"/>
        <v>0</v>
      </c>
    </row>
    <row r="99" spans="18:31" x14ac:dyDescent="0.3">
      <c r="R99" s="85">
        <f ca="1"/>
        <v>45220</v>
      </c>
      <c r="S99" s="57">
        <f t="shared" ca="1" si="25"/>
        <v>45220</v>
      </c>
      <c r="T99" s="57">
        <f t="shared" ca="1" si="19"/>
        <v>35.186156952326577</v>
      </c>
      <c r="U99" s="57">
        <f t="shared" ca="1" si="20"/>
        <v>37.250949047220097</v>
      </c>
      <c r="V99" s="57">
        <f t="shared" ca="1" si="21"/>
        <v>0</v>
      </c>
      <c r="W99">
        <f t="shared" ca="1" si="22"/>
        <v>114.4779355097513</v>
      </c>
      <c r="X99">
        <f t="shared" ca="1" si="26"/>
        <v>97.878912359396125</v>
      </c>
      <c r="Y99">
        <f t="shared" ca="1" si="23"/>
        <v>0</v>
      </c>
      <c r="Z99">
        <f t="shared" ca="1" si="24"/>
        <v>0.461681500514461</v>
      </c>
      <c r="AA99" s="85">
        <f ca="1"/>
        <v>45419</v>
      </c>
      <c r="AB99" s="57">
        <f t="shared" ca="1" si="27"/>
        <v>45419</v>
      </c>
      <c r="AC99" s="57">
        <f t="shared" ca="1" si="28"/>
        <v>22.383743124303123</v>
      </c>
      <c r="AD99" s="57">
        <f t="shared" ca="1" si="29"/>
        <v>70.998854126787904</v>
      </c>
      <c r="AE99" s="57">
        <f t="shared" ca="1" si="30"/>
        <v>0</v>
      </c>
    </row>
    <row r="100" spans="18:31" x14ac:dyDescent="0.3">
      <c r="R100" s="85">
        <f ca="1"/>
        <v>45221</v>
      </c>
      <c r="S100" s="57">
        <f t="shared" ca="1" si="25"/>
        <v>45221</v>
      </c>
      <c r="T100" s="57">
        <f t="shared" ca="1" si="19"/>
        <v>34.155446329270703</v>
      </c>
      <c r="U100" s="57">
        <f t="shared" ca="1" si="20"/>
        <v>38.435007974267798</v>
      </c>
      <c r="V100" s="57">
        <f t="shared" ca="1" si="21"/>
        <v>0</v>
      </c>
      <c r="W100">
        <f t="shared" ca="1" si="22"/>
        <v>115.93159872014171</v>
      </c>
      <c r="X100">
        <f t="shared" ca="1" si="26"/>
        <v>97.878912359396125</v>
      </c>
      <c r="Y100">
        <f t="shared" ca="1" si="23"/>
        <v>0</v>
      </c>
      <c r="Z100">
        <f t="shared" ca="1" si="24"/>
        <v>0.47667834368842399</v>
      </c>
      <c r="AA100" s="85">
        <f ca="1"/>
        <v>45420</v>
      </c>
      <c r="AB100" s="57">
        <f t="shared" ca="1" si="27"/>
        <v>45420</v>
      </c>
      <c r="AC100" s="57">
        <f t="shared" ca="1" si="28"/>
        <v>20.415249805204297</v>
      </c>
      <c r="AD100" s="57">
        <f t="shared" ca="1" si="29"/>
        <v>73.137377356083206</v>
      </c>
      <c r="AE100" s="57">
        <f t="shared" ca="1" si="30"/>
        <v>0</v>
      </c>
    </row>
    <row r="101" spans="18:31" x14ac:dyDescent="0.3">
      <c r="R101" s="85">
        <f ca="1"/>
        <v>45222</v>
      </c>
      <c r="S101" s="57">
        <f t="shared" ca="1" si="25"/>
        <v>45222</v>
      </c>
      <c r="T101" s="57">
        <f t="shared" ca="1" si="19"/>
        <v>33.156003298859446</v>
      </c>
      <c r="U101" s="57">
        <f t="shared" ca="1" si="20"/>
        <v>39.578503178314797</v>
      </c>
      <c r="V101" s="57">
        <f t="shared" ca="1" si="21"/>
        <v>0</v>
      </c>
      <c r="W101">
        <f t="shared" ca="1" si="22"/>
        <v>116.09671688220001</v>
      </c>
      <c r="X101">
        <f t="shared" ca="1" si="26"/>
        <v>97.878912359396125</v>
      </c>
      <c r="Y101">
        <f t="shared" ca="1" si="23"/>
        <v>0</v>
      </c>
      <c r="Z101">
        <f t="shared" ca="1" si="24"/>
        <v>0.49066544364768999</v>
      </c>
      <c r="AA101" s="85">
        <f ca="1"/>
        <v>45421</v>
      </c>
      <c r="AB101" s="57">
        <f t="shared" ca="1" si="27"/>
        <v>45421</v>
      </c>
      <c r="AC101" s="57">
        <f t="shared" ca="1" si="28"/>
        <v>18.473321132055247</v>
      </c>
      <c r="AD101" s="57">
        <f t="shared" ca="1" si="29"/>
        <v>75.244156687883205</v>
      </c>
      <c r="AE101" s="57">
        <f t="shared" ca="1" si="30"/>
        <v>0</v>
      </c>
    </row>
    <row r="102" spans="18:31" x14ac:dyDescent="0.3">
      <c r="R102" s="85">
        <f ca="1"/>
        <v>45223</v>
      </c>
      <c r="S102" s="57">
        <f t="shared" ca="1" si="25"/>
        <v>45223</v>
      </c>
      <c r="T102" s="57">
        <f t="shared" ca="1" si="19"/>
        <v>32.128942671481795</v>
      </c>
      <c r="U102" s="57">
        <f t="shared" ca="1" si="20"/>
        <v>40.748335677772801</v>
      </c>
      <c r="V102" s="57">
        <f t="shared" ca="1" si="21"/>
        <v>0</v>
      </c>
      <c r="W102">
        <f t="shared" ca="1" si="22"/>
        <v>114.04325118460977</v>
      </c>
      <c r="X102">
        <f t="shared" ca="1" si="26"/>
        <v>97.878912359396125</v>
      </c>
      <c r="Y102">
        <f t="shared" ca="1" si="23"/>
        <v>0</v>
      </c>
      <c r="Z102">
        <f t="shared" ca="1" si="24"/>
        <v>0.50446910059461303</v>
      </c>
      <c r="AA102" s="85">
        <f ca="1"/>
        <v>45422</v>
      </c>
      <c r="AB102" s="57">
        <f t="shared" ca="1" si="27"/>
        <v>45422</v>
      </c>
      <c r="AC102" s="57">
        <f t="shared" ca="1" si="28"/>
        <v>16.601810072486273</v>
      </c>
      <c r="AD102" s="57">
        <f t="shared" ca="1" si="29"/>
        <v>77.271514250754507</v>
      </c>
      <c r="AE102" s="57">
        <f t="shared" ca="1" si="30"/>
        <v>0</v>
      </c>
    </row>
    <row r="103" spans="18:31" x14ac:dyDescent="0.3">
      <c r="R103" s="85">
        <f ca="1"/>
        <v>45224</v>
      </c>
      <c r="S103" s="57">
        <f t="shared" ca="1" si="25"/>
        <v>45224</v>
      </c>
      <c r="T103" s="57">
        <f t="shared" ca="1" si="19"/>
        <v>31.027304375384841</v>
      </c>
      <c r="U103" s="57">
        <f t="shared" ca="1" si="20"/>
        <v>41.998018184433903</v>
      </c>
      <c r="V103" s="57">
        <f t="shared" ca="1" si="21"/>
        <v>0</v>
      </c>
      <c r="W103">
        <f t="shared" ca="1" si="22"/>
        <v>112.45644978829169</v>
      </c>
      <c r="X103">
        <f t="shared" ca="1" si="26"/>
        <v>97.878912359396125</v>
      </c>
      <c r="Y103">
        <f t="shared" ca="1" si="23"/>
        <v>0</v>
      </c>
      <c r="Z103">
        <f t="shared" ca="1" si="24"/>
        <v>0.51865207434615102</v>
      </c>
      <c r="AA103" s="85">
        <f ca="1"/>
        <v>45423</v>
      </c>
      <c r="AB103" s="57">
        <f t="shared" ca="1" si="27"/>
        <v>45423</v>
      </c>
      <c r="AC103" s="57">
        <f t="shared" ca="1" si="28"/>
        <v>14.646986045908619</v>
      </c>
      <c r="AD103" s="57">
        <f t="shared" ca="1" si="29"/>
        <v>79.388668946443303</v>
      </c>
      <c r="AE103" s="57">
        <f t="shared" ca="1" si="30"/>
        <v>0</v>
      </c>
    </row>
    <row r="104" spans="18:31" x14ac:dyDescent="0.3">
      <c r="R104" s="85">
        <f ca="1"/>
        <v>45225</v>
      </c>
      <c r="S104" s="57">
        <f t="shared" ca="1" si="25"/>
        <v>45225</v>
      </c>
      <c r="T104" s="57">
        <f t="shared" ca="1" si="19"/>
        <v>61.823797585880229</v>
      </c>
      <c r="U104" s="57">
        <f t="shared" ca="1" si="20"/>
        <v>43.363053495176601</v>
      </c>
      <c r="V104" s="57">
        <f t="shared" ca="1" si="21"/>
        <v>40</v>
      </c>
      <c r="W104">
        <f t="shared" ca="1" si="22"/>
        <v>113.14511765449244</v>
      </c>
      <c r="X104">
        <f t="shared" ca="1" si="26"/>
        <v>97.878912359396125</v>
      </c>
      <c r="Y104">
        <f t="shared" ca="1" si="23"/>
        <v>0</v>
      </c>
      <c r="Z104">
        <f t="shared" ca="1" si="24"/>
        <v>0.53348617740382198</v>
      </c>
      <c r="AA104" s="85">
        <f ca="1"/>
        <v>45424</v>
      </c>
      <c r="AB104" s="57">
        <f t="shared" ca="1" si="27"/>
        <v>45424</v>
      </c>
      <c r="AC104" s="57">
        <f t="shared" ca="1" si="28"/>
        <v>12.774005323436228</v>
      </c>
      <c r="AD104" s="57">
        <f t="shared" ca="1" si="29"/>
        <v>81.414558600362895</v>
      </c>
      <c r="AE104" s="57">
        <f t="shared" ca="1" si="30"/>
        <v>0</v>
      </c>
    </row>
    <row r="105" spans="18:31" x14ac:dyDescent="0.3">
      <c r="R105" s="85">
        <f ca="1"/>
        <v>45226</v>
      </c>
      <c r="S105" s="57">
        <f t="shared" ca="1" si="25"/>
        <v>45226</v>
      </c>
      <c r="T105" s="57">
        <f t="shared" ca="1" si="19"/>
        <v>60.585461071582884</v>
      </c>
      <c r="U105" s="57">
        <f t="shared" ca="1" si="20"/>
        <v>44.768370347832899</v>
      </c>
      <c r="V105" s="57">
        <f t="shared" ca="1" si="21"/>
        <v>0</v>
      </c>
      <c r="W105">
        <f t="shared" ca="1" si="22"/>
        <v>115.50359449562472</v>
      </c>
      <c r="X105">
        <f t="shared" ca="1" si="26"/>
        <v>97.878912359396125</v>
      </c>
      <c r="Y105">
        <f t="shared" ca="1" si="23"/>
        <v>0</v>
      </c>
      <c r="Z105">
        <f t="shared" ca="1" si="24"/>
        <v>0.54805165623430496</v>
      </c>
      <c r="AA105" s="85">
        <f ca="1"/>
        <v>45425</v>
      </c>
      <c r="AB105" s="57">
        <f t="shared" ca="1" si="27"/>
        <v>45425</v>
      </c>
      <c r="AC105" s="57">
        <f t="shared" ca="1" si="28"/>
        <v>10.872196750206967</v>
      </c>
      <c r="AD105" s="57">
        <f t="shared" ca="1" si="29"/>
        <v>83.470798741576502</v>
      </c>
      <c r="AE105" s="57">
        <f t="shared" ca="1" si="30"/>
        <v>0</v>
      </c>
    </row>
    <row r="106" spans="18:31" x14ac:dyDescent="0.3">
      <c r="R106" s="85">
        <f ca="1"/>
        <v>45227</v>
      </c>
      <c r="S106" s="57">
        <f t="shared" ca="1" si="25"/>
        <v>45227</v>
      </c>
      <c r="T106" s="57">
        <f t="shared" ca="1" si="19"/>
        <v>59.362755313291999</v>
      </c>
      <c r="U106" s="57">
        <f t="shared" ca="1" si="20"/>
        <v>46.151324791925298</v>
      </c>
      <c r="V106" s="57">
        <f t="shared" ca="1" si="21"/>
        <v>0</v>
      </c>
      <c r="W106">
        <f t="shared" ca="1" si="22"/>
        <v>118.59898262937706</v>
      </c>
      <c r="X106">
        <f t="shared" ca="1" si="26"/>
        <v>97.878912359396125</v>
      </c>
      <c r="Y106">
        <f t="shared" ca="1" si="23"/>
        <v>0</v>
      </c>
      <c r="Z106">
        <f t="shared" ca="1" si="24"/>
        <v>0.56170088686181296</v>
      </c>
      <c r="AA106" s="85">
        <f ca="1"/>
        <v>45426</v>
      </c>
      <c r="AB106" s="57">
        <f t="shared" ca="1" si="27"/>
        <v>45426</v>
      </c>
      <c r="AC106" s="57">
        <f t="shared" ca="1" si="28"/>
        <v>8.8910344558486543</v>
      </c>
      <c r="AD106" s="57">
        <f t="shared" ca="1" si="29"/>
        <v>85.612905887970797</v>
      </c>
      <c r="AE106" s="57">
        <f t="shared" ca="1" si="30"/>
        <v>0</v>
      </c>
    </row>
    <row r="107" spans="18:31" x14ac:dyDescent="0.3">
      <c r="R107" s="85">
        <f ca="1"/>
        <v>45228</v>
      </c>
      <c r="S107" s="57">
        <f t="shared" ca="1" si="25"/>
        <v>45228</v>
      </c>
      <c r="T107" s="57">
        <f t="shared" ca="1" si="19"/>
        <v>58.066206476004595</v>
      </c>
      <c r="U107" s="57">
        <f t="shared" ca="1" si="20"/>
        <v>47.615751847086699</v>
      </c>
      <c r="V107" s="57">
        <f t="shared" ca="1" si="21"/>
        <v>0</v>
      </c>
      <c r="W107">
        <f t="shared" ca="1" si="22"/>
        <v>119.48559312201688</v>
      </c>
      <c r="X107">
        <f t="shared" ca="1" si="26"/>
        <v>97.878912359396125</v>
      </c>
      <c r="Y107">
        <f t="shared" ca="1" si="23"/>
        <v>0</v>
      </c>
      <c r="Z107">
        <f t="shared" ca="1" si="24"/>
        <v>0.57543402652304998</v>
      </c>
      <c r="AA107" s="85">
        <f ca="1"/>
        <v>45427</v>
      </c>
      <c r="AB107" s="57">
        <f t="shared" ca="1" si="27"/>
        <v>45427</v>
      </c>
      <c r="AC107" s="57">
        <f t="shared" ca="1" si="28"/>
        <v>6.9887345399278047</v>
      </c>
      <c r="AD107" s="57">
        <f t="shared" ca="1" si="29"/>
        <v>87.667801770630803</v>
      </c>
      <c r="AE107" s="57">
        <f t="shared" ca="1" si="30"/>
        <v>0</v>
      </c>
    </row>
    <row r="108" spans="18:31" x14ac:dyDescent="0.3">
      <c r="R108" s="85">
        <f ca="1"/>
        <v>45229</v>
      </c>
      <c r="S108" s="57">
        <f t="shared" ca="1" si="25"/>
        <v>45229</v>
      </c>
      <c r="T108" s="57">
        <f t="shared" ca="1" si="19"/>
        <v>56.829517234188444</v>
      </c>
      <c r="U108" s="57">
        <f t="shared" ca="1" si="20"/>
        <v>49.007437663843497</v>
      </c>
      <c r="V108" s="57">
        <f t="shared" ca="1" si="21"/>
        <v>0</v>
      </c>
      <c r="W108">
        <f t="shared" ca="1" si="22"/>
        <v>116.69984837621264</v>
      </c>
      <c r="X108">
        <f t="shared" ca="1" si="26"/>
        <v>97.878912359396125</v>
      </c>
      <c r="Y108">
        <f t="shared" ca="1" si="23"/>
        <v>0</v>
      </c>
      <c r="Z108">
        <f t="shared" ca="1" si="24"/>
        <v>0.587819802320101</v>
      </c>
      <c r="AA108" s="85">
        <f ca="1"/>
        <v>45428</v>
      </c>
      <c r="AB108" s="57">
        <f t="shared" ca="1" si="27"/>
        <v>45428</v>
      </c>
      <c r="AC108" s="57">
        <f t="shared" ca="1" si="28"/>
        <v>5.1722591985384554</v>
      </c>
      <c r="AD108" s="57">
        <f t="shared" ca="1" si="29"/>
        <v>89.628471267734298</v>
      </c>
      <c r="AE108" s="57">
        <f t="shared" ca="1" si="30"/>
        <v>0</v>
      </c>
    </row>
    <row r="109" spans="18:31" x14ac:dyDescent="0.3">
      <c r="R109" s="85">
        <f ca="1"/>
        <v>45230</v>
      </c>
      <c r="S109" s="57">
        <f t="shared" ca="1" si="25"/>
        <v>45230</v>
      </c>
      <c r="T109" s="57">
        <f t="shared" ca="1" si="19"/>
        <v>55.6119359812445</v>
      </c>
      <c r="U109" s="57">
        <f t="shared" ca="1" si="20"/>
        <v>50.374200937150597</v>
      </c>
      <c r="V109" s="57">
        <f t="shared" ca="1" si="21"/>
        <v>0</v>
      </c>
      <c r="W109">
        <f t="shared" ca="1" si="22"/>
        <v>117.02008703714361</v>
      </c>
      <c r="X109">
        <f t="shared" ca="1" si="26"/>
        <v>97.878912359396125</v>
      </c>
      <c r="Y109">
        <f t="shared" ca="1" si="23"/>
        <v>0</v>
      </c>
      <c r="Z109">
        <f t="shared" ca="1" si="24"/>
        <v>0.59937457187332499</v>
      </c>
      <c r="AA109" s="85">
        <f ca="1"/>
        <v>45429</v>
      </c>
      <c r="AB109" s="57">
        <f t="shared" ca="1" si="27"/>
        <v>45429</v>
      </c>
      <c r="AC109" s="57">
        <f t="shared" ca="1" si="28"/>
        <v>3.4462402159339263</v>
      </c>
      <c r="AD109" s="57">
        <f t="shared" ca="1" si="29"/>
        <v>91.490420036602799</v>
      </c>
      <c r="AE109" s="57">
        <f t="shared" ca="1" si="30"/>
        <v>0</v>
      </c>
    </row>
    <row r="110" spans="18:31" x14ac:dyDescent="0.3">
      <c r="R110" s="85">
        <f ca="1"/>
        <v>45231</v>
      </c>
      <c r="S110" s="57">
        <f t="shared" ca="1" si="25"/>
        <v>45231</v>
      </c>
      <c r="T110" s="57">
        <f t="shared" ca="1" si="19"/>
        <v>54.387893014454065</v>
      </c>
      <c r="U110" s="57">
        <f t="shared" ca="1" si="20"/>
        <v>51.745591982519201</v>
      </c>
      <c r="V110" s="57">
        <f t="shared" ca="1" si="21"/>
        <v>0</v>
      </c>
      <c r="W110">
        <f t="shared" ca="1" si="22"/>
        <v>116.63270620532307</v>
      </c>
      <c r="X110">
        <f t="shared" ca="1" si="26"/>
        <v>97.878912359396125</v>
      </c>
      <c r="Y110">
        <f t="shared" ca="1" si="23"/>
        <v>0</v>
      </c>
      <c r="Z110">
        <f t="shared" ca="1" si="24"/>
        <v>0.61038399452990599</v>
      </c>
      <c r="AA110" s="85">
        <f ca="1"/>
        <v>45430</v>
      </c>
      <c r="AB110" s="57">
        <f t="shared" ca="1" si="27"/>
        <v>45430</v>
      </c>
      <c r="AC110" s="57">
        <f t="shared" ca="1" si="28"/>
        <v>1.6720363214886902</v>
      </c>
      <c r="AD110" s="57">
        <f t="shared" ca="1" si="29"/>
        <v>93.404480293554997</v>
      </c>
      <c r="AE110" s="57">
        <f t="shared" ca="1" si="30"/>
        <v>0</v>
      </c>
    </row>
    <row r="111" spans="18:31" x14ac:dyDescent="0.3">
      <c r="R111" s="85">
        <f ca="1"/>
        <v>45232</v>
      </c>
      <c r="S111" s="57">
        <f t="shared" ca="1" si="25"/>
        <v>45232</v>
      </c>
      <c r="T111" s="57">
        <f t="shared" ca="1" si="19"/>
        <v>53.062290986294073</v>
      </c>
      <c r="U111" s="57">
        <f t="shared" ca="1" si="20"/>
        <v>53.2291867417334</v>
      </c>
      <c r="V111" s="57">
        <f t="shared" ca="1" si="21"/>
        <v>0</v>
      </c>
      <c r="W111">
        <f t="shared" ca="1" si="22"/>
        <v>114.84918426458125</v>
      </c>
      <c r="X111">
        <f t="shared" ca="1" si="26"/>
        <v>97.878912359396125</v>
      </c>
      <c r="Y111">
        <f t="shared" ca="1" si="23"/>
        <v>0</v>
      </c>
      <c r="Z111">
        <f t="shared" ca="1" si="24"/>
        <v>0.62166141980018297</v>
      </c>
      <c r="AA111" s="85">
        <f ca="1"/>
        <v>45431</v>
      </c>
      <c r="AB111" s="57">
        <f t="shared" ca="1" si="27"/>
        <v>45431</v>
      </c>
      <c r="AC111" s="57">
        <f t="shared" ca="1" si="28"/>
        <v>-8.2282866412924704E-2</v>
      </c>
      <c r="AD111" s="57">
        <f t="shared" ca="1" si="29"/>
        <v>95.296837411205502</v>
      </c>
      <c r="AE111" s="57">
        <f t="shared" ca="1" si="30"/>
        <v>0</v>
      </c>
    </row>
    <row r="112" spans="18:31" x14ac:dyDescent="0.3">
      <c r="R112" s="85">
        <f ca="1"/>
        <v>45233</v>
      </c>
      <c r="S112" s="57">
        <f t="shared" ca="1" si="25"/>
        <v>45233</v>
      </c>
      <c r="T112" s="57">
        <f t="shared" ca="1" si="19"/>
        <v>51.613753765357664</v>
      </c>
      <c r="U112" s="57">
        <f t="shared" ca="1" si="20"/>
        <v>54.8512371223485</v>
      </c>
      <c r="V112" s="57">
        <f t="shared" ca="1" si="21"/>
        <v>0</v>
      </c>
      <c r="W112">
        <f t="shared" ca="1" si="22"/>
        <v>117.4062611572121</v>
      </c>
      <c r="X112">
        <f t="shared" ca="1" si="26"/>
        <v>97.878912359396125</v>
      </c>
      <c r="Y112">
        <f t="shared" ca="1" si="23"/>
        <v>0</v>
      </c>
      <c r="Z112">
        <f t="shared" ca="1" si="24"/>
        <v>0.633272710072187</v>
      </c>
      <c r="AA112" s="85">
        <f ca="1"/>
        <v>45432</v>
      </c>
      <c r="AB112" s="57">
        <f t="shared" ca="1" si="27"/>
        <v>45432</v>
      </c>
      <c r="AC112" s="57">
        <f t="shared" ca="1" si="28"/>
        <v>-1.8139460459628651</v>
      </c>
      <c r="AD112" s="57">
        <f t="shared" ca="1" si="29"/>
        <v>97.164630472505607</v>
      </c>
      <c r="AE112" s="57">
        <f t="shared" ca="1" si="30"/>
        <v>0</v>
      </c>
    </row>
    <row r="113" spans="18:31" x14ac:dyDescent="0.3">
      <c r="R113" s="85">
        <f ca="1"/>
        <v>45234</v>
      </c>
      <c r="S113" s="57">
        <f t="shared" ca="1" si="25"/>
        <v>45234</v>
      </c>
      <c r="T113" s="57">
        <f t="shared" ca="1" si="19"/>
        <v>50.190595343641775</v>
      </c>
      <c r="U113" s="57">
        <f t="shared" ca="1" si="20"/>
        <v>56.441016030772701</v>
      </c>
      <c r="V113" s="57">
        <f t="shared" ca="1" si="21"/>
        <v>0</v>
      </c>
      <c r="W113">
        <f t="shared" ca="1" si="22"/>
        <v>116.55474738756546</v>
      </c>
      <c r="X113">
        <f t="shared" ca="1" si="26"/>
        <v>97.878912359396125</v>
      </c>
      <c r="Y113">
        <f t="shared" ca="1" si="23"/>
        <v>0</v>
      </c>
      <c r="Z113">
        <f t="shared" ca="1" si="24"/>
        <v>0.64396079420397501</v>
      </c>
      <c r="AA113" s="85">
        <f ca="1"/>
        <v>45433</v>
      </c>
      <c r="AB113" s="57">
        <f t="shared" ca="1" si="27"/>
        <v>45433</v>
      </c>
      <c r="AC113" s="57">
        <f t="shared" ca="1" si="28"/>
        <v>-3.3303208832628854</v>
      </c>
      <c r="AD113" s="57">
        <f t="shared" ca="1" si="29"/>
        <v>98.799709523645504</v>
      </c>
      <c r="AE113" s="57">
        <f t="shared" ca="1" si="30"/>
        <v>0</v>
      </c>
    </row>
    <row r="114" spans="18:31" x14ac:dyDescent="0.3">
      <c r="R114" s="85">
        <f ca="1"/>
        <v>45235</v>
      </c>
      <c r="S114" s="57">
        <f t="shared" ca="1" si="25"/>
        <v>45235</v>
      </c>
      <c r="T114" s="57">
        <f t="shared" ca="1" si="19"/>
        <v>48.803236952500754</v>
      </c>
      <c r="U114" s="57">
        <f t="shared" ca="1" si="20"/>
        <v>57.985538749121098</v>
      </c>
      <c r="V114" s="57">
        <f t="shared" ca="1" si="21"/>
        <v>0</v>
      </c>
      <c r="W114">
        <f t="shared" ca="1" si="22"/>
        <v>114.30846295932173</v>
      </c>
      <c r="X114">
        <f t="shared" ca="1" si="26"/>
        <v>97.878912359396125</v>
      </c>
      <c r="Y114">
        <f t="shared" ca="1" si="23"/>
        <v>0</v>
      </c>
      <c r="Z114">
        <f t="shared" ca="1" si="24"/>
        <v>0.653722798155707</v>
      </c>
      <c r="AA114" s="85">
        <f ca="1"/>
        <v>45434</v>
      </c>
      <c r="AB114" s="57">
        <f t="shared" ca="1" si="27"/>
        <v>45434</v>
      </c>
      <c r="AC114" s="57">
        <f t="shared" ca="1" si="28"/>
        <v>-4.9284228851812486</v>
      </c>
      <c r="AD114" s="57">
        <f t="shared" ca="1" si="29"/>
        <v>100.523202591862</v>
      </c>
      <c r="AE114" s="57">
        <f t="shared" ca="1" si="30"/>
        <v>0</v>
      </c>
    </row>
    <row r="115" spans="18:31" x14ac:dyDescent="0.3">
      <c r="R115" s="85">
        <f ca="1"/>
        <v>45236</v>
      </c>
      <c r="S115" s="57">
        <f t="shared" ca="1" si="25"/>
        <v>45236</v>
      </c>
      <c r="T115" s="57">
        <f t="shared" ca="1" si="19"/>
        <v>47.412068379037464</v>
      </c>
      <c r="U115" s="57">
        <f t="shared" ca="1" si="20"/>
        <v>59.527109369196502</v>
      </c>
      <c r="V115" s="57">
        <f t="shared" ca="1" si="21"/>
        <v>0</v>
      </c>
      <c r="W115">
        <f t="shared" ca="1" si="22"/>
        <v>111.53758200112601</v>
      </c>
      <c r="X115">
        <f t="shared" ca="1" si="26"/>
        <v>97.878912359396125</v>
      </c>
      <c r="Y115">
        <f t="shared" ca="1" si="23"/>
        <v>0</v>
      </c>
      <c r="Z115">
        <f t="shared" ca="1" si="24"/>
        <v>0.66288769828092398</v>
      </c>
      <c r="AA115" s="85">
        <f ca="1"/>
        <v>45435</v>
      </c>
      <c r="AB115" s="57">
        <f t="shared" ca="1" si="27"/>
        <v>45435</v>
      </c>
      <c r="AC115" s="57">
        <f t="shared" ca="1" si="28"/>
        <v>-6.5584033552955248</v>
      </c>
      <c r="AD115" s="57">
        <f t="shared" ca="1" si="29"/>
        <v>102.281495780569</v>
      </c>
      <c r="AE115" s="57">
        <f t="shared" ca="1" si="30"/>
        <v>0</v>
      </c>
    </row>
    <row r="116" spans="18:31" x14ac:dyDescent="0.3">
      <c r="R116" s="85">
        <f ca="1"/>
        <v>45237</v>
      </c>
      <c r="S116" s="57">
        <f t="shared" ca="1" si="25"/>
        <v>45237</v>
      </c>
      <c r="T116" s="57">
        <f t="shared" ca="1" si="19"/>
        <v>45.974928264157519</v>
      </c>
      <c r="U116" s="57">
        <f t="shared" ca="1" si="20"/>
        <v>61.1166598607522</v>
      </c>
      <c r="V116" s="57">
        <f t="shared" ca="1" si="21"/>
        <v>0</v>
      </c>
      <c r="W116">
        <f t="shared" ca="1" si="22"/>
        <v>110.53389119152591</v>
      </c>
      <c r="X116">
        <f t="shared" ca="1" si="26"/>
        <v>97.878912359396125</v>
      </c>
      <c r="Y116">
        <f t="shared" ca="1" si="23"/>
        <v>0</v>
      </c>
      <c r="Z116">
        <f t="shared" ca="1" si="24"/>
        <v>0.67176594011697499</v>
      </c>
      <c r="AA116" s="85">
        <f ca="1"/>
        <v>45436</v>
      </c>
      <c r="AB116" s="57">
        <f t="shared" ca="1" si="27"/>
        <v>45436</v>
      </c>
      <c r="AC116" s="57">
        <f t="shared" ca="1" si="28"/>
        <v>-8.1512681108286245</v>
      </c>
      <c r="AD116" s="57">
        <f t="shared" ca="1" si="29"/>
        <v>104.000048908891</v>
      </c>
      <c r="AE116" s="57">
        <f t="shared" ca="1" si="30"/>
        <v>0</v>
      </c>
    </row>
    <row r="117" spans="18:31" x14ac:dyDescent="0.3">
      <c r="R117" s="85">
        <f ca="1"/>
        <v>45238</v>
      </c>
      <c r="S117" s="57">
        <f t="shared" ca="1" si="25"/>
        <v>45238</v>
      </c>
      <c r="T117" s="57">
        <f t="shared" ca="1" si="19"/>
        <v>44.473957208609967</v>
      </c>
      <c r="U117" s="57">
        <f t="shared" ca="1" si="20"/>
        <v>62.775906347883499</v>
      </c>
      <c r="V117" s="57">
        <f t="shared" ca="1" si="21"/>
        <v>0</v>
      </c>
      <c r="W117">
        <f t="shared" ca="1" si="22"/>
        <v>110.38093854658908</v>
      </c>
      <c r="X117">
        <f t="shared" ca="1" si="26"/>
        <v>97.878912359396125</v>
      </c>
      <c r="Y117">
        <f t="shared" ca="1" si="23"/>
        <v>0</v>
      </c>
      <c r="Z117">
        <f t="shared" ca="1" si="24"/>
        <v>0.68044970520284698</v>
      </c>
      <c r="AA117" s="85">
        <f ca="1"/>
        <v>45437</v>
      </c>
      <c r="AB117" s="57">
        <f t="shared" ca="1" si="27"/>
        <v>45437</v>
      </c>
      <c r="AC117" s="57">
        <f t="shared" ca="1" si="28"/>
        <v>-9.7990581802323788</v>
      </c>
      <c r="AD117" s="57">
        <f t="shared" ca="1" si="29"/>
        <v>105.77860035595</v>
      </c>
      <c r="AE117" s="57">
        <f t="shared" ca="1" si="30"/>
        <v>0</v>
      </c>
    </row>
    <row r="118" spans="18:31" x14ac:dyDescent="0.3">
      <c r="R118" s="85">
        <f ca="1"/>
        <v>45239</v>
      </c>
      <c r="S118" s="57">
        <f t="shared" ca="1" si="25"/>
        <v>45239</v>
      </c>
      <c r="T118" s="57">
        <f t="shared" ca="1" si="19"/>
        <v>42.927321174735603</v>
      </c>
      <c r="U118" s="57">
        <f t="shared" ca="1" si="20"/>
        <v>64.484755979069902</v>
      </c>
      <c r="V118" s="57">
        <f t="shared" ca="1" si="21"/>
        <v>0</v>
      </c>
      <c r="W118">
        <f t="shared" ca="1" si="22"/>
        <v>110.37748856558903</v>
      </c>
      <c r="X118">
        <f t="shared" ca="1" si="26"/>
        <v>97.878912359396125</v>
      </c>
      <c r="Y118">
        <f t="shared" ca="1" si="23"/>
        <v>0</v>
      </c>
      <c r="Z118">
        <f t="shared" ca="1" si="24"/>
        <v>0.68880763344162399</v>
      </c>
      <c r="AA118" s="85">
        <f ca="1"/>
        <v>45438</v>
      </c>
      <c r="AB118" s="57">
        <f t="shared" ca="1" si="27"/>
        <v>45438</v>
      </c>
      <c r="AC118" s="57">
        <f t="shared" ca="1" si="28"/>
        <v>-11.349045086356398</v>
      </c>
      <c r="AD118" s="57">
        <f t="shared" ca="1" si="29"/>
        <v>107.451882502431</v>
      </c>
      <c r="AE118" s="57">
        <f t="shared" ca="1" si="30"/>
        <v>0</v>
      </c>
    </row>
    <row r="119" spans="18:31" x14ac:dyDescent="0.3">
      <c r="R119" s="85">
        <f ca="1"/>
        <v>45240</v>
      </c>
      <c r="S119" s="57">
        <f t="shared" ca="1" si="25"/>
        <v>45240</v>
      </c>
      <c r="T119" s="57">
        <f t="shared" ca="1" si="19"/>
        <v>41.419301951421936</v>
      </c>
      <c r="U119" s="57">
        <f t="shared" ca="1" si="20"/>
        <v>66.147392793718794</v>
      </c>
      <c r="V119" s="57">
        <f t="shared" ca="1" si="21"/>
        <v>0</v>
      </c>
      <c r="W119">
        <f t="shared" ca="1" si="22"/>
        <v>109.8335219815157</v>
      </c>
      <c r="X119">
        <f t="shared" ca="1" si="26"/>
        <v>97.878912359396125</v>
      </c>
      <c r="Y119">
        <f t="shared" ca="1" si="23"/>
        <v>0</v>
      </c>
      <c r="Z119">
        <f t="shared" ca="1" si="24"/>
        <v>0.69640507070511903</v>
      </c>
      <c r="AA119" s="85">
        <f ca="1"/>
        <v>45439</v>
      </c>
      <c r="AB119" s="57">
        <f t="shared" ca="1" si="27"/>
        <v>45439</v>
      </c>
      <c r="AC119" s="57">
        <f t="shared" ca="1" si="28"/>
        <v>-12.849792214698198</v>
      </c>
      <c r="AD119" s="57">
        <f t="shared" ca="1" si="29"/>
        <v>109.07258672106499</v>
      </c>
      <c r="AE119" s="57">
        <f t="shared" ca="1" si="30"/>
        <v>0</v>
      </c>
    </row>
    <row r="120" spans="18:31" x14ac:dyDescent="0.3">
      <c r="R120" s="85">
        <f ca="1"/>
        <v>45241</v>
      </c>
      <c r="S120" s="57">
        <f t="shared" ca="1" si="25"/>
        <v>45241</v>
      </c>
      <c r="T120" s="57">
        <f t="shared" ca="1" si="19"/>
        <v>39.876687472064454</v>
      </c>
      <c r="U120" s="57">
        <f t="shared" ca="1" si="20"/>
        <v>67.849624290689604</v>
      </c>
      <c r="V120" s="57">
        <f t="shared" ca="1" si="21"/>
        <v>0</v>
      </c>
      <c r="W120">
        <f t="shared" ca="1" si="22"/>
        <v>110.97993887692137</v>
      </c>
      <c r="X120">
        <f t="shared" ca="1" si="26"/>
        <v>97.878912359396125</v>
      </c>
      <c r="Y120">
        <f t="shared" ca="1" si="23"/>
        <v>0</v>
      </c>
      <c r="Z120">
        <f t="shared" ca="1" si="24"/>
        <v>0.70367227898137097</v>
      </c>
      <c r="AA120" s="85">
        <f ca="1"/>
        <v>45440</v>
      </c>
      <c r="AB120" s="57">
        <f t="shared" ca="1" si="27"/>
        <v>45440</v>
      </c>
      <c r="AC120" s="57">
        <f t="shared" ca="1" si="28"/>
        <v>-14.416626579638347</v>
      </c>
      <c r="AD120" s="57">
        <f t="shared" ca="1" si="29"/>
        <v>110.765506617789</v>
      </c>
      <c r="AE120" s="57">
        <f t="shared" ca="1" si="30"/>
        <v>0</v>
      </c>
    </row>
    <row r="121" spans="18:31" x14ac:dyDescent="0.3">
      <c r="R121" s="85">
        <f ca="1"/>
        <v>45242</v>
      </c>
      <c r="S121" s="57">
        <f t="shared" ca="1" si="25"/>
        <v>45242</v>
      </c>
      <c r="T121" s="57">
        <f t="shared" ca="1" si="19"/>
        <v>38.415957633288961</v>
      </c>
      <c r="U121" s="57">
        <f t="shared" ca="1" si="20"/>
        <v>69.459154531493795</v>
      </c>
      <c r="V121" s="57">
        <f t="shared" ca="1" si="21"/>
        <v>0</v>
      </c>
      <c r="W121">
        <f t="shared" ca="1" si="22"/>
        <v>111.21494587393707</v>
      </c>
      <c r="X121">
        <f t="shared" ca="1" si="26"/>
        <v>97.878912359396125</v>
      </c>
      <c r="Y121">
        <f t="shared" ca="1" si="23"/>
        <v>0</v>
      </c>
      <c r="Z121">
        <f t="shared" ca="1" si="24"/>
        <v>0.71009823697791696</v>
      </c>
      <c r="AA121" s="85">
        <f ca="1"/>
        <v>45441</v>
      </c>
      <c r="AB121" s="57">
        <f t="shared" ca="1" si="27"/>
        <v>45441</v>
      </c>
      <c r="AC121" s="57">
        <f t="shared" ca="1" si="28"/>
        <v>-15.80954982715167</v>
      </c>
      <c r="AD121" s="57">
        <f t="shared" ca="1" si="29"/>
        <v>112.271275301125</v>
      </c>
      <c r="AE121" s="57">
        <f t="shared" ca="1" si="30"/>
        <v>0</v>
      </c>
    </row>
    <row r="122" spans="18:31" x14ac:dyDescent="0.3">
      <c r="R122" s="85">
        <f ca="1"/>
        <v>45243</v>
      </c>
      <c r="S122" s="57">
        <f t="shared" ca="1" si="25"/>
        <v>45243</v>
      </c>
      <c r="T122" s="57">
        <f t="shared" ca="1" si="19"/>
        <v>37.001464322347303</v>
      </c>
      <c r="U122" s="57">
        <f t="shared" ca="1" si="20"/>
        <v>71.012836017844606</v>
      </c>
      <c r="V122" s="57">
        <f t="shared" ca="1" si="21"/>
        <v>0</v>
      </c>
      <c r="W122">
        <f t="shared" ca="1" si="22"/>
        <v>109.21029080989189</v>
      </c>
      <c r="X122">
        <f t="shared" ca="1" si="26"/>
        <v>97.878912359396125</v>
      </c>
      <c r="Y122">
        <f t="shared" ca="1" si="23"/>
        <v>0</v>
      </c>
      <c r="Z122">
        <f t="shared" ca="1" si="24"/>
        <v>0.71591622921879905</v>
      </c>
      <c r="AA122" s="85">
        <f ca="1"/>
        <v>45442</v>
      </c>
      <c r="AB122" s="57">
        <f t="shared" ca="1" si="27"/>
        <v>45442</v>
      </c>
      <c r="AC122" s="57">
        <f t="shared" ca="1" si="28"/>
        <v>-17.201109171244923</v>
      </c>
      <c r="AD122" s="57">
        <f t="shared" ca="1" si="29"/>
        <v>113.776288918997</v>
      </c>
      <c r="AE122" s="57">
        <f t="shared" ca="1" si="30"/>
        <v>0</v>
      </c>
    </row>
    <row r="123" spans="18:31" x14ac:dyDescent="0.3">
      <c r="R123" s="85">
        <f ca="1"/>
        <v>45244</v>
      </c>
      <c r="S123" s="57">
        <f t="shared" ca="1" si="25"/>
        <v>45244</v>
      </c>
      <c r="T123" s="57">
        <f t="shared" ca="1" si="19"/>
        <v>35.573561645470846</v>
      </c>
      <c r="U123" s="57">
        <f t="shared" ca="1" si="20"/>
        <v>72.577638746508796</v>
      </c>
      <c r="V123" s="57">
        <f t="shared" ca="1" si="21"/>
        <v>0</v>
      </c>
      <c r="W123">
        <f t="shared" ca="1" si="22"/>
        <v>107.28752936971712</v>
      </c>
      <c r="X123">
        <f t="shared" ca="1" si="26"/>
        <v>97.878912359396125</v>
      </c>
      <c r="Y123">
        <f t="shared" ca="1" si="23"/>
        <v>0</v>
      </c>
      <c r="Z123">
        <f t="shared" ca="1" si="24"/>
        <v>0.72141704823504504</v>
      </c>
      <c r="AA123" s="85">
        <f ca="1"/>
        <v>45443</v>
      </c>
      <c r="AB123" s="57">
        <f t="shared" ca="1" si="27"/>
        <v>45443</v>
      </c>
      <c r="AC123" s="57">
        <f t="shared" ca="1" si="28"/>
        <v>-18.623528840334586</v>
      </c>
      <c r="AD123" s="57">
        <f t="shared" ca="1" si="29"/>
        <v>115.315431777607</v>
      </c>
      <c r="AE123" s="57">
        <f t="shared" ca="1" si="30"/>
        <v>0</v>
      </c>
    </row>
    <row r="124" spans="18:31" x14ac:dyDescent="0.3">
      <c r="R124" s="85">
        <f ca="1"/>
        <v>45245</v>
      </c>
      <c r="S124" s="57">
        <f t="shared" ca="1" si="25"/>
        <v>45245</v>
      </c>
      <c r="T124" s="57">
        <f t="shared" ca="1" si="19"/>
        <v>34.041285044942853</v>
      </c>
      <c r="U124" s="57">
        <f t="shared" ca="1" si="20"/>
        <v>74.255873538096097</v>
      </c>
      <c r="V124" s="57">
        <f t="shared" ca="1" si="21"/>
        <v>0</v>
      </c>
      <c r="W124">
        <f t="shared" ca="1" si="22"/>
        <v>106.06190472354417</v>
      </c>
      <c r="X124">
        <f t="shared" ca="1" si="26"/>
        <v>97.878912359396125</v>
      </c>
      <c r="Y124">
        <f t="shared" ca="1" si="23"/>
        <v>0</v>
      </c>
      <c r="Z124">
        <f t="shared" ca="1" si="24"/>
        <v>0.72694141718438399</v>
      </c>
      <c r="AA124" s="85">
        <f ca="1"/>
        <v>45444</v>
      </c>
      <c r="AB124" s="57">
        <f t="shared" ca="1" si="27"/>
        <v>45444</v>
      </c>
      <c r="AC124" s="57">
        <f t="shared" ca="1" si="28"/>
        <v>-20.033459273546725</v>
      </c>
      <c r="AD124" s="57">
        <f t="shared" ca="1" si="29"/>
        <v>116.84198937604801</v>
      </c>
      <c r="AE124" s="57">
        <f t="shared" ca="1" si="30"/>
        <v>0</v>
      </c>
    </row>
    <row r="125" spans="18:31" x14ac:dyDescent="0.3">
      <c r="R125" s="85">
        <f ca="1"/>
        <v>45246</v>
      </c>
      <c r="S125" s="57">
        <f t="shared" ca="1" si="25"/>
        <v>45246</v>
      </c>
      <c r="T125" s="57">
        <f t="shared" ca="1" si="19"/>
        <v>32.36488192838101</v>
      </c>
      <c r="U125" s="57">
        <f t="shared" ca="1" si="20"/>
        <v>76.098496828829198</v>
      </c>
      <c r="V125" s="57">
        <f t="shared" ca="1" si="21"/>
        <v>0</v>
      </c>
      <c r="W125">
        <f t="shared" ca="1" si="22"/>
        <v>107.98995169734408</v>
      </c>
      <c r="X125">
        <f t="shared" ca="1" si="26"/>
        <v>97.878912359396125</v>
      </c>
      <c r="Y125">
        <f t="shared" ca="1" si="23"/>
        <v>0</v>
      </c>
      <c r="Z125">
        <f t="shared" ca="1" si="24"/>
        <v>0.73258931715888798</v>
      </c>
      <c r="AA125" s="85">
        <f ca="1"/>
        <v>45445</v>
      </c>
      <c r="AB125" s="57">
        <f t="shared" ca="1" si="27"/>
        <v>45445</v>
      </c>
      <c r="AC125" s="57">
        <f t="shared" ca="1" si="28"/>
        <v>-21.417980828827325</v>
      </c>
      <c r="AD125" s="57">
        <f t="shared" ca="1" si="29"/>
        <v>118.342041929348</v>
      </c>
      <c r="AE125" s="57">
        <f t="shared" ca="1" si="30"/>
        <v>0</v>
      </c>
    </row>
    <row r="126" spans="18:31" x14ac:dyDescent="0.3">
      <c r="R126" s="85">
        <f ca="1"/>
        <v>45247</v>
      </c>
      <c r="S126" s="57">
        <f t="shared" ca="1" si="25"/>
        <v>45247</v>
      </c>
      <c r="T126" s="57">
        <f t="shared" ca="1" si="19"/>
        <v>30.668191077433853</v>
      </c>
      <c r="U126" s="57">
        <f t="shared" ca="1" si="20"/>
        <v>77.968797007658495</v>
      </c>
      <c r="V126" s="57">
        <f t="shared" ca="1" si="21"/>
        <v>0</v>
      </c>
      <c r="W126">
        <f t="shared" ca="1" si="22"/>
        <v>110.53573911222611</v>
      </c>
      <c r="X126">
        <f t="shared" ca="1" si="26"/>
        <v>97.878912359396125</v>
      </c>
      <c r="Y126">
        <f t="shared" ca="1" si="23"/>
        <v>0</v>
      </c>
      <c r="Z126">
        <f t="shared" ca="1" si="24"/>
        <v>0.73790648196901898</v>
      </c>
      <c r="AA126" s="85">
        <f ca="1"/>
        <v>45446</v>
      </c>
      <c r="AB126" s="57">
        <f t="shared" ca="1" si="27"/>
        <v>45446</v>
      </c>
      <c r="AC126" s="57">
        <f t="shared" ca="1" si="28"/>
        <v>-22.9346279174693</v>
      </c>
      <c r="AD126" s="57">
        <f t="shared" ca="1" si="29"/>
        <v>119.98658723822</v>
      </c>
      <c r="AE126" s="57">
        <f t="shared" ca="1" si="30"/>
        <v>0</v>
      </c>
    </row>
    <row r="127" spans="18:31" x14ac:dyDescent="0.3">
      <c r="R127" s="85">
        <f ca="1"/>
        <v>45248</v>
      </c>
      <c r="S127" s="57">
        <f t="shared" ca="1" si="25"/>
        <v>45248</v>
      </c>
      <c r="T127" s="57">
        <f t="shared" ca="1" si="19"/>
        <v>61.031011953369244</v>
      </c>
      <c r="U127" s="57">
        <f t="shared" ca="1" si="20"/>
        <v>79.777632880308204</v>
      </c>
      <c r="V127" s="57">
        <f t="shared" ca="1" si="21"/>
        <v>40</v>
      </c>
      <c r="W127">
        <f t="shared" ca="1" si="22"/>
        <v>113.41985590403695</v>
      </c>
      <c r="X127">
        <f t="shared" ca="1" si="26"/>
        <v>97.878912359396125</v>
      </c>
      <c r="Y127">
        <f t="shared" ca="1" si="23"/>
        <v>0</v>
      </c>
      <c r="Z127">
        <f t="shared" ca="1" si="24"/>
        <v>0.742679355788881</v>
      </c>
      <c r="AA127" s="85">
        <f ca="1"/>
        <v>45447</v>
      </c>
      <c r="AB127" s="57">
        <f t="shared" ca="1" si="27"/>
        <v>45447</v>
      </c>
      <c r="AC127" s="57">
        <f t="shared" ca="1" si="28"/>
        <v>-24.399383931620349</v>
      </c>
      <c r="AD127" s="57">
        <f t="shared" ca="1" si="29"/>
        <v>121.57607438417701</v>
      </c>
      <c r="AE127" s="57">
        <f t="shared" ca="1" si="30"/>
        <v>0</v>
      </c>
    </row>
    <row r="128" spans="18:31" x14ac:dyDescent="0.3">
      <c r="R128" s="85">
        <f ca="1"/>
        <v>45249</v>
      </c>
      <c r="S128" s="57">
        <f t="shared" ca="1" si="25"/>
        <v>45249</v>
      </c>
      <c r="T128" s="57">
        <f t="shared" ca="1" si="19"/>
        <v>59.447122112450835</v>
      </c>
      <c r="U128" s="57">
        <f t="shared" ca="1" si="20"/>
        <v>81.521559992817302</v>
      </c>
      <c r="V128" s="57">
        <f t="shared" ca="1" si="21"/>
        <v>0</v>
      </c>
      <c r="W128">
        <f t="shared" ca="1" si="22"/>
        <v>110.85548113772739</v>
      </c>
      <c r="X128">
        <f t="shared" ca="1" si="26"/>
        <v>97.878912359396125</v>
      </c>
      <c r="Y128">
        <f t="shared" ca="1" si="23"/>
        <v>0</v>
      </c>
      <c r="Z128">
        <f t="shared" ca="1" si="24"/>
        <v>0.74696128236971404</v>
      </c>
      <c r="AA128" s="85">
        <f ca="1"/>
        <v>45448</v>
      </c>
      <c r="AB128" s="57">
        <f t="shared" ca="1" si="27"/>
        <v>45448</v>
      </c>
      <c r="AC128" s="57">
        <f t="shared" ca="1" si="28"/>
        <v>-25.831066328176007</v>
      </c>
      <c r="AD128" s="57">
        <f t="shared" ca="1" si="29"/>
        <v>123.13099725780999</v>
      </c>
      <c r="AE128" s="57">
        <f t="shared" ca="1" si="30"/>
        <v>0</v>
      </c>
    </row>
    <row r="129" spans="18:31" x14ac:dyDescent="0.3">
      <c r="R129" s="85">
        <f ca="1"/>
        <v>45250</v>
      </c>
      <c r="S129" s="57">
        <f t="shared" ca="1" si="25"/>
        <v>45250</v>
      </c>
      <c r="T129" s="57">
        <f t="shared" ca="1" si="19"/>
        <v>57.84494301384774</v>
      </c>
      <c r="U129" s="57">
        <f t="shared" ca="1" si="20"/>
        <v>83.284838978693998</v>
      </c>
      <c r="V129" s="57">
        <f t="shared" ca="1" si="21"/>
        <v>0</v>
      </c>
      <c r="W129">
        <f t="shared" ca="1" si="22"/>
        <v>110.02648430889687</v>
      </c>
      <c r="X129">
        <f t="shared" ca="1" si="26"/>
        <v>97.878912359396125</v>
      </c>
      <c r="Y129">
        <f t="shared" ca="1" si="23"/>
        <v>0</v>
      </c>
      <c r="Z129">
        <f t="shared" ca="1" si="24"/>
        <v>0.75099379383803699</v>
      </c>
      <c r="AA129" s="85">
        <f ca="1"/>
        <v>45449</v>
      </c>
      <c r="AB129" s="57">
        <f t="shared" ca="1" si="27"/>
        <v>45449</v>
      </c>
      <c r="AC129" s="57">
        <f t="shared" ca="1" si="28"/>
        <v>-27.232821308682219</v>
      </c>
      <c r="AD129" s="57">
        <f t="shared" ca="1" si="29"/>
        <v>124.654808335125</v>
      </c>
      <c r="AE129" s="57">
        <f t="shared" ca="1" si="30"/>
        <v>0</v>
      </c>
    </row>
    <row r="130" spans="18:31" x14ac:dyDescent="0.3">
      <c r="R130" s="85">
        <f ca="1"/>
        <v>45251</v>
      </c>
      <c r="S130" s="57">
        <f t="shared" ca="1" si="25"/>
        <v>45251</v>
      </c>
      <c r="T130" s="57">
        <f t="shared" ca="1" si="19"/>
        <v>56.235906339679431</v>
      </c>
      <c r="U130" s="57">
        <f t="shared" ca="1" si="20"/>
        <v>85.053113090370502</v>
      </c>
      <c r="V130" s="57">
        <f t="shared" ca="1" si="21"/>
        <v>0</v>
      </c>
      <c r="W130">
        <f t="shared" ca="1" si="22"/>
        <v>108.28404108946549</v>
      </c>
      <c r="X130">
        <f t="shared" ca="1" si="26"/>
        <v>97.878912359396125</v>
      </c>
      <c r="Y130">
        <f t="shared" ca="1" si="23"/>
        <v>0</v>
      </c>
      <c r="Z130">
        <f t="shared" ca="1" si="24"/>
        <v>0.75475850788976095</v>
      </c>
      <c r="AA130" s="85">
        <f ca="1"/>
        <v>45450</v>
      </c>
      <c r="AB130" s="57">
        <f t="shared" ca="1" si="27"/>
        <v>45450</v>
      </c>
      <c r="AC130" s="57">
        <f t="shared" ca="1" si="28"/>
        <v>-28.502277048571756</v>
      </c>
      <c r="AD130" s="57">
        <f t="shared" ca="1" si="29"/>
        <v>126.036266242096</v>
      </c>
      <c r="AE130" s="57">
        <f t="shared" ca="1" si="30"/>
        <v>0</v>
      </c>
    </row>
    <row r="131" spans="18:31" x14ac:dyDescent="0.3">
      <c r="R131" s="85">
        <f ca="1"/>
        <v>45252</v>
      </c>
      <c r="S131" s="57">
        <f t="shared" ca="1" si="25"/>
        <v>45252</v>
      </c>
      <c r="T131" s="57">
        <f t="shared" ca="1" si="19"/>
        <v>54.620221782377463</v>
      </c>
      <c r="U131" s="57">
        <f t="shared" ca="1" si="20"/>
        <v>86.826047813333801</v>
      </c>
      <c r="V131" s="57">
        <f t="shared" ca="1" si="21"/>
        <v>0</v>
      </c>
      <c r="W131">
        <f t="shared" ca="1" si="22"/>
        <v>106.36330554994876</v>
      </c>
      <c r="X131">
        <f t="shared" ca="1" si="26"/>
        <v>97.878912359396125</v>
      </c>
      <c r="Y131">
        <f t="shared" ca="1" si="23"/>
        <v>0</v>
      </c>
      <c r="Z131">
        <f t="shared" ca="1" si="24"/>
        <v>0.75827178071946699</v>
      </c>
      <c r="AA131" s="85">
        <f ca="1"/>
        <v>45451</v>
      </c>
      <c r="AB131" s="57">
        <f t="shared" ca="1" si="27"/>
        <v>45451</v>
      </c>
      <c r="AC131" s="57">
        <f t="shared" ca="1" si="28"/>
        <v>-29.743888338597458</v>
      </c>
      <c r="AD131" s="57">
        <f t="shared" ca="1" si="29"/>
        <v>127.38876547681301</v>
      </c>
      <c r="AE131" s="57">
        <f t="shared" ca="1" si="30"/>
        <v>0</v>
      </c>
    </row>
    <row r="132" spans="18:31" x14ac:dyDescent="0.3">
      <c r="R132" s="85">
        <f ca="1"/>
        <v>45253</v>
      </c>
      <c r="S132" s="57">
        <f t="shared" ca="1" si="25"/>
        <v>45253</v>
      </c>
      <c r="T132" s="57">
        <f t="shared" ca="1" si="19"/>
        <v>52.943950388945339</v>
      </c>
      <c r="U132" s="57">
        <f t="shared" ca="1" si="20"/>
        <v>88.661200556772798</v>
      </c>
      <c r="V132" s="57">
        <f t="shared" ca="1" si="21"/>
        <v>0</v>
      </c>
      <c r="W132">
        <f t="shared" ca="1" si="22"/>
        <v>102.80003043613942</v>
      </c>
      <c r="X132">
        <f t="shared" ca="1" si="26"/>
        <v>97.878912359396125</v>
      </c>
      <c r="Y132">
        <f t="shared" ca="1" si="23"/>
        <v>0</v>
      </c>
      <c r="Z132">
        <f t="shared" ca="1" si="24"/>
        <v>0.76165189365486796</v>
      </c>
      <c r="AA132" s="85">
        <f ca="1"/>
        <v>45452</v>
      </c>
      <c r="AB132" s="57">
        <f t="shared" ca="1" si="27"/>
        <v>45452</v>
      </c>
      <c r="AC132" s="57">
        <f t="shared" ca="1" si="28"/>
        <v>-31.151992336216978</v>
      </c>
      <c r="AD132" s="57">
        <f t="shared" ca="1" si="29"/>
        <v>128.92415919485401</v>
      </c>
      <c r="AE132" s="57">
        <f t="shared" ca="1" si="30"/>
        <v>0</v>
      </c>
    </row>
    <row r="133" spans="18:31" x14ac:dyDescent="0.3">
      <c r="R133" s="85">
        <f ca="1"/>
        <v>45254</v>
      </c>
      <c r="S133" s="57">
        <f t="shared" ca="1" si="25"/>
        <v>45254</v>
      </c>
      <c r="T133" s="57">
        <f t="shared" ca="1" si="19"/>
        <v>51.27565049869694</v>
      </c>
      <c r="U133" s="57">
        <f t="shared" ca="1" si="20"/>
        <v>90.486128848132196</v>
      </c>
      <c r="V133" s="57">
        <f t="shared" ca="1" si="21"/>
        <v>0</v>
      </c>
      <c r="W133">
        <f t="shared" ca="1" si="22"/>
        <v>101.40365378770721</v>
      </c>
      <c r="X133">
        <f t="shared" ca="1" si="26"/>
        <v>97.878912359396125</v>
      </c>
      <c r="Y133">
        <f t="shared" ca="1" si="23"/>
        <v>0</v>
      </c>
      <c r="Z133">
        <f t="shared" ca="1" si="24"/>
        <v>0.76477260634462396</v>
      </c>
      <c r="AA133" s="85">
        <f ca="1"/>
        <v>45453</v>
      </c>
      <c r="AB133" s="57">
        <f t="shared" ca="1" si="27"/>
        <v>45453</v>
      </c>
      <c r="AC133" s="57">
        <f t="shared" ca="1" si="28"/>
        <v>-32.539149593208037</v>
      </c>
      <c r="AD133" s="57">
        <f t="shared" ca="1" si="29"/>
        <v>130.43855091972401</v>
      </c>
      <c r="AE133" s="57">
        <f t="shared" ca="1" si="30"/>
        <v>0</v>
      </c>
    </row>
    <row r="134" spans="18:31" x14ac:dyDescent="0.3">
      <c r="R134" s="85">
        <f ca="1"/>
        <v>45255</v>
      </c>
      <c r="S134" s="57">
        <f t="shared" ca="1" si="25"/>
        <v>45255</v>
      </c>
      <c r="T134" s="57">
        <f t="shared" ca="1" si="19"/>
        <v>49.517293343192435</v>
      </c>
      <c r="U134" s="57">
        <f t="shared" ca="1" si="20"/>
        <v>92.411570818590306</v>
      </c>
      <c r="V134" s="57">
        <f t="shared" ca="1" si="21"/>
        <v>0</v>
      </c>
      <c r="W134">
        <f t="shared" ca="1" si="22"/>
        <v>100.26910158625408</v>
      </c>
      <c r="X134">
        <f t="shared" ca="1" si="26"/>
        <v>97.878912359396125</v>
      </c>
      <c r="Y134">
        <f t="shared" ca="1" si="23"/>
        <v>0</v>
      </c>
      <c r="Z134">
        <f t="shared" ca="1" si="24"/>
        <v>0.76782376059663704</v>
      </c>
      <c r="AA134" s="85">
        <f ca="1"/>
        <v>45454</v>
      </c>
      <c r="AB134" s="57">
        <f t="shared" ca="1" si="27"/>
        <v>45454</v>
      </c>
      <c r="AC134" s="57">
        <f t="shared" ca="1" si="28"/>
        <v>-34.021714598139511</v>
      </c>
      <c r="AD134" s="57">
        <f t="shared" ca="1" si="29"/>
        <v>132.06009205670301</v>
      </c>
      <c r="AE134" s="57">
        <f t="shared" ca="1" si="30"/>
        <v>0</v>
      </c>
    </row>
    <row r="135" spans="18:31" x14ac:dyDescent="0.3">
      <c r="R135" s="85">
        <f ca="1"/>
        <v>45256</v>
      </c>
      <c r="S135" s="57">
        <f t="shared" ca="1" si="25"/>
        <v>45256</v>
      </c>
      <c r="T135" s="57">
        <f t="shared" ca="1" si="19"/>
        <v>47.766915242790589</v>
      </c>
      <c r="U135" s="57">
        <f t="shared" ca="1" si="20"/>
        <v>94.335876413135296</v>
      </c>
      <c r="V135" s="57">
        <f t="shared" ca="1" si="21"/>
        <v>0</v>
      </c>
      <c r="W135">
        <f t="shared" ca="1" si="22"/>
        <v>103.00768890264774</v>
      </c>
      <c r="X135">
        <f t="shared" ca="1" si="26"/>
        <v>97.878912359396125</v>
      </c>
      <c r="Y135">
        <f t="shared" ca="1" si="23"/>
        <v>0</v>
      </c>
      <c r="Z135">
        <f t="shared" ca="1" si="24"/>
        <v>0.77064335784590099</v>
      </c>
      <c r="AA135" s="85">
        <f ca="1"/>
        <v>45455</v>
      </c>
      <c r="AB135" s="57">
        <f t="shared" ca="1" si="27"/>
        <v>45455</v>
      </c>
      <c r="AC135" s="57">
        <f t="shared" ca="1" si="28"/>
        <v>-35.31522126318535</v>
      </c>
      <c r="AD135" s="57">
        <f t="shared" ca="1" si="29"/>
        <v>133.47599851028301</v>
      </c>
      <c r="AE135" s="57">
        <f t="shared" ca="1" si="30"/>
        <v>0</v>
      </c>
    </row>
    <row r="136" spans="18:31" x14ac:dyDescent="0.3">
      <c r="R136" s="85">
        <f ca="1"/>
        <v>45257</v>
      </c>
      <c r="S136" s="57">
        <f t="shared" ca="1" si="25"/>
        <v>45257</v>
      </c>
      <c r="T136" s="57">
        <f t="shared" ca="1" si="19"/>
        <v>45.998254279296816</v>
      </c>
      <c r="U136" s="57">
        <f t="shared" ca="1" si="20"/>
        <v>96.280113490454497</v>
      </c>
      <c r="V136" s="57">
        <f t="shared" ca="1" si="21"/>
        <v>0</v>
      </c>
      <c r="W136">
        <f t="shared" ca="1" si="22"/>
        <v>101.40264048671554</v>
      </c>
      <c r="X136">
        <f t="shared" ca="1" si="26"/>
        <v>97.878912359396125</v>
      </c>
      <c r="Y136">
        <f t="shared" ca="1" si="23"/>
        <v>0</v>
      </c>
      <c r="Z136">
        <f t="shared" ca="1" si="24"/>
        <v>0.77327603894530905</v>
      </c>
      <c r="AA136" s="85">
        <f ca="1"/>
        <v>45456</v>
      </c>
      <c r="AB136" s="57">
        <f t="shared" ca="1" si="27"/>
        <v>45456</v>
      </c>
      <c r="AC136" s="57">
        <f t="shared" ca="1" si="28"/>
        <v>-36.545121492172427</v>
      </c>
      <c r="AD136" s="57">
        <f t="shared" ca="1" si="29"/>
        <v>134.824107127003</v>
      </c>
      <c r="AE136" s="57">
        <f t="shared" ca="1" si="30"/>
        <v>0</v>
      </c>
    </row>
    <row r="137" spans="18:31" x14ac:dyDescent="0.3">
      <c r="R137" s="85">
        <f ca="1"/>
        <v>45258</v>
      </c>
      <c r="S137" s="57">
        <f t="shared" ca="1" si="25"/>
        <v>45258</v>
      </c>
      <c r="T137" s="57">
        <f t="shared" ca="1" si="19"/>
        <v>44.282445374667333</v>
      </c>
      <c r="U137" s="57">
        <f t="shared" ca="1" si="20"/>
        <v>98.177165477596901</v>
      </c>
      <c r="V137" s="57">
        <f t="shared" ca="1" si="21"/>
        <v>0</v>
      </c>
      <c r="W137">
        <f t="shared" ca="1" si="22"/>
        <v>105.93062937255215</v>
      </c>
      <c r="X137">
        <f t="shared" ca="1" si="26"/>
        <v>97.878912359396125</v>
      </c>
      <c r="Y137">
        <f t="shared" ca="1" si="23"/>
        <v>0</v>
      </c>
      <c r="Z137">
        <f t="shared" ca="1" si="24"/>
        <v>0.77565067345824501</v>
      </c>
      <c r="AA137" s="85">
        <f ca="1"/>
        <v>45457</v>
      </c>
      <c r="AB137" s="57">
        <f t="shared" ca="1" si="27"/>
        <v>45457</v>
      </c>
      <c r="AC137" s="57">
        <f t="shared" ca="1" si="28"/>
        <v>-37.624053994297128</v>
      </c>
      <c r="AD137" s="57">
        <f t="shared" ca="1" si="29"/>
        <v>136.00891170662101</v>
      </c>
      <c r="AE137" s="57">
        <f t="shared" ca="1" si="30"/>
        <v>0</v>
      </c>
    </row>
    <row r="138" spans="18:31" x14ac:dyDescent="0.3">
      <c r="R138" s="85">
        <f ca="1"/>
        <v>45259</v>
      </c>
      <c r="S138" s="57">
        <f t="shared" ca="1" si="25"/>
        <v>45259</v>
      </c>
      <c r="T138" s="57">
        <f t="shared" ca="1" si="19"/>
        <v>42.690402456203159</v>
      </c>
      <c r="U138" s="57">
        <f t="shared" ca="1" si="20"/>
        <v>99.929847837461594</v>
      </c>
      <c r="V138" s="57">
        <f t="shared" ca="1" si="21"/>
        <v>0</v>
      </c>
      <c r="W138">
        <f t="shared" ca="1" si="22"/>
        <v>102.53584801953319</v>
      </c>
      <c r="X138">
        <f t="shared" ca="1" si="26"/>
        <v>97.878912359396125</v>
      </c>
      <c r="Y138">
        <f t="shared" ca="1" si="23"/>
        <v>0</v>
      </c>
      <c r="Z138">
        <f t="shared" ca="1" si="24"/>
        <v>0.77768614291553795</v>
      </c>
      <c r="AA138" s="85">
        <f ca="1"/>
        <v>45458</v>
      </c>
      <c r="AB138" s="57">
        <f t="shared" ca="1" si="27"/>
        <v>45458</v>
      </c>
      <c r="AC138" s="57">
        <f t="shared" ca="1" si="28"/>
        <v>-38.815828972545177</v>
      </c>
      <c r="AD138" s="57">
        <f t="shared" ca="1" si="29"/>
        <v>137.318798565853</v>
      </c>
      <c r="AE138" s="57">
        <f t="shared" ca="1" si="30"/>
        <v>0</v>
      </c>
    </row>
    <row r="139" spans="18:31" x14ac:dyDescent="0.3">
      <c r="R139" s="85">
        <f ca="1"/>
        <v>45260</v>
      </c>
      <c r="S139" s="57">
        <f t="shared" ca="1" si="25"/>
        <v>45260</v>
      </c>
      <c r="T139" s="57">
        <f t="shared" ca="1" si="19"/>
        <v>41.015231408134454</v>
      </c>
      <c r="U139" s="57">
        <f t="shared" ca="1" si="20"/>
        <v>101.7834594369</v>
      </c>
      <c r="V139" s="57">
        <f t="shared" ca="1" si="21"/>
        <v>0</v>
      </c>
      <c r="W139">
        <f t="shared" ca="1" si="22"/>
        <v>104.12353084273707</v>
      </c>
      <c r="X139">
        <f t="shared" ca="1" si="26"/>
        <v>97.878912359396125</v>
      </c>
      <c r="Y139">
        <f t="shared" ca="1" si="23"/>
        <v>0</v>
      </c>
      <c r="Z139">
        <f t="shared" ca="1" si="24"/>
        <v>0.77968463137941502</v>
      </c>
      <c r="AA139" s="85">
        <f ca="1"/>
        <v>45459</v>
      </c>
      <c r="AB139" s="57">
        <f t="shared" ca="1" si="27"/>
        <v>45459</v>
      </c>
      <c r="AC139" s="57">
        <f t="shared" ca="1" si="28"/>
        <v>-39.999469604891402</v>
      </c>
      <c r="AD139" s="57">
        <f t="shared" ca="1" si="29"/>
        <v>138.62175924053699</v>
      </c>
      <c r="AE139" s="57">
        <f t="shared" ca="1" si="30"/>
        <v>0</v>
      </c>
    </row>
    <row r="140" spans="18:31" x14ac:dyDescent="0.3">
      <c r="R140" s="85">
        <f ca="1"/>
        <v>45261</v>
      </c>
      <c r="S140" s="57">
        <f t="shared" ca="1" si="25"/>
        <v>45261</v>
      </c>
      <c r="T140" s="57">
        <f t="shared" ca="1" si="19"/>
        <v>39.39745050061245</v>
      </c>
      <c r="U140" s="57">
        <f t="shared" ca="1" si="20"/>
        <v>103.583254405902</v>
      </c>
      <c r="V140" s="57">
        <f t="shared" ca="1" si="21"/>
        <v>0</v>
      </c>
      <c r="W140">
        <f t="shared" ca="1" si="22"/>
        <v>107.71845722150134</v>
      </c>
      <c r="X140">
        <f t="shared" ca="1" si="26"/>
        <v>97.878912359396125</v>
      </c>
      <c r="Y140">
        <f t="shared" ca="1" si="23"/>
        <v>0</v>
      </c>
      <c r="Z140">
        <f t="shared" ca="1" si="24"/>
        <v>0.78148360932393302</v>
      </c>
      <c r="AA140" s="85">
        <f ca="1"/>
        <v>45460</v>
      </c>
      <c r="AB140" s="57">
        <f t="shared" ca="1" si="27"/>
        <v>45460</v>
      </c>
      <c r="AC140" s="57">
        <f t="shared" ca="1" si="28"/>
        <v>-41.172165598375898</v>
      </c>
      <c r="AD140" s="57">
        <f t="shared" ca="1" si="29"/>
        <v>139.91479617399301</v>
      </c>
      <c r="AE140" s="57">
        <f t="shared" ca="1" si="30"/>
        <v>0</v>
      </c>
    </row>
    <row r="141" spans="18:31" x14ac:dyDescent="0.3">
      <c r="R141" s="85">
        <f ca="1"/>
        <v>45262</v>
      </c>
      <c r="S141" s="57">
        <f t="shared" ca="1" si="25"/>
        <v>45262</v>
      </c>
      <c r="T141" s="57">
        <f t="shared" ca="1" si="19"/>
        <v>37.778611637129117</v>
      </c>
      <c r="U141" s="57">
        <f t="shared" ca="1" si="20"/>
        <v>105.382673142752</v>
      </c>
      <c r="V141" s="57">
        <f t="shared" ca="1" si="21"/>
        <v>0</v>
      </c>
      <c r="W141">
        <f t="shared" ca="1" si="22"/>
        <v>105.0226606751496</v>
      </c>
      <c r="X141">
        <f t="shared" ca="1" si="26"/>
        <v>97.878912359396125</v>
      </c>
      <c r="Y141">
        <f t="shared" ca="1" si="23"/>
        <v>0</v>
      </c>
      <c r="Z141">
        <f t="shared" ca="1" si="24"/>
        <v>0.78315223345458396</v>
      </c>
      <c r="AA141" s="85">
        <f ca="1"/>
        <v>45461</v>
      </c>
      <c r="AB141" s="57">
        <f t="shared" ca="1" si="27"/>
        <v>45461</v>
      </c>
      <c r="AC141" s="57">
        <f t="shared" ca="1" si="28"/>
        <v>-42.362058336091962</v>
      </c>
      <c r="AD141" s="57">
        <f t="shared" ca="1" si="29"/>
        <v>141.22916896916001</v>
      </c>
      <c r="AE141" s="57">
        <f t="shared" ca="1" si="30"/>
        <v>0</v>
      </c>
    </row>
    <row r="142" spans="18:31" x14ac:dyDescent="0.3">
      <c r="R142" s="85">
        <f ca="1"/>
        <v>45263</v>
      </c>
      <c r="S142" s="57">
        <f t="shared" ca="1" si="25"/>
        <v>45263</v>
      </c>
      <c r="T142" s="57">
        <f t="shared" ca="1" si="19"/>
        <v>36.197172299029248</v>
      </c>
      <c r="U142" s="57">
        <f t="shared" ca="1" si="20"/>
        <v>107.141578468299</v>
      </c>
      <c r="V142" s="57">
        <f t="shared" ca="1" si="21"/>
        <v>0</v>
      </c>
      <c r="W142">
        <f t="shared" ca="1" si="22"/>
        <v>104.01638903081233</v>
      </c>
      <c r="X142">
        <f t="shared" ca="1" si="26"/>
        <v>97.878912359396125</v>
      </c>
      <c r="Y142">
        <f t="shared" ca="1" si="23"/>
        <v>0</v>
      </c>
      <c r="Z142">
        <f t="shared" ca="1" si="24"/>
        <v>0.78466594214313601</v>
      </c>
      <c r="AA142" s="85">
        <f ca="1"/>
        <v>45462</v>
      </c>
      <c r="AB142" s="57">
        <f t="shared" ca="1" si="27"/>
        <v>45462</v>
      </c>
      <c r="AC142" s="57">
        <f t="shared" ca="1" si="28"/>
        <v>-43.523552524410292</v>
      </c>
      <c r="AD142" s="57">
        <f t="shared" ca="1" si="29"/>
        <v>142.514564483187</v>
      </c>
      <c r="AE142" s="57">
        <f t="shared" ca="1" si="30"/>
        <v>0</v>
      </c>
    </row>
    <row r="143" spans="18:31" x14ac:dyDescent="0.3">
      <c r="R143" s="85">
        <f ca="1"/>
        <v>45264</v>
      </c>
      <c r="S143" s="57">
        <f t="shared" ca="1" si="25"/>
        <v>45264</v>
      </c>
      <c r="T143" s="57">
        <f t="shared" ca="1" si="19"/>
        <v>34.598272194140378</v>
      </c>
      <c r="U143" s="57">
        <f t="shared" ca="1" si="20"/>
        <v>108.924196951909</v>
      </c>
      <c r="V143" s="57">
        <f t="shared" ca="1" si="21"/>
        <v>0</v>
      </c>
      <c r="W143">
        <f t="shared" ca="1" si="22"/>
        <v>103.32571048251775</v>
      </c>
      <c r="X143">
        <f t="shared" ca="1" si="26"/>
        <v>97.878912359396125</v>
      </c>
      <c r="Y143">
        <f t="shared" ca="1" si="23"/>
        <v>0</v>
      </c>
      <c r="Z143">
        <f t="shared" ca="1" si="24"/>
        <v>0.78608940120284398</v>
      </c>
      <c r="AA143" s="85">
        <f ca="1"/>
        <v>45463</v>
      </c>
      <c r="AB143" s="57">
        <f t="shared" ca="1" si="27"/>
        <v>45463</v>
      </c>
      <c r="AC143" s="57">
        <f t="shared" ca="1" si="28"/>
        <v>-44.599648465101211</v>
      </c>
      <c r="AD143" s="57">
        <f t="shared" ca="1" si="29"/>
        <v>143.70769787701099</v>
      </c>
      <c r="AE143" s="57">
        <f t="shared" ca="1" si="30"/>
        <v>0</v>
      </c>
    </row>
    <row r="144" spans="18:31" x14ac:dyDescent="0.3">
      <c r="R144" s="85">
        <f ca="1"/>
        <v>45265</v>
      </c>
      <c r="S144" s="57">
        <f t="shared" ca="1" si="25"/>
        <v>45265</v>
      </c>
      <c r="T144" s="57">
        <f t="shared" ca="1" si="19"/>
        <v>33.044821672671674</v>
      </c>
      <c r="U144" s="57">
        <f t="shared" ca="1" si="20"/>
        <v>110.654986857498</v>
      </c>
      <c r="V144" s="57">
        <f t="shared" ca="1" si="21"/>
        <v>0</v>
      </c>
      <c r="W144">
        <f t="shared" ca="1" si="22"/>
        <v>101.13340954555746</v>
      </c>
      <c r="X144">
        <f t="shared" ca="1" si="26"/>
        <v>97.878912359396125</v>
      </c>
      <c r="Y144">
        <f t="shared" ca="1" si="23"/>
        <v>0</v>
      </c>
      <c r="Z144">
        <f t="shared" ca="1" si="24"/>
        <v>0.78737169932430195</v>
      </c>
      <c r="AA144" s="85">
        <f ca="1"/>
        <v>45464</v>
      </c>
      <c r="AB144" s="57">
        <f t="shared" ca="1" si="27"/>
        <v>45464</v>
      </c>
      <c r="AC144" s="57">
        <f t="shared" ca="1" si="28"/>
        <v>-45.5439115229793</v>
      </c>
      <c r="AD144" s="57">
        <f t="shared" ca="1" si="29"/>
        <v>144.757225425711</v>
      </c>
      <c r="AE144" s="57">
        <f t="shared" ca="1" si="30"/>
        <v>0</v>
      </c>
    </row>
    <row r="145" spans="18:31" x14ac:dyDescent="0.3">
      <c r="R145" s="85">
        <f ca="1"/>
        <v>45266</v>
      </c>
      <c r="S145" s="57">
        <f t="shared" ca="1" si="25"/>
        <v>45266</v>
      </c>
      <c r="T145" s="57">
        <f t="shared" ca="1" si="19"/>
        <v>31.52675018686233</v>
      </c>
      <c r="U145" s="57">
        <f t="shared" ca="1" si="20"/>
        <v>112.350251460706</v>
      </c>
      <c r="V145" s="57">
        <f t="shared" ca="1" si="21"/>
        <v>0</v>
      </c>
      <c r="W145">
        <f t="shared" ca="1" si="22"/>
        <v>100.96469851053853</v>
      </c>
      <c r="X145">
        <f t="shared" ca="1" si="26"/>
        <v>97.878912359396125</v>
      </c>
      <c r="Y145">
        <f t="shared" ca="1" si="23"/>
        <v>0</v>
      </c>
      <c r="Z145">
        <f t="shared" ca="1" si="24"/>
        <v>0.78853836173186398</v>
      </c>
      <c r="AA145" s="85">
        <f ca="1"/>
        <v>45465</v>
      </c>
      <c r="AB145" s="57">
        <f t="shared" ca="1" si="27"/>
        <v>45465</v>
      </c>
      <c r="AC145" s="57">
        <f t="shared" ca="1" si="28"/>
        <v>-46.476592623915792</v>
      </c>
      <c r="AD145" s="57">
        <f t="shared" ca="1" si="29"/>
        <v>145.79570888629101</v>
      </c>
      <c r="AE145" s="57">
        <f t="shared" ca="1" si="30"/>
        <v>0</v>
      </c>
    </row>
    <row r="146" spans="18:31" x14ac:dyDescent="0.3">
      <c r="R146" s="85">
        <f ca="1"/>
        <v>45267</v>
      </c>
      <c r="S146" s="57">
        <f t="shared" ca="1" si="25"/>
        <v>45267</v>
      </c>
      <c r="T146" s="57">
        <f t="shared" ref="T146:T209" ca="1" si="31">VLOOKUP(S146,ModelOutputs,2,FALSE)</f>
        <v>30.09557655814686</v>
      </c>
      <c r="U146" s="57">
        <f t="shared" ref="U146:U209" ca="1" si="32">VLOOKUP(S146,ModelOutputs,7,FALSE)</f>
        <v>113.95030066958699</v>
      </c>
      <c r="V146" s="57">
        <f t="shared" ref="V146:V209" ca="1" si="33">VLOOKUP(S146,ModelOutputs,6,FALSE)</f>
        <v>0</v>
      </c>
      <c r="W146">
        <f t="shared" ref="W146:W209" ca="1" si="34">VLOOKUP(S146,ModelOutputs,10,FALSE)*AWC</f>
        <v>100.76029533116537</v>
      </c>
      <c r="X146">
        <f t="shared" ca="1" si="26"/>
        <v>97.878912359396125</v>
      </c>
      <c r="Y146">
        <f t="shared" ref="Y146:Y209" ca="1" si="35">VLOOKUP(S146,ModelOutputs,12,FALSE)</f>
        <v>0</v>
      </c>
      <c r="Z146">
        <f t="shared" ref="Z146:Z209" ca="1" si="36">VLOOKUP(S146,ModelOutputs,13,FALSE)</f>
        <v>0.78956329999173203</v>
      </c>
      <c r="AA146" s="85">
        <f ca="1"/>
        <v>45466</v>
      </c>
      <c r="AB146" s="57">
        <f t="shared" ca="1" si="27"/>
        <v>45466</v>
      </c>
      <c r="AC146" s="57">
        <f t="shared" ca="1" si="28"/>
        <v>-47.527069135334898</v>
      </c>
      <c r="AD146" s="57">
        <f t="shared" ca="1" si="29"/>
        <v>146.96702312657101</v>
      </c>
      <c r="AE146" s="57">
        <f t="shared" ca="1" si="30"/>
        <v>0</v>
      </c>
    </row>
    <row r="147" spans="18:31" x14ac:dyDescent="0.3">
      <c r="R147" s="85">
        <f ca="1"/>
        <v>45268</v>
      </c>
      <c r="S147" s="57">
        <f t="shared" ref="S147:S210" ca="1" si="37">IF(R147&gt;1,R147,"")</f>
        <v>45268</v>
      </c>
      <c r="T147" s="57">
        <f t="shared" ca="1" si="31"/>
        <v>60.758442760070238</v>
      </c>
      <c r="U147" s="57">
        <f t="shared" ca="1" si="32"/>
        <v>115.45377358615499</v>
      </c>
      <c r="V147" s="57">
        <f t="shared" ca="1" si="33"/>
        <v>40</v>
      </c>
      <c r="W147">
        <f t="shared" ca="1" si="34"/>
        <v>104.05494839012655</v>
      </c>
      <c r="X147">
        <f t="shared" ref="X147:X210" ca="1" si="38">VLOOKUP(S147,ModelOutputs,11,FALSE)+X146</f>
        <v>97.878912359396125</v>
      </c>
      <c r="Y147">
        <f t="shared" ca="1" si="35"/>
        <v>0</v>
      </c>
      <c r="Z147">
        <f t="shared" ca="1" si="36"/>
        <v>0.79046280275189196</v>
      </c>
      <c r="AA147" s="85">
        <f ca="1"/>
        <v>45467</v>
      </c>
      <c r="AB147" s="57">
        <f t="shared" ca="1" si="27"/>
        <v>45467</v>
      </c>
      <c r="AC147" s="57">
        <f t="shared" ca="1" si="28"/>
        <v>-48.471340292722942</v>
      </c>
      <c r="AD147" s="57">
        <f t="shared" ca="1" si="29"/>
        <v>148.02242113100399</v>
      </c>
      <c r="AE147" s="57">
        <f t="shared" ca="1" si="30"/>
        <v>0</v>
      </c>
    </row>
    <row r="148" spans="18:31" x14ac:dyDescent="0.3">
      <c r="R148" s="85">
        <f ca="1"/>
        <v>45269</v>
      </c>
      <c r="S148" s="57">
        <f t="shared" ca="1" si="37"/>
        <v>45269</v>
      </c>
      <c r="T148" s="57">
        <f t="shared" ca="1" si="31"/>
        <v>59.398908012966473</v>
      </c>
      <c r="U148" s="57">
        <f t="shared" ca="1" si="32"/>
        <v>116.985329087842</v>
      </c>
      <c r="V148" s="57">
        <f t="shared" ca="1" si="33"/>
        <v>0</v>
      </c>
      <c r="W148">
        <f t="shared" ca="1" si="34"/>
        <v>102.22880489410122</v>
      </c>
      <c r="X148">
        <f t="shared" ca="1" si="38"/>
        <v>97.878912359396125</v>
      </c>
      <c r="Y148">
        <f t="shared" ca="1" si="35"/>
        <v>0</v>
      </c>
      <c r="Z148">
        <f t="shared" ca="1" si="36"/>
        <v>0.79131925796251401</v>
      </c>
      <c r="AA148" s="85">
        <f ca="1"/>
        <v>45468</v>
      </c>
      <c r="AB148" s="57">
        <f t="shared" ca="1" si="27"/>
        <v>45468</v>
      </c>
      <c r="AC148" s="57">
        <f t="shared" ca="1" si="28"/>
        <v>-49.359559050693122</v>
      </c>
      <c r="AD148" s="57">
        <f t="shared" ca="1" si="29"/>
        <v>149.017572577176</v>
      </c>
      <c r="AE148" s="57">
        <f t="shared" ca="1" si="30"/>
        <v>0</v>
      </c>
    </row>
    <row r="149" spans="18:31" x14ac:dyDescent="0.3">
      <c r="R149" s="85">
        <f ca="1"/>
        <v>45270</v>
      </c>
      <c r="S149" s="57">
        <f t="shared" ca="1" si="37"/>
        <v>45270</v>
      </c>
      <c r="T149" s="57">
        <f t="shared" ca="1" si="31"/>
        <v>58.020584684039051</v>
      </c>
      <c r="U149" s="57">
        <f t="shared" ca="1" si="32"/>
        <v>118.5541043093</v>
      </c>
      <c r="V149" s="57">
        <f t="shared" ca="1" si="33"/>
        <v>0</v>
      </c>
      <c r="W149">
        <f t="shared" ca="1" si="34"/>
        <v>105.74967400156473</v>
      </c>
      <c r="X149">
        <f t="shared" ca="1" si="38"/>
        <v>97.878912359396125</v>
      </c>
      <c r="Y149">
        <f t="shared" ca="1" si="35"/>
        <v>0</v>
      </c>
      <c r="Z149">
        <f t="shared" ca="1" si="36"/>
        <v>0.79213730106161295</v>
      </c>
      <c r="AA149" s="85">
        <f ca="1"/>
        <v>45469</v>
      </c>
      <c r="AB149" s="57">
        <f t="shared" ref="AB149:AB212" ca="1" si="39">IF(AA149&gt;1,AA149,"")</f>
        <v>45469</v>
      </c>
      <c r="AC149" s="57">
        <f t="shared" ref="AC149:AC212" ca="1" si="40">VLOOKUP(AB149,ModelOutputs,2,FALSE)</f>
        <v>-50.196412002587778</v>
      </c>
      <c r="AD149" s="57">
        <f t="shared" ref="AD149:AD212" ca="1" si="41">VLOOKUP(AB149,ModelOutputs,7,FALSE)</f>
        <v>149.95755598548701</v>
      </c>
      <c r="AE149" s="57">
        <f t="shared" ref="AE149:AE212" ca="1" si="42">VLOOKUP(AB149,ModelOutputs,6,FALSE)</f>
        <v>0</v>
      </c>
    </row>
    <row r="150" spans="18:31" x14ac:dyDescent="0.3">
      <c r="R150" s="85">
        <f ca="1"/>
        <v>45271</v>
      </c>
      <c r="S150" s="57">
        <f t="shared" ca="1" si="37"/>
        <v>45271</v>
      </c>
      <c r="T150" s="57">
        <f t="shared" ca="1" si="31"/>
        <v>56.621902729797526</v>
      </c>
      <c r="U150" s="57">
        <f t="shared" ca="1" si="32"/>
        <v>120.15347605467799</v>
      </c>
      <c r="V150" s="57">
        <f t="shared" ca="1" si="33"/>
        <v>0</v>
      </c>
      <c r="W150">
        <f t="shared" ca="1" si="34"/>
        <v>104.79198884888118</v>
      </c>
      <c r="X150">
        <f t="shared" ca="1" si="38"/>
        <v>97.878912359396125</v>
      </c>
      <c r="Y150">
        <f t="shared" ca="1" si="35"/>
        <v>0</v>
      </c>
      <c r="Z150">
        <f t="shared" ca="1" si="36"/>
        <v>0.79291298975434599</v>
      </c>
      <c r="AA150" s="85">
        <f ca="1"/>
        <v>45470</v>
      </c>
      <c r="AB150" s="57">
        <f t="shared" ca="1" si="39"/>
        <v>45470</v>
      </c>
      <c r="AC150" s="57">
        <f t="shared" ca="1" si="40"/>
        <v>-51.023047028668827</v>
      </c>
      <c r="AD150" s="57">
        <f t="shared" ca="1" si="41"/>
        <v>150.88799738615199</v>
      </c>
      <c r="AE150" s="57">
        <f t="shared" ca="1" si="42"/>
        <v>0</v>
      </c>
    </row>
    <row r="151" spans="18:31" x14ac:dyDescent="0.3">
      <c r="R151" s="85">
        <f ca="1"/>
        <v>45272</v>
      </c>
      <c r="S151" s="57">
        <f t="shared" ca="1" si="37"/>
        <v>45272</v>
      </c>
      <c r="T151" s="57">
        <f t="shared" ca="1" si="31"/>
        <v>55.305717680281248</v>
      </c>
      <c r="U151" s="57">
        <f t="shared" ca="1" si="32"/>
        <v>121.660261312633</v>
      </c>
      <c r="V151" s="57">
        <f t="shared" ca="1" si="33"/>
        <v>0</v>
      </c>
      <c r="W151">
        <f t="shared" ca="1" si="34"/>
        <v>103.74844693200679</v>
      </c>
      <c r="X151">
        <f t="shared" ca="1" si="38"/>
        <v>97.878912359396125</v>
      </c>
      <c r="Y151">
        <f t="shared" ca="1" si="35"/>
        <v>0</v>
      </c>
      <c r="Z151">
        <f t="shared" ca="1" si="36"/>
        <v>0.79359284319678602</v>
      </c>
      <c r="AA151" s="85">
        <f ca="1"/>
        <v>45471</v>
      </c>
      <c r="AB151" s="57">
        <f t="shared" ca="1" si="39"/>
        <v>45471</v>
      </c>
      <c r="AC151" s="57">
        <f t="shared" ca="1" si="40"/>
        <v>-51.821995949714648</v>
      </c>
      <c r="AD151" s="57">
        <f t="shared" ca="1" si="41"/>
        <v>151.789451641011</v>
      </c>
      <c r="AE151" s="57">
        <f t="shared" ca="1" si="42"/>
        <v>0</v>
      </c>
    </row>
    <row r="152" spans="18:31" x14ac:dyDescent="0.3">
      <c r="R152" s="85">
        <f ca="1"/>
        <v>45273</v>
      </c>
      <c r="S152" s="57">
        <f t="shared" ca="1" si="37"/>
        <v>45273</v>
      </c>
      <c r="T152" s="57">
        <f t="shared" ca="1" si="31"/>
        <v>54.037684201797987</v>
      </c>
      <c r="U152" s="57">
        <f t="shared" ca="1" si="32"/>
        <v>123.11252595418</v>
      </c>
      <c r="V152" s="57">
        <f t="shared" ca="1" si="33"/>
        <v>0</v>
      </c>
      <c r="W152">
        <f t="shared" ca="1" si="34"/>
        <v>101.45365337687153</v>
      </c>
      <c r="X152">
        <f t="shared" ca="1" si="38"/>
        <v>97.878912359396125</v>
      </c>
      <c r="Y152">
        <f t="shared" ca="1" si="35"/>
        <v>0</v>
      </c>
      <c r="Z152">
        <f t="shared" ca="1" si="36"/>
        <v>0.79420379779732697</v>
      </c>
      <c r="AA152" s="85">
        <f ca="1"/>
        <v>45472</v>
      </c>
      <c r="AB152" s="57">
        <f t="shared" ca="1" si="39"/>
        <v>45472</v>
      </c>
      <c r="AC152" s="57">
        <f t="shared" ca="1" si="40"/>
        <v>-52.588374449589082</v>
      </c>
      <c r="AD152" s="57">
        <f t="shared" ca="1" si="41"/>
        <v>152.656399777216</v>
      </c>
      <c r="AE152" s="57">
        <f t="shared" ca="1" si="42"/>
        <v>0</v>
      </c>
    </row>
    <row r="153" spans="18:31" x14ac:dyDescent="0.3">
      <c r="R153" s="85">
        <f ca="1"/>
        <v>45274</v>
      </c>
      <c r="S153" s="57">
        <f t="shared" ca="1" si="37"/>
        <v>45274</v>
      </c>
      <c r="T153" s="57">
        <f t="shared" ca="1" si="31"/>
        <v>52.85649237501562</v>
      </c>
      <c r="U153" s="57">
        <f t="shared" ca="1" si="32"/>
        <v>124.464161820496</v>
      </c>
      <c r="V153" s="57">
        <f t="shared" ca="1" si="33"/>
        <v>0</v>
      </c>
      <c r="W153">
        <f t="shared" ca="1" si="34"/>
        <v>99.294129554389343</v>
      </c>
      <c r="X153">
        <f t="shared" ca="1" si="38"/>
        <v>97.878912359396125</v>
      </c>
      <c r="Y153">
        <f t="shared" ca="1" si="35"/>
        <v>0</v>
      </c>
      <c r="Z153">
        <f t="shared" ca="1" si="36"/>
        <v>0.79473528711284203</v>
      </c>
      <c r="AA153" s="85" t="e">
        <f ca="1"/>
        <v>#N/A</v>
      </c>
      <c r="AB153" s="57" t="e">
        <f t="shared" ca="1" si="39"/>
        <v>#N/A</v>
      </c>
      <c r="AC153" s="57" t="e">
        <f t="shared" ca="1" si="40"/>
        <v>#N/A</v>
      </c>
      <c r="AD153" s="57" t="e">
        <f t="shared" ca="1" si="41"/>
        <v>#N/A</v>
      </c>
      <c r="AE153" s="57" t="e">
        <f t="shared" ca="1" si="42"/>
        <v>#N/A</v>
      </c>
    </row>
    <row r="154" spans="18:31" x14ac:dyDescent="0.3">
      <c r="R154" s="85">
        <f ca="1"/>
        <v>45275</v>
      </c>
      <c r="S154" s="57">
        <f t="shared" ca="1" si="37"/>
        <v>45275</v>
      </c>
      <c r="T154" s="57">
        <f t="shared" ca="1" si="31"/>
        <v>51.746096922013805</v>
      </c>
      <c r="U154" s="57">
        <f t="shared" ca="1" si="32"/>
        <v>125.740617526454</v>
      </c>
      <c r="V154" s="57">
        <f t="shared" ca="1" si="33"/>
        <v>0</v>
      </c>
      <c r="W154">
        <f t="shared" ca="1" si="34"/>
        <v>100.13552616252518</v>
      </c>
      <c r="X154">
        <f t="shared" ca="1" si="38"/>
        <v>97.878912359396125</v>
      </c>
      <c r="Y154">
        <f t="shared" ca="1" si="35"/>
        <v>0</v>
      </c>
      <c r="Z154">
        <f t="shared" ca="1" si="36"/>
        <v>0.79520588052951002</v>
      </c>
      <c r="AA154" s="85" t="e">
        <f ca="1"/>
        <v>#N/A</v>
      </c>
      <c r="AB154" s="57" t="e">
        <f t="shared" ca="1" si="39"/>
        <v>#N/A</v>
      </c>
      <c r="AC154" s="57" t="e">
        <f t="shared" ca="1" si="40"/>
        <v>#N/A</v>
      </c>
      <c r="AD154" s="57" t="e">
        <f t="shared" ca="1" si="41"/>
        <v>#N/A</v>
      </c>
      <c r="AE154" s="57" t="e">
        <f t="shared" ca="1" si="42"/>
        <v>#N/A</v>
      </c>
    </row>
    <row r="155" spans="18:31" x14ac:dyDescent="0.3">
      <c r="R155" s="85">
        <f ca="1"/>
        <v>45276</v>
      </c>
      <c r="S155" s="57">
        <f t="shared" ca="1" si="37"/>
        <v>45276</v>
      </c>
      <c r="T155" s="57">
        <f t="shared" ca="1" si="31"/>
        <v>50.604920601465778</v>
      </c>
      <c r="U155" s="57">
        <f t="shared" ca="1" si="32"/>
        <v>127.057331998045</v>
      </c>
      <c r="V155" s="57">
        <f t="shared" ca="1" si="33"/>
        <v>0</v>
      </c>
      <c r="W155">
        <f t="shared" ca="1" si="34"/>
        <v>97.816044650386218</v>
      </c>
      <c r="X155">
        <f t="shared" ca="1" si="38"/>
        <v>97.878912359396125</v>
      </c>
      <c r="Y155">
        <f t="shared" ca="1" si="35"/>
        <v>0</v>
      </c>
      <c r="Z155">
        <f t="shared" ca="1" si="36"/>
        <v>0.79566085391444696</v>
      </c>
      <c r="AA155" s="85" t="e">
        <f ca="1"/>
        <v>#N/A</v>
      </c>
      <c r="AB155" s="57" t="e">
        <f t="shared" ca="1" si="39"/>
        <v>#N/A</v>
      </c>
      <c r="AC155" s="57" t="e">
        <f t="shared" ca="1" si="40"/>
        <v>#N/A</v>
      </c>
      <c r="AD155" s="57" t="e">
        <f t="shared" ca="1" si="41"/>
        <v>#N/A</v>
      </c>
      <c r="AE155" s="57" t="e">
        <f t="shared" ca="1" si="42"/>
        <v>#N/A</v>
      </c>
    </row>
    <row r="156" spans="18:31" x14ac:dyDescent="0.3">
      <c r="R156" s="85">
        <f ca="1"/>
        <v>45277</v>
      </c>
      <c r="S156" s="57">
        <f t="shared" ca="1" si="37"/>
        <v>45277</v>
      </c>
      <c r="T156" s="57">
        <f t="shared" ca="1" si="31"/>
        <v>49.507703483666262</v>
      </c>
      <c r="U156" s="57">
        <f t="shared" ca="1" si="32"/>
        <v>128.33118692139001</v>
      </c>
      <c r="V156" s="57">
        <f t="shared" ca="1" si="33"/>
        <v>0</v>
      </c>
      <c r="W156">
        <f t="shared" ca="1" si="34"/>
        <v>98.393399952097383</v>
      </c>
      <c r="X156">
        <f t="shared" ca="1" si="38"/>
        <v>97.878912359396125</v>
      </c>
      <c r="Y156">
        <f t="shared" ca="1" si="35"/>
        <v>0</v>
      </c>
      <c r="Z156">
        <f t="shared" ca="1" si="36"/>
        <v>0.79607286247436204</v>
      </c>
      <c r="AA156" s="85" t="e">
        <f ca="1"/>
        <v>#N/A</v>
      </c>
      <c r="AB156" s="57" t="e">
        <f t="shared" ca="1" si="39"/>
        <v>#N/A</v>
      </c>
      <c r="AC156" s="57" t="e">
        <f t="shared" ca="1" si="40"/>
        <v>#N/A</v>
      </c>
      <c r="AD156" s="57" t="e">
        <f t="shared" ca="1" si="41"/>
        <v>#N/A</v>
      </c>
      <c r="AE156" s="57" t="e">
        <f t="shared" ca="1" si="42"/>
        <v>#N/A</v>
      </c>
    </row>
    <row r="157" spans="18:31" x14ac:dyDescent="0.3">
      <c r="R157" s="85">
        <f ca="1"/>
        <v>45278</v>
      </c>
      <c r="S157" s="57">
        <f t="shared" ca="1" si="37"/>
        <v>45278</v>
      </c>
      <c r="T157" s="57">
        <f t="shared" ca="1" si="31"/>
        <v>48.424061412690804</v>
      </c>
      <c r="U157" s="57">
        <f t="shared" ca="1" si="32"/>
        <v>129.59317021726201</v>
      </c>
      <c r="V157" s="57">
        <f t="shared" ca="1" si="33"/>
        <v>0</v>
      </c>
      <c r="W157">
        <f t="shared" ca="1" si="34"/>
        <v>96.229360102190469</v>
      </c>
      <c r="X157">
        <f t="shared" ca="1" si="38"/>
        <v>97.878912359396125</v>
      </c>
      <c r="Y157">
        <f t="shared" ca="1" si="35"/>
        <v>0</v>
      </c>
      <c r="Z157">
        <f t="shared" ca="1" si="36"/>
        <v>0.79645490794497198</v>
      </c>
      <c r="AA157" s="85" t="e">
        <f ca="1"/>
        <v>#N/A</v>
      </c>
      <c r="AB157" s="57" t="e">
        <f t="shared" ca="1" si="39"/>
        <v>#N/A</v>
      </c>
      <c r="AC157" s="57" t="e">
        <f t="shared" ca="1" si="40"/>
        <v>#N/A</v>
      </c>
      <c r="AD157" s="57" t="e">
        <f t="shared" ca="1" si="41"/>
        <v>#N/A</v>
      </c>
      <c r="AE157" s="57" t="e">
        <f t="shared" ca="1" si="42"/>
        <v>#N/A</v>
      </c>
    </row>
    <row r="158" spans="18:31" x14ac:dyDescent="0.3">
      <c r="R158" s="85">
        <f ca="1"/>
        <v>45279</v>
      </c>
      <c r="S158" s="57">
        <f t="shared" ca="1" si="37"/>
        <v>45279</v>
      </c>
      <c r="T158" s="57">
        <f t="shared" ca="1" si="31"/>
        <v>47.418051691539105</v>
      </c>
      <c r="U158" s="57">
        <f t="shared" ca="1" si="32"/>
        <v>130.778417340967</v>
      </c>
      <c r="V158" s="57">
        <f t="shared" ca="1" si="33"/>
        <v>0</v>
      </c>
      <c r="W158">
        <f t="shared" ca="1" si="34"/>
        <v>100.04964863817736</v>
      </c>
      <c r="X158">
        <f t="shared" ca="1" si="38"/>
        <v>97.878912359396125</v>
      </c>
      <c r="Y158">
        <f t="shared" ca="1" si="35"/>
        <v>0</v>
      </c>
      <c r="Z158">
        <f t="shared" ca="1" si="36"/>
        <v>0.79679102744525998</v>
      </c>
      <c r="AA158" s="85" t="e">
        <f ca="1"/>
        <v>#N/A</v>
      </c>
      <c r="AB158" s="57" t="e">
        <f t="shared" ca="1" si="39"/>
        <v>#N/A</v>
      </c>
      <c r="AC158" s="57" t="e">
        <f t="shared" ca="1" si="40"/>
        <v>#N/A</v>
      </c>
      <c r="AD158" s="57" t="e">
        <f t="shared" ca="1" si="41"/>
        <v>#N/A</v>
      </c>
      <c r="AE158" s="57" t="e">
        <f t="shared" ca="1" si="42"/>
        <v>#N/A</v>
      </c>
    </row>
    <row r="159" spans="18:31" x14ac:dyDescent="0.3">
      <c r="R159" s="85">
        <f ca="1"/>
        <v>45280</v>
      </c>
      <c r="S159" s="57">
        <f t="shared" ca="1" si="37"/>
        <v>45280</v>
      </c>
      <c r="T159" s="57">
        <f t="shared" ca="1" si="31"/>
        <v>46.495497949578947</v>
      </c>
      <c r="U159" s="57">
        <f t="shared" ca="1" si="32"/>
        <v>131.87102442307</v>
      </c>
      <c r="V159" s="57">
        <f t="shared" ca="1" si="33"/>
        <v>0</v>
      </c>
      <c r="W159">
        <f t="shared" ca="1" si="34"/>
        <v>100.78334602962589</v>
      </c>
      <c r="X159">
        <f t="shared" ca="1" si="38"/>
        <v>97.878912359396125</v>
      </c>
      <c r="Y159">
        <f t="shared" ca="1" si="35"/>
        <v>0</v>
      </c>
      <c r="Z159">
        <f t="shared" ca="1" si="36"/>
        <v>0.79708216607689497</v>
      </c>
      <c r="AA159" s="85" t="e">
        <f ca="1"/>
        <v>#N/A</v>
      </c>
      <c r="AB159" s="57" t="e">
        <f t="shared" ca="1" si="39"/>
        <v>#N/A</v>
      </c>
      <c r="AC159" s="57" t="e">
        <f t="shared" ca="1" si="40"/>
        <v>#N/A</v>
      </c>
      <c r="AD159" s="57" t="e">
        <f t="shared" ca="1" si="41"/>
        <v>#N/A</v>
      </c>
      <c r="AE159" s="57" t="e">
        <f t="shared" ca="1" si="42"/>
        <v>#N/A</v>
      </c>
    </row>
    <row r="160" spans="18:31" x14ac:dyDescent="0.3">
      <c r="R160" s="85">
        <f ca="1"/>
        <v>45281</v>
      </c>
      <c r="S160" s="57">
        <f t="shared" ca="1" si="37"/>
        <v>45281</v>
      </c>
      <c r="T160" s="57">
        <f t="shared" ca="1" si="31"/>
        <v>45.599492167448005</v>
      </c>
      <c r="U160" s="57">
        <f t="shared" ca="1" si="32"/>
        <v>132.93375168323999</v>
      </c>
      <c r="V160" s="57">
        <f t="shared" ca="1" si="33"/>
        <v>0</v>
      </c>
      <c r="W160">
        <f t="shared" ca="1" si="34"/>
        <v>98.112654322317695</v>
      </c>
      <c r="X160">
        <f t="shared" ca="1" si="38"/>
        <v>97.878912359396125</v>
      </c>
      <c r="Y160">
        <f t="shared" ca="1" si="35"/>
        <v>0</v>
      </c>
      <c r="Z160">
        <f t="shared" ca="1" si="36"/>
        <v>0.79734875734581701</v>
      </c>
      <c r="AA160" s="85" t="e">
        <f ca="1"/>
        <v>#N/A</v>
      </c>
      <c r="AB160" s="57" t="e">
        <f t="shared" ca="1" si="39"/>
        <v>#N/A</v>
      </c>
      <c r="AC160" s="57" t="e">
        <f t="shared" ca="1" si="40"/>
        <v>#N/A</v>
      </c>
      <c r="AD160" s="57" t="e">
        <f t="shared" ca="1" si="41"/>
        <v>#N/A</v>
      </c>
      <c r="AE160" s="57" t="e">
        <f t="shared" ca="1" si="42"/>
        <v>#N/A</v>
      </c>
    </row>
    <row r="161" spans="18:31" x14ac:dyDescent="0.3">
      <c r="R161" s="85">
        <f ca="1"/>
        <v>45282</v>
      </c>
      <c r="S161" s="57">
        <f t="shared" ca="1" si="37"/>
        <v>45282</v>
      </c>
      <c r="T161" s="57">
        <f t="shared" ca="1" si="31"/>
        <v>44.732209965578761</v>
      </c>
      <c r="U161" s="57">
        <f t="shared" ca="1" si="32"/>
        <v>133.96378351515099</v>
      </c>
      <c r="V161" s="57">
        <f t="shared" ca="1" si="33"/>
        <v>0</v>
      </c>
      <c r="W161">
        <f t="shared" ca="1" si="34"/>
        <v>95.367483624910165</v>
      </c>
      <c r="X161">
        <f t="shared" ca="1" si="38"/>
        <v>97.878912359396125</v>
      </c>
      <c r="Y161">
        <f t="shared" ca="1" si="35"/>
        <v>0</v>
      </c>
      <c r="Z161">
        <f t="shared" ca="1" si="36"/>
        <v>0.79759208210701305</v>
      </c>
      <c r="AA161" s="85" t="e">
        <f ca="1"/>
        <v>#N/A</v>
      </c>
      <c r="AB161" s="57" t="e">
        <f t="shared" ca="1" si="39"/>
        <v>#N/A</v>
      </c>
      <c r="AC161" s="57" t="e">
        <f t="shared" ca="1" si="40"/>
        <v>#N/A</v>
      </c>
      <c r="AD161" s="57" t="e">
        <f t="shared" ca="1" si="41"/>
        <v>#N/A</v>
      </c>
      <c r="AE161" s="57" t="e">
        <f t="shared" ca="1" si="42"/>
        <v>#N/A</v>
      </c>
    </row>
    <row r="162" spans="18:31" x14ac:dyDescent="0.3">
      <c r="R162" s="85">
        <f ca="1"/>
        <v>45283</v>
      </c>
      <c r="S162" s="57">
        <f t="shared" ca="1" si="37"/>
        <v>45283</v>
      </c>
      <c r="T162" s="57">
        <f t="shared" ca="1" si="31"/>
        <v>43.864501415593807</v>
      </c>
      <c r="U162" s="57">
        <f t="shared" ca="1" si="32"/>
        <v>134.997728065346</v>
      </c>
      <c r="V162" s="57">
        <f t="shared" ca="1" si="33"/>
        <v>0</v>
      </c>
      <c r="W162">
        <f t="shared" ca="1" si="34"/>
        <v>92.421750659674458</v>
      </c>
      <c r="X162">
        <f t="shared" ca="1" si="38"/>
        <v>97.878912359396125</v>
      </c>
      <c r="Y162">
        <f t="shared" ca="1" si="35"/>
        <v>0</v>
      </c>
      <c r="Z162">
        <f t="shared" ca="1" si="36"/>
        <v>0.79782192357750104</v>
      </c>
      <c r="AA162" s="85" t="e">
        <f ca="1"/>
        <v>#N/A</v>
      </c>
      <c r="AB162" s="57" t="e">
        <f t="shared" ca="1" si="39"/>
        <v>#N/A</v>
      </c>
      <c r="AC162" s="57" t="e">
        <f t="shared" ca="1" si="40"/>
        <v>#N/A</v>
      </c>
      <c r="AD162" s="57" t="e">
        <f t="shared" ca="1" si="41"/>
        <v>#N/A</v>
      </c>
      <c r="AE162" s="57" t="e">
        <f t="shared" ca="1" si="42"/>
        <v>#N/A</v>
      </c>
    </row>
    <row r="163" spans="18:31" x14ac:dyDescent="0.3">
      <c r="R163" s="85">
        <f ca="1"/>
        <v>45284</v>
      </c>
      <c r="S163" s="57">
        <f t="shared" ca="1" si="37"/>
        <v>45284</v>
      </c>
      <c r="T163" s="57">
        <f t="shared" ca="1" si="31"/>
        <v>43.034450545321732</v>
      </c>
      <c r="U163" s="57">
        <f t="shared" ca="1" si="32"/>
        <v>135.996119483737</v>
      </c>
      <c r="V163" s="57">
        <f t="shared" ca="1" si="33"/>
        <v>0</v>
      </c>
      <c r="W163">
        <f t="shared" ca="1" si="34"/>
        <v>93.126698331480142</v>
      </c>
      <c r="X163">
        <f t="shared" ca="1" si="38"/>
        <v>97.878912359396125</v>
      </c>
      <c r="Y163">
        <f t="shared" ca="1" si="35"/>
        <v>0</v>
      </c>
      <c r="Z163">
        <f t="shared" ca="1" si="36"/>
        <v>0.79803061485309901</v>
      </c>
      <c r="AA163" s="85" t="e">
        <f ca="1"/>
        <v>#N/A</v>
      </c>
      <c r="AB163" s="57" t="e">
        <f t="shared" ca="1" si="39"/>
        <v>#N/A</v>
      </c>
      <c r="AC163" s="57" t="e">
        <f t="shared" ca="1" si="40"/>
        <v>#N/A</v>
      </c>
      <c r="AD163" s="57" t="e">
        <f t="shared" ca="1" si="41"/>
        <v>#N/A</v>
      </c>
      <c r="AE163" s="57" t="e">
        <f t="shared" ca="1" si="42"/>
        <v>#N/A</v>
      </c>
    </row>
    <row r="164" spans="18:31" x14ac:dyDescent="0.3">
      <c r="R164" s="85">
        <f ca="1"/>
        <v>45285</v>
      </c>
      <c r="S164" s="57">
        <f t="shared" ca="1" si="37"/>
        <v>45285</v>
      </c>
      <c r="T164" s="57">
        <f t="shared" ca="1" si="31"/>
        <v>42.223254400344871</v>
      </c>
      <c r="U164" s="57">
        <f t="shared" ca="1" si="32"/>
        <v>136.98465627881899</v>
      </c>
      <c r="V164" s="57">
        <f t="shared" ca="1" si="33"/>
        <v>0</v>
      </c>
      <c r="W164">
        <f t="shared" ca="1" si="34"/>
        <v>94.237909201646147</v>
      </c>
      <c r="X164">
        <f t="shared" ca="1" si="38"/>
        <v>97.878912359396125</v>
      </c>
      <c r="Y164">
        <f t="shared" ca="1" si="35"/>
        <v>0</v>
      </c>
      <c r="Z164">
        <f t="shared" ca="1" si="36"/>
        <v>0.79822483710951897</v>
      </c>
      <c r="AA164" s="85" t="e">
        <f ca="1"/>
        <v>#N/A</v>
      </c>
      <c r="AB164" s="57" t="e">
        <f t="shared" ca="1" si="39"/>
        <v>#N/A</v>
      </c>
      <c r="AC164" s="57" t="e">
        <f t="shared" ca="1" si="40"/>
        <v>#N/A</v>
      </c>
      <c r="AD164" s="57" t="e">
        <f t="shared" ca="1" si="41"/>
        <v>#N/A</v>
      </c>
      <c r="AE164" s="57" t="e">
        <f t="shared" ca="1" si="42"/>
        <v>#N/A</v>
      </c>
    </row>
    <row r="165" spans="18:31" x14ac:dyDescent="0.3">
      <c r="R165" s="85">
        <f ca="1"/>
        <v>45286</v>
      </c>
      <c r="S165" s="57">
        <f t="shared" ca="1" si="37"/>
        <v>45286</v>
      </c>
      <c r="T165" s="57">
        <f t="shared" ca="1" si="31"/>
        <v>41.424807790038898</v>
      </c>
      <c r="U165" s="57">
        <f t="shared" ca="1" si="32"/>
        <v>137.96092259500199</v>
      </c>
      <c r="V165" s="57">
        <f t="shared" ca="1" si="33"/>
        <v>0</v>
      </c>
      <c r="W165">
        <f t="shared" ca="1" si="34"/>
        <v>90.858623990107503</v>
      </c>
      <c r="X165">
        <f t="shared" ca="1" si="38"/>
        <v>97.878912359396125</v>
      </c>
      <c r="Y165">
        <f t="shared" ca="1" si="35"/>
        <v>0</v>
      </c>
      <c r="Z165">
        <f t="shared" ca="1" si="36"/>
        <v>0.79840491023916205</v>
      </c>
      <c r="AA165" s="85" t="e">
        <f ca="1"/>
        <v>#N/A</v>
      </c>
      <c r="AB165" s="57" t="e">
        <f t="shared" ca="1" si="39"/>
        <v>#N/A</v>
      </c>
      <c r="AC165" s="57" t="e">
        <f t="shared" ca="1" si="40"/>
        <v>#N/A</v>
      </c>
      <c r="AD165" s="57" t="e">
        <f t="shared" ca="1" si="41"/>
        <v>#N/A</v>
      </c>
      <c r="AE165" s="57" t="e">
        <f t="shared" ca="1" si="42"/>
        <v>#N/A</v>
      </c>
    </row>
    <row r="166" spans="18:31" x14ac:dyDescent="0.3">
      <c r="R166" s="85">
        <f ca="1"/>
        <v>45287</v>
      </c>
      <c r="S166" s="57">
        <f t="shared" ca="1" si="37"/>
        <v>45287</v>
      </c>
      <c r="T166" s="57">
        <f t="shared" ca="1" si="31"/>
        <v>40.676849773187712</v>
      </c>
      <c r="U166" s="57">
        <f t="shared" ca="1" si="32"/>
        <v>138.87623554028499</v>
      </c>
      <c r="V166" s="57">
        <f t="shared" ca="1" si="33"/>
        <v>0</v>
      </c>
      <c r="W166">
        <f t="shared" ca="1" si="34"/>
        <v>87.986405037654379</v>
      </c>
      <c r="X166">
        <f t="shared" ca="1" si="38"/>
        <v>97.878912359396125</v>
      </c>
      <c r="Y166">
        <f t="shared" ca="1" si="35"/>
        <v>0</v>
      </c>
      <c r="Z166">
        <f t="shared" ca="1" si="36"/>
        <v>0.79856346548859503</v>
      </c>
      <c r="AA166" s="85" t="e">
        <f ca="1"/>
        <v>#N/A</v>
      </c>
      <c r="AB166" s="57" t="e">
        <f t="shared" ca="1" si="39"/>
        <v>#N/A</v>
      </c>
      <c r="AC166" s="57" t="e">
        <f t="shared" ca="1" si="40"/>
        <v>#N/A</v>
      </c>
      <c r="AD166" s="57" t="e">
        <f t="shared" ca="1" si="41"/>
        <v>#N/A</v>
      </c>
      <c r="AE166" s="57" t="e">
        <f t="shared" ca="1" si="42"/>
        <v>#N/A</v>
      </c>
    </row>
    <row r="167" spans="18:31" x14ac:dyDescent="0.3">
      <c r="R167" s="85">
        <f ca="1"/>
        <v>45288</v>
      </c>
      <c r="S167" s="57">
        <f t="shared" ca="1" si="37"/>
        <v>45288</v>
      </c>
      <c r="T167" s="57">
        <f t="shared" ca="1" si="31"/>
        <v>39.982875610437276</v>
      </c>
      <c r="U167" s="57">
        <f t="shared" ca="1" si="32"/>
        <v>139.72729397401801</v>
      </c>
      <c r="V167" s="57">
        <f t="shared" ca="1" si="33"/>
        <v>0</v>
      </c>
      <c r="W167">
        <f t="shared" ca="1" si="34"/>
        <v>85.908818864317126</v>
      </c>
      <c r="X167">
        <f t="shared" ca="1" si="38"/>
        <v>97.878912359396125</v>
      </c>
      <c r="Y167">
        <f t="shared" ca="1" si="35"/>
        <v>0</v>
      </c>
      <c r="Z167">
        <f t="shared" ca="1" si="36"/>
        <v>0.79870222335086605</v>
      </c>
      <c r="AA167" s="85" t="e">
        <f ca="1"/>
        <v>#N/A</v>
      </c>
      <c r="AB167" s="57" t="e">
        <f t="shared" ca="1" si="39"/>
        <v>#N/A</v>
      </c>
      <c r="AC167" s="57" t="e">
        <f t="shared" ca="1" si="40"/>
        <v>#N/A</v>
      </c>
      <c r="AD167" s="57" t="e">
        <f t="shared" ca="1" si="41"/>
        <v>#N/A</v>
      </c>
      <c r="AE167" s="57" t="e">
        <f t="shared" ca="1" si="42"/>
        <v>#N/A</v>
      </c>
    </row>
    <row r="168" spans="18:31" x14ac:dyDescent="0.3">
      <c r="R168" s="85">
        <f ca="1"/>
        <v>45289</v>
      </c>
      <c r="S168" s="57">
        <f t="shared" ca="1" si="37"/>
        <v>45289</v>
      </c>
      <c r="T168" s="57">
        <f t="shared" ca="1" si="31"/>
        <v>39.32247941118807</v>
      </c>
      <c r="U168" s="57">
        <f t="shared" ca="1" si="32"/>
        <v>140.54737394611499</v>
      </c>
      <c r="V168" s="57">
        <f t="shared" ca="1" si="33"/>
        <v>0</v>
      </c>
      <c r="W168">
        <f t="shared" ca="1" si="34"/>
        <v>86.752332798146796</v>
      </c>
      <c r="X168">
        <f t="shared" ca="1" si="38"/>
        <v>97.878912359396125</v>
      </c>
      <c r="Y168">
        <f t="shared" ca="1" si="35"/>
        <v>0</v>
      </c>
      <c r="Z168">
        <f t="shared" ca="1" si="36"/>
        <v>0.79616711958619502</v>
      </c>
      <c r="AA168" s="85" t="e">
        <f ca="1"/>
        <v>#N/A</v>
      </c>
      <c r="AB168" s="57" t="e">
        <f t="shared" ca="1" si="39"/>
        <v>#N/A</v>
      </c>
      <c r="AC168" s="57" t="e">
        <f t="shared" ca="1" si="40"/>
        <v>#N/A</v>
      </c>
      <c r="AD168" s="57" t="e">
        <f t="shared" ca="1" si="41"/>
        <v>#N/A</v>
      </c>
      <c r="AE168" s="57" t="e">
        <f t="shared" ca="1" si="42"/>
        <v>#N/A</v>
      </c>
    </row>
    <row r="169" spans="18:31" x14ac:dyDescent="0.3">
      <c r="R169" s="85">
        <f ca="1"/>
        <v>45290</v>
      </c>
      <c r="S169" s="57">
        <f t="shared" ca="1" si="37"/>
        <v>45290</v>
      </c>
      <c r="T169" s="57">
        <f t="shared" ca="1" si="31"/>
        <v>38.69934458766997</v>
      </c>
      <c r="U169" s="57">
        <f t="shared" ca="1" si="32"/>
        <v>141.33058387766701</v>
      </c>
      <c r="V169" s="57">
        <f t="shared" ca="1" si="33"/>
        <v>0</v>
      </c>
      <c r="W169">
        <f t="shared" ca="1" si="34"/>
        <v>87.326044484331192</v>
      </c>
      <c r="X169">
        <f t="shared" ca="1" si="38"/>
        <v>97.878912359396125</v>
      </c>
      <c r="Y169">
        <f t="shared" ca="1" si="35"/>
        <v>0</v>
      </c>
      <c r="Z169">
        <f t="shared" ca="1" si="36"/>
        <v>0.78037278561415302</v>
      </c>
      <c r="AA169" s="85" t="e">
        <f ca="1"/>
        <v>#N/A</v>
      </c>
      <c r="AB169" s="57" t="e">
        <f t="shared" ca="1" si="39"/>
        <v>#N/A</v>
      </c>
      <c r="AC169" s="57" t="e">
        <f t="shared" ca="1" si="40"/>
        <v>#N/A</v>
      </c>
      <c r="AD169" s="57" t="e">
        <f t="shared" ca="1" si="41"/>
        <v>#N/A</v>
      </c>
      <c r="AE169" s="57" t="e">
        <f t="shared" ca="1" si="42"/>
        <v>#N/A</v>
      </c>
    </row>
    <row r="170" spans="18:31" x14ac:dyDescent="0.3">
      <c r="R170" s="85">
        <f ca="1"/>
        <v>45291</v>
      </c>
      <c r="S170" s="57">
        <f t="shared" ca="1" si="37"/>
        <v>45291</v>
      </c>
      <c r="T170" s="57">
        <f t="shared" ca="1" si="31"/>
        <v>38.122940657390473</v>
      </c>
      <c r="U170" s="57">
        <f t="shared" ca="1" si="32"/>
        <v>142.064636782745</v>
      </c>
      <c r="V170" s="57">
        <f t="shared" ca="1" si="33"/>
        <v>0</v>
      </c>
      <c r="W170">
        <f t="shared" ca="1" si="34"/>
        <v>88.537285774143683</v>
      </c>
      <c r="X170">
        <f t="shared" ca="1" si="38"/>
        <v>97.878912359396125</v>
      </c>
      <c r="Y170">
        <f t="shared" ca="1" si="35"/>
        <v>0</v>
      </c>
      <c r="Z170">
        <f t="shared" ca="1" si="36"/>
        <v>0.76491803175194295</v>
      </c>
      <c r="AA170" s="85" t="e">
        <f ca="1"/>
        <v>#N/A</v>
      </c>
      <c r="AB170" s="57" t="e">
        <f t="shared" ca="1" si="39"/>
        <v>#N/A</v>
      </c>
      <c r="AC170" s="57" t="e">
        <f t="shared" ca="1" si="40"/>
        <v>#N/A</v>
      </c>
      <c r="AD170" s="57" t="e">
        <f t="shared" ca="1" si="41"/>
        <v>#N/A</v>
      </c>
      <c r="AE170" s="57" t="e">
        <f t="shared" ca="1" si="42"/>
        <v>#N/A</v>
      </c>
    </row>
    <row r="171" spans="18:31" x14ac:dyDescent="0.3">
      <c r="R171" s="85">
        <f ca="1"/>
        <v>45292</v>
      </c>
      <c r="S171" s="57">
        <f t="shared" ca="1" si="37"/>
        <v>45292</v>
      </c>
      <c r="T171" s="57">
        <f t="shared" ca="1" si="31"/>
        <v>37.541160985045821</v>
      </c>
      <c r="U171" s="57">
        <f t="shared" ca="1" si="32"/>
        <v>142.817960179827</v>
      </c>
      <c r="V171" s="57">
        <f t="shared" ca="1" si="33"/>
        <v>0</v>
      </c>
      <c r="W171">
        <f t="shared" ca="1" si="34"/>
        <v>87.67390147262067</v>
      </c>
      <c r="X171">
        <f t="shared" ca="1" si="38"/>
        <v>97.878912359396125</v>
      </c>
      <c r="Y171">
        <f t="shared" ca="1" si="35"/>
        <v>0</v>
      </c>
      <c r="Z171">
        <f t="shared" ca="1" si="36"/>
        <v>0.74833263047859</v>
      </c>
      <c r="AA171" s="85" t="e">
        <f ca="1"/>
        <v>#N/A</v>
      </c>
      <c r="AB171" s="57" t="e">
        <f t="shared" ca="1" si="39"/>
        <v>#N/A</v>
      </c>
      <c r="AC171" s="57" t="e">
        <f t="shared" ca="1" si="40"/>
        <v>#N/A</v>
      </c>
      <c r="AD171" s="57" t="e">
        <f t="shared" ca="1" si="41"/>
        <v>#N/A</v>
      </c>
      <c r="AE171" s="57" t="e">
        <f t="shared" ca="1" si="42"/>
        <v>#N/A</v>
      </c>
    </row>
    <row r="172" spans="18:31" x14ac:dyDescent="0.3">
      <c r="R172" s="85">
        <f ca="1"/>
        <v>45293</v>
      </c>
      <c r="S172" s="57">
        <f t="shared" ca="1" si="37"/>
        <v>45293</v>
      </c>
      <c r="T172" s="57">
        <f t="shared" ca="1" si="31"/>
        <v>36.978626306946254</v>
      </c>
      <c r="U172" s="57">
        <f t="shared" ca="1" si="32"/>
        <v>143.55821020104401</v>
      </c>
      <c r="V172" s="57">
        <f t="shared" ca="1" si="33"/>
        <v>0</v>
      </c>
      <c r="W172">
        <f t="shared" ca="1" si="34"/>
        <v>87.173019861174566</v>
      </c>
      <c r="X172">
        <f t="shared" ca="1" si="38"/>
        <v>97.878912359396125</v>
      </c>
      <c r="Y172">
        <f t="shared" ca="1" si="35"/>
        <v>0</v>
      </c>
      <c r="Z172">
        <f t="shared" ca="1" si="36"/>
        <v>0.73124171790537396</v>
      </c>
      <c r="AA172" s="85" t="e">
        <f ca="1"/>
        <v>#N/A</v>
      </c>
      <c r="AB172" s="57" t="e">
        <f t="shared" ca="1" si="39"/>
        <v>#N/A</v>
      </c>
      <c r="AC172" s="57" t="e">
        <f t="shared" ca="1" si="40"/>
        <v>#N/A</v>
      </c>
      <c r="AD172" s="57" t="e">
        <f t="shared" ca="1" si="41"/>
        <v>#N/A</v>
      </c>
      <c r="AE172" s="57" t="e">
        <f t="shared" ca="1" si="42"/>
        <v>#N/A</v>
      </c>
    </row>
    <row r="173" spans="18:31" x14ac:dyDescent="0.3">
      <c r="R173" s="85">
        <f ca="1"/>
        <v>45294</v>
      </c>
      <c r="S173" s="57">
        <f t="shared" ca="1" si="37"/>
        <v>45294</v>
      </c>
      <c r="T173" s="57">
        <f t="shared" ca="1" si="31"/>
        <v>36.457167189365251</v>
      </c>
      <c r="U173" s="57">
        <f t="shared" ca="1" si="32"/>
        <v>144.26460124382999</v>
      </c>
      <c r="V173" s="57">
        <f t="shared" ca="1" si="33"/>
        <v>0</v>
      </c>
      <c r="W173">
        <f t="shared" ca="1" si="34"/>
        <v>90.540928797721506</v>
      </c>
      <c r="X173">
        <f t="shared" ca="1" si="38"/>
        <v>97.878912359396125</v>
      </c>
      <c r="Y173">
        <f t="shared" ca="1" si="35"/>
        <v>0</v>
      </c>
      <c r="Z173">
        <f t="shared" ca="1" si="36"/>
        <v>0.714116075548198</v>
      </c>
      <c r="AA173" s="85" t="e">
        <f ca="1"/>
        <v>#N/A</v>
      </c>
      <c r="AB173" s="57" t="e">
        <f t="shared" ca="1" si="39"/>
        <v>#N/A</v>
      </c>
      <c r="AC173" s="57" t="e">
        <f t="shared" ca="1" si="40"/>
        <v>#N/A</v>
      </c>
      <c r="AD173" s="57" t="e">
        <f t="shared" ca="1" si="41"/>
        <v>#N/A</v>
      </c>
      <c r="AE173" s="57" t="e">
        <f t="shared" ca="1" si="42"/>
        <v>#N/A</v>
      </c>
    </row>
    <row r="174" spans="18:31" x14ac:dyDescent="0.3">
      <c r="R174" s="85">
        <f ca="1"/>
        <v>45295</v>
      </c>
      <c r="S174" s="57">
        <f t="shared" ca="1" si="37"/>
        <v>45295</v>
      </c>
      <c r="T174" s="57">
        <f t="shared" ca="1" si="31"/>
        <v>35.998670938374232</v>
      </c>
      <c r="U174" s="57">
        <f t="shared" ca="1" si="32"/>
        <v>144.88392205986901</v>
      </c>
      <c r="V174" s="57">
        <f t="shared" ca="1" si="33"/>
        <v>0</v>
      </c>
      <c r="W174">
        <f t="shared" ca="1" si="34"/>
        <v>88.132163754365877</v>
      </c>
      <c r="X174">
        <f t="shared" ca="1" si="38"/>
        <v>97.878912359396125</v>
      </c>
      <c r="Y174">
        <f t="shared" ca="1" si="35"/>
        <v>0</v>
      </c>
      <c r="Z174">
        <f t="shared" ca="1" si="36"/>
        <v>0.698371906819655</v>
      </c>
      <c r="AA174" s="85" t="e">
        <f ca="1"/>
        <v>#N/A</v>
      </c>
      <c r="AB174" s="57" t="e">
        <f t="shared" ca="1" si="39"/>
        <v>#N/A</v>
      </c>
      <c r="AC174" s="57" t="e">
        <f t="shared" ca="1" si="40"/>
        <v>#N/A</v>
      </c>
      <c r="AD174" s="57" t="e">
        <f t="shared" ca="1" si="41"/>
        <v>#N/A</v>
      </c>
      <c r="AE174" s="57" t="e">
        <f t="shared" ca="1" si="42"/>
        <v>#N/A</v>
      </c>
    </row>
    <row r="175" spans="18:31" x14ac:dyDescent="0.3">
      <c r="R175" s="85">
        <f ca="1"/>
        <v>45296</v>
      </c>
      <c r="S175" s="57">
        <f t="shared" ca="1" si="37"/>
        <v>45296</v>
      </c>
      <c r="T175" s="57">
        <f t="shared" ca="1" si="31"/>
        <v>35.579306778852356</v>
      </c>
      <c r="U175" s="57">
        <f t="shared" ca="1" si="32"/>
        <v>145.455626341792</v>
      </c>
      <c r="V175" s="57">
        <f t="shared" ca="1" si="33"/>
        <v>0</v>
      </c>
      <c r="W175">
        <f t="shared" ca="1" si="34"/>
        <v>87.364328668216018</v>
      </c>
      <c r="X175">
        <f t="shared" ca="1" si="38"/>
        <v>97.878912359396125</v>
      </c>
      <c r="Y175">
        <f t="shared" ca="1" si="35"/>
        <v>0</v>
      </c>
      <c r="Z175">
        <f t="shared" ca="1" si="36"/>
        <v>0.68316797917493299</v>
      </c>
      <c r="AA175" s="85" t="e">
        <f ca="1"/>
        <v>#N/A</v>
      </c>
      <c r="AB175" s="57" t="e">
        <f t="shared" ca="1" si="39"/>
        <v>#N/A</v>
      </c>
      <c r="AC175" s="57" t="e">
        <f t="shared" ca="1" si="40"/>
        <v>#N/A</v>
      </c>
      <c r="AD175" s="57" t="e">
        <f t="shared" ca="1" si="41"/>
        <v>#N/A</v>
      </c>
      <c r="AE175" s="57" t="e">
        <f t="shared" ca="1" si="42"/>
        <v>#N/A</v>
      </c>
    </row>
    <row r="176" spans="18:31" x14ac:dyDescent="0.3">
      <c r="R176" s="85">
        <f ca="1"/>
        <v>45297</v>
      </c>
      <c r="S176" s="57">
        <f t="shared" ca="1" si="37"/>
        <v>45297</v>
      </c>
      <c r="T176" s="57">
        <f t="shared" ca="1" si="31"/>
        <v>35.154607458811967</v>
      </c>
      <c r="U176" s="57">
        <f t="shared" ca="1" si="32"/>
        <v>146.04176377666801</v>
      </c>
      <c r="V176" s="57">
        <f t="shared" ca="1" si="33"/>
        <v>0</v>
      </c>
      <c r="W176">
        <f t="shared" ca="1" si="34"/>
        <v>84.090490237271624</v>
      </c>
      <c r="X176">
        <f t="shared" ca="1" si="38"/>
        <v>97.878912359396125</v>
      </c>
      <c r="Y176">
        <f t="shared" ca="1" si="35"/>
        <v>0</v>
      </c>
      <c r="Z176">
        <f t="shared" ca="1" si="36"/>
        <v>0.66684112184883804</v>
      </c>
      <c r="AA176" s="85" t="e">
        <f ca="1"/>
        <v>#N/A</v>
      </c>
      <c r="AB176" s="57" t="e">
        <f t="shared" ca="1" si="39"/>
        <v>#N/A</v>
      </c>
      <c r="AC176" s="57" t="e">
        <f t="shared" ca="1" si="40"/>
        <v>#N/A</v>
      </c>
      <c r="AD176" s="57" t="e">
        <f t="shared" ca="1" si="41"/>
        <v>#N/A</v>
      </c>
      <c r="AE176" s="57" t="e">
        <f t="shared" ca="1" si="42"/>
        <v>#N/A</v>
      </c>
    </row>
    <row r="177" spans="18:31" x14ac:dyDescent="0.3">
      <c r="R177" s="85">
        <f ca="1"/>
        <v>45298</v>
      </c>
      <c r="S177" s="57">
        <f t="shared" ca="1" si="37"/>
        <v>45298</v>
      </c>
      <c r="T177" s="57">
        <f t="shared" ca="1" si="31"/>
        <v>34.76863163933092</v>
      </c>
      <c r="U177" s="57">
        <f t="shared" ca="1" si="32"/>
        <v>146.58087155285401</v>
      </c>
      <c r="V177" s="57">
        <f t="shared" ca="1" si="33"/>
        <v>0</v>
      </c>
      <c r="W177">
        <f t="shared" ca="1" si="34"/>
        <v>83.661349185267994</v>
      </c>
      <c r="X177">
        <f t="shared" ca="1" si="38"/>
        <v>97.878912359396125</v>
      </c>
      <c r="Y177">
        <f t="shared" ca="1" si="35"/>
        <v>0</v>
      </c>
      <c r="Z177">
        <f t="shared" ca="1" si="36"/>
        <v>0.65109309425540995</v>
      </c>
      <c r="AA177" s="85" t="e">
        <f ca="1"/>
        <v>#N/A</v>
      </c>
      <c r="AB177" s="57" t="e">
        <f t="shared" ca="1" si="39"/>
        <v>#N/A</v>
      </c>
      <c r="AC177" s="57" t="e">
        <f t="shared" ca="1" si="40"/>
        <v>#N/A</v>
      </c>
      <c r="AD177" s="57" t="e">
        <f t="shared" ca="1" si="41"/>
        <v>#N/A</v>
      </c>
      <c r="AE177" s="57" t="e">
        <f t="shared" ca="1" si="42"/>
        <v>#N/A</v>
      </c>
    </row>
    <row r="178" spans="18:31" x14ac:dyDescent="0.3">
      <c r="R178" s="85">
        <f ca="1"/>
        <v>45299</v>
      </c>
      <c r="S178" s="57">
        <f t="shared" ca="1" si="37"/>
        <v>45299</v>
      </c>
      <c r="T178" s="57">
        <f t="shared" ca="1" si="31"/>
        <v>34.397477520585767</v>
      </c>
      <c r="U178" s="57">
        <f t="shared" ca="1" si="32"/>
        <v>147.107867967842</v>
      </c>
      <c r="V178" s="57">
        <f t="shared" ca="1" si="33"/>
        <v>0</v>
      </c>
      <c r="W178">
        <f t="shared" ca="1" si="34"/>
        <v>82.255091635624183</v>
      </c>
      <c r="X178">
        <f t="shared" ca="1" si="38"/>
        <v>97.878912359396125</v>
      </c>
      <c r="Y178">
        <f t="shared" ca="1" si="35"/>
        <v>0</v>
      </c>
      <c r="Z178">
        <f t="shared" ca="1" si="36"/>
        <v>0.63494760357888402</v>
      </c>
      <c r="AA178" s="85" t="e">
        <f ca="1"/>
        <v>#N/A</v>
      </c>
      <c r="AB178" s="57" t="e">
        <f t="shared" ca="1" si="39"/>
        <v>#N/A</v>
      </c>
      <c r="AC178" s="57" t="e">
        <f t="shared" ca="1" si="40"/>
        <v>#N/A</v>
      </c>
      <c r="AD178" s="57" t="e">
        <f t="shared" ca="1" si="41"/>
        <v>#N/A</v>
      </c>
      <c r="AE178" s="57" t="e">
        <f t="shared" ca="1" si="42"/>
        <v>#N/A</v>
      </c>
    </row>
    <row r="179" spans="18:31" x14ac:dyDescent="0.3">
      <c r="R179" s="85">
        <f ca="1"/>
        <v>45300</v>
      </c>
      <c r="S179" s="57">
        <f t="shared" ca="1" si="37"/>
        <v>45300</v>
      </c>
      <c r="T179" s="57">
        <f t="shared" ca="1" si="31"/>
        <v>34.052540455181855</v>
      </c>
      <c r="U179" s="57">
        <f t="shared" ca="1" si="32"/>
        <v>147.59825982695901</v>
      </c>
      <c r="V179" s="57">
        <f t="shared" ca="1" si="33"/>
        <v>0</v>
      </c>
      <c r="W179">
        <f t="shared" ca="1" si="34"/>
        <v>78.905100830517696</v>
      </c>
      <c r="X179">
        <f t="shared" ca="1" si="38"/>
        <v>97.878912359396125</v>
      </c>
      <c r="Y179">
        <f t="shared" ca="1" si="35"/>
        <v>0</v>
      </c>
      <c r="Z179">
        <f t="shared" ca="1" si="36"/>
        <v>0.61918414052591797</v>
      </c>
      <c r="AA179" s="85" t="e">
        <f ca="1"/>
        <v>#N/A</v>
      </c>
      <c r="AB179" s="57" t="e">
        <f t="shared" ca="1" si="39"/>
        <v>#N/A</v>
      </c>
      <c r="AC179" s="57" t="e">
        <f t="shared" ca="1" si="40"/>
        <v>#N/A</v>
      </c>
      <c r="AD179" s="57" t="e">
        <f t="shared" ca="1" si="41"/>
        <v>#N/A</v>
      </c>
      <c r="AE179" s="57" t="e">
        <f t="shared" ca="1" si="42"/>
        <v>#N/A</v>
      </c>
    </row>
    <row r="180" spans="18:31" x14ac:dyDescent="0.3">
      <c r="R180" s="85">
        <f ca="1"/>
        <v>45301</v>
      </c>
      <c r="S180" s="57">
        <f t="shared" ca="1" si="37"/>
        <v>45301</v>
      </c>
      <c r="T180" s="57">
        <f t="shared" ca="1" si="31"/>
        <v>33.71799458974391</v>
      </c>
      <c r="U180" s="57">
        <f t="shared" ca="1" si="32"/>
        <v>148.081387314267</v>
      </c>
      <c r="V180" s="57">
        <f t="shared" ca="1" si="33"/>
        <v>0</v>
      </c>
      <c r="W180">
        <f t="shared" ca="1" si="34"/>
        <v>76.78036164592973</v>
      </c>
      <c r="X180">
        <f t="shared" ca="1" si="38"/>
        <v>97.878912359396125</v>
      </c>
      <c r="Y180">
        <f t="shared" ca="1" si="35"/>
        <v>0</v>
      </c>
      <c r="Z180">
        <f t="shared" ca="1" si="36"/>
        <v>0.60288043638912903</v>
      </c>
      <c r="AA180" s="85" t="e">
        <f ca="1"/>
        <v>#N/A</v>
      </c>
      <c r="AB180" s="57" t="e">
        <f t="shared" ca="1" si="39"/>
        <v>#N/A</v>
      </c>
      <c r="AC180" s="57" t="e">
        <f t="shared" ca="1" si="40"/>
        <v>#N/A</v>
      </c>
      <c r="AD180" s="57" t="e">
        <f t="shared" ca="1" si="41"/>
        <v>#N/A</v>
      </c>
      <c r="AE180" s="57" t="e">
        <f t="shared" ca="1" si="42"/>
        <v>#N/A</v>
      </c>
    </row>
    <row r="181" spans="18:31" x14ac:dyDescent="0.3">
      <c r="R181" s="85">
        <f ca="1"/>
        <v>45302</v>
      </c>
      <c r="S181" s="57">
        <f t="shared" ca="1" si="37"/>
        <v>45302</v>
      </c>
      <c r="T181" s="57">
        <f t="shared" ca="1" si="31"/>
        <v>33.401060337885326</v>
      </c>
      <c r="U181" s="57">
        <f t="shared" ca="1" si="32"/>
        <v>148.54232226533901</v>
      </c>
      <c r="V181" s="57">
        <f t="shared" ca="1" si="33"/>
        <v>0</v>
      </c>
      <c r="W181">
        <f t="shared" ca="1" si="34"/>
        <v>73.621213522546995</v>
      </c>
      <c r="X181">
        <f t="shared" ca="1" si="38"/>
        <v>97.878912359396125</v>
      </c>
      <c r="Y181">
        <f t="shared" ca="1" si="35"/>
        <v>0</v>
      </c>
      <c r="Z181">
        <f t="shared" ca="1" si="36"/>
        <v>0.58653042587372695</v>
      </c>
      <c r="AA181" s="85" t="e">
        <f ca="1"/>
        <v>#N/A</v>
      </c>
      <c r="AB181" s="57" t="e">
        <f t="shared" ca="1" si="39"/>
        <v>#N/A</v>
      </c>
      <c r="AC181" s="57" t="e">
        <f t="shared" ca="1" si="40"/>
        <v>#N/A</v>
      </c>
      <c r="AD181" s="57" t="e">
        <f t="shared" ca="1" si="41"/>
        <v>#N/A</v>
      </c>
      <c r="AE181" s="57" t="e">
        <f t="shared" ca="1" si="42"/>
        <v>#N/A</v>
      </c>
    </row>
    <row r="182" spans="18:31" x14ac:dyDescent="0.3">
      <c r="R182" s="85">
        <f ca="1"/>
        <v>45303</v>
      </c>
      <c r="S182" s="57">
        <f t="shared" ca="1" si="37"/>
        <v>45303</v>
      </c>
      <c r="T182" s="57">
        <f t="shared" ca="1" si="31"/>
        <v>33.096283119081249</v>
      </c>
      <c r="U182" s="57">
        <f t="shared" ca="1" si="32"/>
        <v>148.99326133043701</v>
      </c>
      <c r="V182" s="57">
        <f t="shared" ca="1" si="33"/>
        <v>0</v>
      </c>
      <c r="W182">
        <f t="shared" ca="1" si="34"/>
        <v>71.424683144880063</v>
      </c>
      <c r="X182">
        <f t="shared" ca="1" si="38"/>
        <v>97.878912359396125</v>
      </c>
      <c r="Y182">
        <f t="shared" ca="1" si="35"/>
        <v>0</v>
      </c>
      <c r="Z182">
        <f t="shared" ca="1" si="36"/>
        <v>0.56969805724776901</v>
      </c>
      <c r="AA182" s="85" t="e">
        <f ca="1"/>
        <v>#N/A</v>
      </c>
      <c r="AB182" s="57" t="e">
        <f t="shared" ca="1" si="39"/>
        <v>#N/A</v>
      </c>
      <c r="AC182" s="57" t="e">
        <f t="shared" ca="1" si="40"/>
        <v>#N/A</v>
      </c>
      <c r="AD182" s="57" t="e">
        <f t="shared" ca="1" si="41"/>
        <v>#N/A</v>
      </c>
      <c r="AE182" s="57" t="e">
        <f t="shared" ca="1" si="42"/>
        <v>#N/A</v>
      </c>
    </row>
    <row r="183" spans="18:31" x14ac:dyDescent="0.3">
      <c r="R183" s="85">
        <f ca="1"/>
        <v>45304</v>
      </c>
      <c r="S183" s="57">
        <f t="shared" ca="1" si="37"/>
        <v>45304</v>
      </c>
      <c r="T183" s="57">
        <f t="shared" ca="1" si="31"/>
        <v>32.81753295112398</v>
      </c>
      <c r="U183" s="57">
        <f t="shared" ca="1" si="32"/>
        <v>149.41462352163401</v>
      </c>
      <c r="V183" s="57">
        <f t="shared" ca="1" si="33"/>
        <v>0</v>
      </c>
      <c r="W183">
        <f t="shared" ca="1" si="34"/>
        <v>71.186380286556926</v>
      </c>
      <c r="X183">
        <f t="shared" ca="1" si="38"/>
        <v>97.878912359396125</v>
      </c>
      <c r="Y183">
        <f t="shared" ca="1" si="35"/>
        <v>0</v>
      </c>
      <c r="Z183">
        <f t="shared" ca="1" si="36"/>
        <v>0.55313580916372296</v>
      </c>
      <c r="AA183" s="85" t="e">
        <f ca="1"/>
        <v>#N/A</v>
      </c>
      <c r="AB183" s="57" t="e">
        <f t="shared" ca="1" si="39"/>
        <v>#N/A</v>
      </c>
      <c r="AC183" s="57" t="e">
        <f t="shared" ca="1" si="40"/>
        <v>#N/A</v>
      </c>
      <c r="AD183" s="57" t="e">
        <f t="shared" ca="1" si="41"/>
        <v>#N/A</v>
      </c>
      <c r="AE183" s="57" t="e">
        <f t="shared" ca="1" si="42"/>
        <v>#N/A</v>
      </c>
    </row>
    <row r="184" spans="18:31" x14ac:dyDescent="0.3">
      <c r="R184" s="85">
        <f ca="1"/>
        <v>45305</v>
      </c>
      <c r="S184" s="57">
        <f t="shared" ca="1" si="37"/>
        <v>45305</v>
      </c>
      <c r="T184" s="57">
        <f t="shared" ca="1" si="31"/>
        <v>32.56568665359606</v>
      </c>
      <c r="U184" s="57">
        <f t="shared" ca="1" si="32"/>
        <v>149.801630786586</v>
      </c>
      <c r="V184" s="57">
        <f t="shared" ca="1" si="33"/>
        <v>0</v>
      </c>
      <c r="W184">
        <f t="shared" ca="1" si="34"/>
        <v>70.504698475529551</v>
      </c>
      <c r="X184">
        <f t="shared" ca="1" si="38"/>
        <v>97.878912359396125</v>
      </c>
      <c r="Y184">
        <f t="shared" ca="1" si="35"/>
        <v>0</v>
      </c>
      <c r="Z184">
        <f t="shared" ca="1" si="36"/>
        <v>0.53713309648792096</v>
      </c>
      <c r="AA184" s="85" t="e">
        <f ca="1"/>
        <v>#N/A</v>
      </c>
      <c r="AB184" s="57" t="e">
        <f t="shared" ca="1" si="39"/>
        <v>#N/A</v>
      </c>
      <c r="AC184" s="57" t="e">
        <f t="shared" ca="1" si="40"/>
        <v>#N/A</v>
      </c>
      <c r="AD184" s="57" t="e">
        <f t="shared" ca="1" si="41"/>
        <v>#N/A</v>
      </c>
      <c r="AE184" s="57" t="e">
        <f t="shared" ca="1" si="42"/>
        <v>#N/A</v>
      </c>
    </row>
    <row r="185" spans="18:31" x14ac:dyDescent="0.3">
      <c r="R185" s="85">
        <f ca="1"/>
        <v>45306</v>
      </c>
      <c r="S185" s="57">
        <f t="shared" ca="1" si="37"/>
        <v>45306</v>
      </c>
      <c r="T185" s="57">
        <f t="shared" ca="1" si="31"/>
        <v>32.329041258321269</v>
      </c>
      <c r="U185" s="57">
        <f t="shared" ca="1" si="32"/>
        <v>150.17475272177899</v>
      </c>
      <c r="V185" s="57">
        <f t="shared" ca="1" si="33"/>
        <v>0</v>
      </c>
      <c r="W185">
        <f t="shared" ca="1" si="34"/>
        <v>69.707654135193295</v>
      </c>
      <c r="X185">
        <f t="shared" ca="1" si="38"/>
        <v>97.878912359396125</v>
      </c>
      <c r="Y185">
        <f t="shared" ca="1" si="35"/>
        <v>0</v>
      </c>
      <c r="Z185">
        <f t="shared" ca="1" si="36"/>
        <v>0.52090656964882098</v>
      </c>
      <c r="AA185" s="85" t="e">
        <f ca="1"/>
        <v>#N/A</v>
      </c>
      <c r="AB185" s="57" t="e">
        <f t="shared" ca="1" si="39"/>
        <v>#N/A</v>
      </c>
      <c r="AC185" s="57" t="e">
        <f t="shared" ca="1" si="40"/>
        <v>#N/A</v>
      </c>
      <c r="AD185" s="57" t="e">
        <f t="shared" ca="1" si="41"/>
        <v>#N/A</v>
      </c>
      <c r="AE185" s="57" t="e">
        <f t="shared" ca="1" si="42"/>
        <v>#N/A</v>
      </c>
    </row>
    <row r="186" spans="18:31" x14ac:dyDescent="0.3">
      <c r="R186" s="85">
        <f ca="1"/>
        <v>45307</v>
      </c>
      <c r="S186" s="57">
        <f t="shared" ca="1" si="37"/>
        <v>45307</v>
      </c>
      <c r="T186" s="57">
        <f t="shared" ca="1" si="31"/>
        <v>32.102331155778643</v>
      </c>
      <c r="U186" s="57">
        <f t="shared" ca="1" si="32"/>
        <v>150.53817580250001</v>
      </c>
      <c r="V186" s="57">
        <f t="shared" ca="1" si="33"/>
        <v>0</v>
      </c>
      <c r="W186">
        <f t="shared" ca="1" si="34"/>
        <v>66.785392543334382</v>
      </c>
      <c r="X186">
        <f t="shared" ca="1" si="38"/>
        <v>97.878912359396125</v>
      </c>
      <c r="Y186">
        <f t="shared" ca="1" si="35"/>
        <v>0</v>
      </c>
      <c r="Z186">
        <f t="shared" ca="1" si="36"/>
        <v>0.504263285402201</v>
      </c>
      <c r="AA186" s="85" t="e">
        <f ca="1"/>
        <v>#N/A</v>
      </c>
      <c r="AB186" s="57" t="e">
        <f t="shared" ca="1" si="39"/>
        <v>#N/A</v>
      </c>
      <c r="AC186" s="57" t="e">
        <f t="shared" ca="1" si="40"/>
        <v>#N/A</v>
      </c>
      <c r="AD186" s="57" t="e">
        <f t="shared" ca="1" si="41"/>
        <v>#N/A</v>
      </c>
      <c r="AE186" s="57" t="e">
        <f t="shared" ca="1" si="42"/>
        <v>#N/A</v>
      </c>
    </row>
    <row r="187" spans="18:31" x14ac:dyDescent="0.3">
      <c r="R187" s="85">
        <f ca="1"/>
        <v>45308</v>
      </c>
      <c r="S187" s="57">
        <f t="shared" ca="1" si="37"/>
        <v>45308</v>
      </c>
      <c r="T187" s="57">
        <f t="shared" ca="1" si="31"/>
        <v>31.889432484453152</v>
      </c>
      <c r="U187" s="57">
        <f t="shared" ca="1" si="32"/>
        <v>150.8885723109</v>
      </c>
      <c r="V187" s="57">
        <f t="shared" ca="1" si="33"/>
        <v>0</v>
      </c>
      <c r="W187">
        <f t="shared" ca="1" si="34"/>
        <v>65.269934337292995</v>
      </c>
      <c r="X187">
        <f t="shared" ca="1" si="38"/>
        <v>97.878912359396125</v>
      </c>
      <c r="Y187">
        <f t="shared" ca="1" si="35"/>
        <v>0</v>
      </c>
      <c r="Z187">
        <f t="shared" ca="1" si="36"/>
        <v>0.48734216288390098</v>
      </c>
      <c r="AA187" s="85" t="e">
        <f ca="1"/>
        <v>#N/A</v>
      </c>
      <c r="AB187" s="57" t="e">
        <f t="shared" ca="1" si="39"/>
        <v>#N/A</v>
      </c>
      <c r="AC187" s="57" t="e">
        <f t="shared" ca="1" si="40"/>
        <v>#N/A</v>
      </c>
      <c r="AD187" s="57" t="e">
        <f t="shared" ca="1" si="41"/>
        <v>#N/A</v>
      </c>
      <c r="AE187" s="57" t="e">
        <f t="shared" ca="1" si="42"/>
        <v>#N/A</v>
      </c>
    </row>
    <row r="188" spans="18:31" x14ac:dyDescent="0.3">
      <c r="R188" s="85">
        <f ca="1"/>
        <v>45309</v>
      </c>
      <c r="S188" s="57">
        <f t="shared" ca="1" si="37"/>
        <v>45309</v>
      </c>
      <c r="T188" s="57">
        <f t="shared" ca="1" si="31"/>
        <v>31.699026805062545</v>
      </c>
      <c r="U188" s="57">
        <f t="shared" ca="1" si="32"/>
        <v>151.21502488263801</v>
      </c>
      <c r="V188" s="57">
        <f t="shared" ca="1" si="33"/>
        <v>0</v>
      </c>
      <c r="W188">
        <f t="shared" ca="1" si="34"/>
        <v>66.457893953866957</v>
      </c>
      <c r="X188">
        <f t="shared" ca="1" si="38"/>
        <v>97.878912359396125</v>
      </c>
      <c r="Y188">
        <f t="shared" ca="1" si="35"/>
        <v>0</v>
      </c>
      <c r="Z188">
        <f t="shared" ca="1" si="36"/>
        <v>0.47071431409681902</v>
      </c>
      <c r="AA188" s="85" t="e">
        <f ca="1"/>
        <v>#N/A</v>
      </c>
      <c r="AB188" s="57" t="e">
        <f t="shared" ca="1" si="39"/>
        <v>#N/A</v>
      </c>
      <c r="AC188" s="57" t="e">
        <f t="shared" ca="1" si="40"/>
        <v>#N/A</v>
      </c>
      <c r="AD188" s="57" t="e">
        <f t="shared" ca="1" si="41"/>
        <v>#N/A</v>
      </c>
      <c r="AE188" s="57" t="e">
        <f t="shared" ca="1" si="42"/>
        <v>#N/A</v>
      </c>
    </row>
    <row r="189" spans="18:31" x14ac:dyDescent="0.3">
      <c r="R189" s="85">
        <f ca="1"/>
        <v>45310</v>
      </c>
      <c r="S189" s="57">
        <f t="shared" ca="1" si="37"/>
        <v>45310</v>
      </c>
      <c r="T189" s="57">
        <f t="shared" ca="1" si="31"/>
        <v>31.521392948035668</v>
      </c>
      <c r="U189" s="57">
        <f t="shared" ca="1" si="32"/>
        <v>151.53299311683099</v>
      </c>
      <c r="V189" s="57">
        <f t="shared" ca="1" si="33"/>
        <v>0</v>
      </c>
      <c r="W189">
        <f t="shared" ca="1" si="34"/>
        <v>65.882045967829526</v>
      </c>
      <c r="X189">
        <f t="shared" ca="1" si="38"/>
        <v>97.878912359396125</v>
      </c>
      <c r="Y189">
        <f t="shared" ca="1" si="35"/>
        <v>0</v>
      </c>
      <c r="Z189">
        <f t="shared" ca="1" si="36"/>
        <v>0.45362340152360398</v>
      </c>
      <c r="AA189" s="85" t="e">
        <f ca="1"/>
        <v>#N/A</v>
      </c>
      <c r="AB189" s="57" t="e">
        <f t="shared" ca="1" si="39"/>
        <v>#N/A</v>
      </c>
      <c r="AC189" s="57" t="e">
        <f t="shared" ca="1" si="40"/>
        <v>#N/A</v>
      </c>
      <c r="AD189" s="57" t="e">
        <f t="shared" ca="1" si="41"/>
        <v>#N/A</v>
      </c>
      <c r="AE189" s="57" t="e">
        <f t="shared" ca="1" si="42"/>
        <v>#N/A</v>
      </c>
    </row>
    <row r="190" spans="18:31" x14ac:dyDescent="0.3">
      <c r="R190" s="85">
        <f ca="1"/>
        <v>45311</v>
      </c>
      <c r="S190" s="57">
        <f t="shared" ca="1" si="37"/>
        <v>45311</v>
      </c>
      <c r="T190" s="57">
        <f t="shared" ca="1" si="31"/>
        <v>31.362537085848402</v>
      </c>
      <c r="U190" s="57">
        <f t="shared" ca="1" si="32"/>
        <v>151.828784951785</v>
      </c>
      <c r="V190" s="57">
        <f t="shared" ca="1" si="33"/>
        <v>0</v>
      </c>
      <c r="W190">
        <f t="shared" ca="1" si="34"/>
        <v>65.886045606079961</v>
      </c>
      <c r="X190">
        <f t="shared" ca="1" si="38"/>
        <v>97.878912359396125</v>
      </c>
      <c r="Y190">
        <f t="shared" ca="1" si="35"/>
        <v>0</v>
      </c>
      <c r="Z190">
        <f t="shared" ca="1" si="36"/>
        <v>0.43683733927625901</v>
      </c>
      <c r="AA190" s="85" t="e">
        <f ca="1"/>
        <v>#N/A</v>
      </c>
      <c r="AB190" s="57" t="e">
        <f t="shared" ca="1" si="39"/>
        <v>#N/A</v>
      </c>
      <c r="AC190" s="57" t="e">
        <f t="shared" ca="1" si="40"/>
        <v>#N/A</v>
      </c>
      <c r="AD190" s="57" t="e">
        <f t="shared" ca="1" si="41"/>
        <v>#N/A</v>
      </c>
      <c r="AE190" s="57" t="e">
        <f t="shared" ca="1" si="42"/>
        <v>#N/A</v>
      </c>
    </row>
    <row r="191" spans="18:31" x14ac:dyDescent="0.3">
      <c r="R191" s="85">
        <f ca="1"/>
        <v>45312</v>
      </c>
      <c r="S191" s="57">
        <f t="shared" ca="1" si="37"/>
        <v>45312</v>
      </c>
      <c r="T191" s="57">
        <f t="shared" ca="1" si="31"/>
        <v>31.2207185246763</v>
      </c>
      <c r="U191" s="57">
        <f t="shared" ca="1" si="32"/>
        <v>152.10230827988499</v>
      </c>
      <c r="V191" s="57">
        <f t="shared" ca="1" si="33"/>
        <v>0</v>
      </c>
      <c r="W191">
        <f t="shared" ca="1" si="34"/>
        <v>65.408619308693346</v>
      </c>
      <c r="X191">
        <f t="shared" ca="1" si="38"/>
        <v>97.878912359396125</v>
      </c>
      <c r="Y191">
        <f t="shared" ca="1" si="35"/>
        <v>0</v>
      </c>
      <c r="Z191">
        <f t="shared" ca="1" si="36"/>
        <v>0.42046417557155102</v>
      </c>
      <c r="AA191" s="85" t="e">
        <f ca="1"/>
        <v>#N/A</v>
      </c>
      <c r="AB191" s="57" t="e">
        <f t="shared" ca="1" si="39"/>
        <v>#N/A</v>
      </c>
      <c r="AC191" s="57" t="e">
        <f t="shared" ca="1" si="40"/>
        <v>#N/A</v>
      </c>
      <c r="AD191" s="57" t="e">
        <f t="shared" ca="1" si="41"/>
        <v>#N/A</v>
      </c>
      <c r="AE191" s="57" t="e">
        <f t="shared" ca="1" si="42"/>
        <v>#N/A</v>
      </c>
    </row>
    <row r="192" spans="18:31" x14ac:dyDescent="0.3">
      <c r="R192" s="85">
        <f ca="1"/>
        <v>45313</v>
      </c>
      <c r="S192" s="57">
        <f t="shared" ca="1" si="37"/>
        <v>45313</v>
      </c>
      <c r="T192" s="57">
        <f t="shared" ca="1" si="31"/>
        <v>31.09474824579263</v>
      </c>
      <c r="U192" s="57">
        <f t="shared" ca="1" si="32"/>
        <v>152.35703465807501</v>
      </c>
      <c r="V192" s="57">
        <f t="shared" ca="1" si="33"/>
        <v>0</v>
      </c>
      <c r="W192">
        <f t="shared" ca="1" si="34"/>
        <v>65.636277899404348</v>
      </c>
      <c r="X192">
        <f t="shared" ca="1" si="38"/>
        <v>97.878912359396125</v>
      </c>
      <c r="Y192">
        <f t="shared" ca="1" si="35"/>
        <v>0</v>
      </c>
      <c r="Z192">
        <f t="shared" ca="1" si="36"/>
        <v>0.40439586219271301</v>
      </c>
      <c r="AA192" s="85" t="e">
        <f ca="1"/>
        <v>#N/A</v>
      </c>
      <c r="AB192" s="57" t="e">
        <f t="shared" ca="1" si="39"/>
        <v>#N/A</v>
      </c>
      <c r="AC192" s="57" t="e">
        <f t="shared" ca="1" si="40"/>
        <v>#N/A</v>
      </c>
      <c r="AD192" s="57" t="e">
        <f t="shared" ca="1" si="41"/>
        <v>#N/A</v>
      </c>
      <c r="AE192" s="57" t="e">
        <f t="shared" ca="1" si="42"/>
        <v>#N/A</v>
      </c>
    </row>
    <row r="193" spans="18:31" x14ac:dyDescent="0.3">
      <c r="R193" s="85">
        <f ca="1"/>
        <v>45314</v>
      </c>
      <c r="S193" s="57">
        <f t="shared" ca="1" si="37"/>
        <v>45314</v>
      </c>
      <c r="T193" s="57">
        <f t="shared" ca="1" si="31"/>
        <v>30.985566106650793</v>
      </c>
      <c r="U193" s="57">
        <f t="shared" ca="1" si="32"/>
        <v>152.60092524646501</v>
      </c>
      <c r="V193" s="57">
        <f t="shared" ca="1" si="33"/>
        <v>0</v>
      </c>
      <c r="W193">
        <f t="shared" ca="1" si="34"/>
        <v>68.647830332357714</v>
      </c>
      <c r="X193">
        <f t="shared" ca="1" si="38"/>
        <v>97.878912359396125</v>
      </c>
      <c r="Y193">
        <f t="shared" ca="1" si="35"/>
        <v>0</v>
      </c>
      <c r="Z193">
        <f t="shared" ca="1" si="36"/>
        <v>0.388184770813152</v>
      </c>
      <c r="AA193" s="85" t="e">
        <f ca="1"/>
        <v>#N/A</v>
      </c>
      <c r="AB193" s="57" t="e">
        <f t="shared" ca="1" si="39"/>
        <v>#N/A</v>
      </c>
      <c r="AC193" s="57" t="e">
        <f t="shared" ca="1" si="40"/>
        <v>#N/A</v>
      </c>
      <c r="AD193" s="57" t="e">
        <f t="shared" ca="1" si="41"/>
        <v>#N/A</v>
      </c>
      <c r="AE193" s="57" t="e">
        <f t="shared" ca="1" si="42"/>
        <v>#N/A</v>
      </c>
    </row>
    <row r="194" spans="18:31" x14ac:dyDescent="0.3">
      <c r="R194" s="85">
        <f ca="1"/>
        <v>45315</v>
      </c>
      <c r="S194" s="57">
        <f t="shared" ca="1" si="37"/>
        <v>45315</v>
      </c>
      <c r="T194" s="57">
        <f t="shared" ca="1" si="31"/>
        <v>30.886039465727777</v>
      </c>
      <c r="U194" s="57">
        <f t="shared" ca="1" si="32"/>
        <v>152.83498560978799</v>
      </c>
      <c r="V194" s="57">
        <f t="shared" ca="1" si="33"/>
        <v>0</v>
      </c>
      <c r="W194">
        <f t="shared" ca="1" si="34"/>
        <v>67.091334029565516</v>
      </c>
      <c r="X194">
        <f t="shared" ca="1" si="38"/>
        <v>97.878912359396125</v>
      </c>
      <c r="Y194">
        <f t="shared" ca="1" si="35"/>
        <v>0</v>
      </c>
      <c r="Z194">
        <f t="shared" ca="1" si="36"/>
        <v>0.37177968377167198</v>
      </c>
      <c r="AA194" s="85" t="e">
        <f ca="1"/>
        <v>#N/A</v>
      </c>
      <c r="AB194" s="57" t="e">
        <f t="shared" ca="1" si="39"/>
        <v>#N/A</v>
      </c>
      <c r="AC194" s="57" t="e">
        <f t="shared" ca="1" si="40"/>
        <v>#N/A</v>
      </c>
      <c r="AD194" s="57" t="e">
        <f t="shared" ca="1" si="41"/>
        <v>#N/A</v>
      </c>
      <c r="AE194" s="57" t="e">
        <f t="shared" ca="1" si="42"/>
        <v>#N/A</v>
      </c>
    </row>
    <row r="195" spans="18:31" x14ac:dyDescent="0.3">
      <c r="R195" s="85">
        <f ca="1"/>
        <v>45316</v>
      </c>
      <c r="S195" s="57">
        <f t="shared" ca="1" si="37"/>
        <v>45316</v>
      </c>
      <c r="T195" s="57">
        <f t="shared" ca="1" si="31"/>
        <v>30.794723222766521</v>
      </c>
      <c r="U195" s="57">
        <f t="shared" ca="1" si="32"/>
        <v>153.05856079131601</v>
      </c>
      <c r="V195" s="57">
        <f t="shared" ca="1" si="33"/>
        <v>0</v>
      </c>
      <c r="W195">
        <f t="shared" ca="1" si="34"/>
        <v>64.588015674473851</v>
      </c>
      <c r="X195">
        <f t="shared" ca="1" si="38"/>
        <v>97.878912359396125</v>
      </c>
      <c r="Y195">
        <f t="shared" ca="1" si="35"/>
        <v>0</v>
      </c>
      <c r="Z195">
        <f t="shared" ca="1" si="36"/>
        <v>0.35524444774181602</v>
      </c>
      <c r="AA195" s="85" t="e">
        <f ca="1"/>
        <v>#N/A</v>
      </c>
      <c r="AB195" s="57" t="e">
        <f t="shared" ca="1" si="39"/>
        <v>#N/A</v>
      </c>
      <c r="AC195" s="57" t="e">
        <f t="shared" ca="1" si="40"/>
        <v>#N/A</v>
      </c>
      <c r="AD195" s="57" t="e">
        <f t="shared" ca="1" si="41"/>
        <v>#N/A</v>
      </c>
      <c r="AE195" s="57" t="e">
        <f t="shared" ca="1" si="42"/>
        <v>#N/A</v>
      </c>
    </row>
    <row r="196" spans="18:31" x14ac:dyDescent="0.3">
      <c r="R196" s="85">
        <f ca="1"/>
        <v>45317</v>
      </c>
      <c r="S196" s="57">
        <f t="shared" ca="1" si="37"/>
        <v>45317</v>
      </c>
      <c r="T196" s="57">
        <f t="shared" ca="1" si="31"/>
        <v>30.712148643419937</v>
      </c>
      <c r="U196" s="57">
        <f t="shared" ca="1" si="32"/>
        <v>153.28279746401699</v>
      </c>
      <c r="V196" s="57">
        <f t="shared" ca="1" si="33"/>
        <v>0</v>
      </c>
      <c r="W196">
        <f t="shared" ca="1" si="34"/>
        <v>63.539473873216828</v>
      </c>
      <c r="X196">
        <f t="shared" ca="1" si="38"/>
        <v>97.878912359396125</v>
      </c>
      <c r="Y196">
        <f t="shared" ca="1" si="35"/>
        <v>0</v>
      </c>
      <c r="Z196">
        <f t="shared" ca="1" si="36"/>
        <v>0.33770976570688899</v>
      </c>
      <c r="AA196" s="85" t="e">
        <f ca="1"/>
        <v>#N/A</v>
      </c>
      <c r="AB196" s="57" t="e">
        <f t="shared" ca="1" si="39"/>
        <v>#N/A</v>
      </c>
      <c r="AC196" s="57" t="e">
        <f t="shared" ca="1" si="40"/>
        <v>#N/A</v>
      </c>
      <c r="AD196" s="57" t="e">
        <f t="shared" ca="1" si="41"/>
        <v>#N/A</v>
      </c>
      <c r="AE196" s="57" t="e">
        <f t="shared" ca="1" si="42"/>
        <v>#N/A</v>
      </c>
    </row>
    <row r="197" spans="18:31" x14ac:dyDescent="0.3">
      <c r="R197" s="85">
        <f ca="1"/>
        <v>45318</v>
      </c>
      <c r="S197" s="57">
        <f t="shared" ca="1" si="37"/>
        <v>45318</v>
      </c>
      <c r="T197" s="57">
        <f t="shared" ca="1" si="31"/>
        <v>30.645394890500597</v>
      </c>
      <c r="U197" s="57">
        <f t="shared" ca="1" si="32"/>
        <v>153.49005508114499</v>
      </c>
      <c r="V197" s="57">
        <f t="shared" ca="1" si="33"/>
        <v>0</v>
      </c>
      <c r="W197">
        <f t="shared" ca="1" si="34"/>
        <v>65.51650319233174</v>
      </c>
      <c r="X197">
        <f t="shared" ca="1" si="38"/>
        <v>97.878912359396125</v>
      </c>
      <c r="Y197">
        <f t="shared" ca="1" si="35"/>
        <v>0</v>
      </c>
      <c r="Z197">
        <f t="shared" ca="1" si="36"/>
        <v>0.32055325243063798</v>
      </c>
      <c r="AA197" s="85" t="e">
        <f ca="1"/>
        <v>#N/A</v>
      </c>
      <c r="AB197" s="57" t="e">
        <f t="shared" ca="1" si="39"/>
        <v>#N/A</v>
      </c>
      <c r="AC197" s="57" t="e">
        <f t="shared" ca="1" si="40"/>
        <v>#N/A</v>
      </c>
      <c r="AD197" s="57" t="e">
        <f t="shared" ca="1" si="41"/>
        <v>#N/A</v>
      </c>
      <c r="AE197" s="57" t="e">
        <f t="shared" ca="1" si="42"/>
        <v>#N/A</v>
      </c>
    </row>
    <row r="198" spans="18:31" x14ac:dyDescent="0.3">
      <c r="R198" s="85">
        <f ca="1"/>
        <v>45319</v>
      </c>
      <c r="S198" s="57">
        <f t="shared" ca="1" si="37"/>
        <v>45319</v>
      </c>
      <c r="T198" s="57">
        <f t="shared" ca="1" si="31"/>
        <v>30.587579471930354</v>
      </c>
      <c r="U198" s="57">
        <f t="shared" ca="1" si="32"/>
        <v>153.68344902850399</v>
      </c>
      <c r="V198" s="57">
        <f t="shared" ca="1" si="33"/>
        <v>0</v>
      </c>
      <c r="W198">
        <f t="shared" ca="1" si="34"/>
        <v>63.913339813589467</v>
      </c>
      <c r="X198">
        <f t="shared" ca="1" si="38"/>
        <v>97.878912359396125</v>
      </c>
      <c r="Y198">
        <f t="shared" ca="1" si="35"/>
        <v>0</v>
      </c>
      <c r="Z198">
        <f t="shared" ca="1" si="36"/>
        <v>0.30362055331768401</v>
      </c>
      <c r="AA198" s="85" t="e">
        <f ca="1"/>
        <v>#N/A</v>
      </c>
      <c r="AB198" s="57" t="e">
        <f t="shared" ca="1" si="39"/>
        <v>#N/A</v>
      </c>
      <c r="AC198" s="57" t="e">
        <f t="shared" ca="1" si="40"/>
        <v>#N/A</v>
      </c>
      <c r="AD198" s="57" t="e">
        <f t="shared" ca="1" si="41"/>
        <v>#N/A</v>
      </c>
      <c r="AE198" s="57" t="e">
        <f t="shared" ca="1" si="42"/>
        <v>#N/A</v>
      </c>
    </row>
    <row r="199" spans="18:31" x14ac:dyDescent="0.3">
      <c r="R199" s="85">
        <f ca="1"/>
        <v>45320</v>
      </c>
      <c r="S199" s="57">
        <f t="shared" ca="1" si="37"/>
        <v>45320</v>
      </c>
      <c r="T199" s="57">
        <f t="shared" ca="1" si="31"/>
        <v>30.536384950843797</v>
      </c>
      <c r="U199" s="57">
        <f t="shared" ca="1" si="32"/>
        <v>153.87281053920699</v>
      </c>
      <c r="V199" s="57">
        <f t="shared" ca="1" si="33"/>
        <v>0</v>
      </c>
      <c r="W199">
        <f t="shared" ca="1" si="34"/>
        <v>61.159858413542288</v>
      </c>
      <c r="X199">
        <f t="shared" ca="1" si="38"/>
        <v>97.878912359396125</v>
      </c>
      <c r="Y199">
        <f t="shared" ca="1" si="35"/>
        <v>0</v>
      </c>
      <c r="Z199">
        <f t="shared" ca="1" si="36"/>
        <v>0.286070435823219</v>
      </c>
      <c r="AA199" s="85" t="e">
        <f ca="1"/>
        <v>#N/A</v>
      </c>
      <c r="AB199" s="57" t="e">
        <f t="shared" ca="1" si="39"/>
        <v>#N/A</v>
      </c>
      <c r="AC199" s="57" t="e">
        <f t="shared" ca="1" si="40"/>
        <v>#N/A</v>
      </c>
      <c r="AD199" s="57" t="e">
        <f t="shared" ca="1" si="41"/>
        <v>#N/A</v>
      </c>
      <c r="AE199" s="57" t="e">
        <f t="shared" ca="1" si="42"/>
        <v>#N/A</v>
      </c>
    </row>
    <row r="200" spans="18:31" x14ac:dyDescent="0.3">
      <c r="R200" s="85">
        <f ca="1"/>
        <v>45321</v>
      </c>
      <c r="S200" s="57">
        <f t="shared" ca="1" si="37"/>
        <v>45321</v>
      </c>
      <c r="T200" s="57">
        <f t="shared" ca="1" si="31"/>
        <v>30.494149613967153</v>
      </c>
      <c r="U200" s="57">
        <f t="shared" ca="1" si="32"/>
        <v>154.05259751366799</v>
      </c>
      <c r="V200" s="57">
        <f t="shared" ca="1" si="33"/>
        <v>0</v>
      </c>
      <c r="W200">
        <f t="shared" ca="1" si="34"/>
        <v>59.949502088574086</v>
      </c>
      <c r="X200">
        <f t="shared" ca="1" si="38"/>
        <v>97.878912359396125</v>
      </c>
      <c r="Y200">
        <f t="shared" ca="1" si="35"/>
        <v>0</v>
      </c>
      <c r="Z200">
        <f t="shared" ca="1" si="36"/>
        <v>0.26840841124710602</v>
      </c>
      <c r="AA200" s="85" t="e">
        <f ca="1"/>
        <v>#N/A</v>
      </c>
      <c r="AB200" s="57" t="e">
        <f t="shared" ca="1" si="39"/>
        <v>#N/A</v>
      </c>
      <c r="AC200" s="57" t="e">
        <f t="shared" ca="1" si="40"/>
        <v>#N/A</v>
      </c>
      <c r="AD200" s="57" t="e">
        <f t="shared" ca="1" si="41"/>
        <v>#N/A</v>
      </c>
      <c r="AE200" s="57" t="e">
        <f t="shared" ca="1" si="42"/>
        <v>#N/A</v>
      </c>
    </row>
    <row r="201" spans="18:31" x14ac:dyDescent="0.3">
      <c r="R201" s="85">
        <f ca="1"/>
        <v>45322</v>
      </c>
      <c r="S201" s="57">
        <f t="shared" ca="1" si="37"/>
        <v>45322</v>
      </c>
      <c r="T201" s="57">
        <f t="shared" ca="1" si="31"/>
        <v>30.458179174121597</v>
      </c>
      <c r="U201" s="57">
        <f t="shared" ca="1" si="32"/>
        <v>154.21909810516499</v>
      </c>
      <c r="V201" s="57">
        <f t="shared" ca="1" si="33"/>
        <v>0</v>
      </c>
      <c r="W201">
        <f t="shared" ca="1" si="34"/>
        <v>57.527638523200388</v>
      </c>
      <c r="X201">
        <f t="shared" ca="1" si="38"/>
        <v>97.878912359396125</v>
      </c>
      <c r="Y201">
        <f t="shared" ca="1" si="35"/>
        <v>0</v>
      </c>
      <c r="Z201">
        <f t="shared" ca="1" si="36"/>
        <v>0.25107439018617</v>
      </c>
      <c r="AA201" s="85" t="e">
        <f ca="1"/>
        <v>#N/A</v>
      </c>
      <c r="AB201" s="57" t="e">
        <f t="shared" ca="1" si="39"/>
        <v>#N/A</v>
      </c>
      <c r="AC201" s="57" t="e">
        <f t="shared" ca="1" si="40"/>
        <v>#N/A</v>
      </c>
      <c r="AD201" s="57" t="e">
        <f t="shared" ca="1" si="41"/>
        <v>#N/A</v>
      </c>
      <c r="AE201" s="57" t="e">
        <f t="shared" ca="1" si="42"/>
        <v>#N/A</v>
      </c>
    </row>
    <row r="202" spans="18:31" x14ac:dyDescent="0.3">
      <c r="R202" s="85">
        <f ca="1"/>
        <v>45323</v>
      </c>
      <c r="S202" s="57">
        <f t="shared" ca="1" si="37"/>
        <v>45323</v>
      </c>
      <c r="T202" s="57">
        <f t="shared" ca="1" si="31"/>
        <v>30.436072950028461</v>
      </c>
      <c r="U202" s="57">
        <f t="shared" ca="1" si="32"/>
        <v>154.37631219737301</v>
      </c>
      <c r="V202" s="57">
        <f t="shared" ca="1" si="33"/>
        <v>0</v>
      </c>
      <c r="W202">
        <f t="shared" ca="1" si="34"/>
        <v>60.651826819157129</v>
      </c>
      <c r="X202">
        <f t="shared" ca="1" si="38"/>
        <v>97.878912359396125</v>
      </c>
      <c r="Y202">
        <f t="shared" ca="1" si="35"/>
        <v>0</v>
      </c>
      <c r="Z202">
        <f t="shared" ca="1" si="36"/>
        <v>0.233736510260349</v>
      </c>
      <c r="AA202" s="85" t="e">
        <f ca="1"/>
        <v>#N/A</v>
      </c>
      <c r="AB202" s="57" t="e">
        <f t="shared" ca="1" si="39"/>
        <v>#N/A</v>
      </c>
      <c r="AC202" s="57" t="e">
        <f t="shared" ca="1" si="40"/>
        <v>#N/A</v>
      </c>
      <c r="AD202" s="57" t="e">
        <f t="shared" ca="1" si="41"/>
        <v>#N/A</v>
      </c>
      <c r="AE202" s="57" t="e">
        <f t="shared" ca="1" si="42"/>
        <v>#N/A</v>
      </c>
    </row>
    <row r="203" spans="18:31" x14ac:dyDescent="0.3">
      <c r="R203" s="85">
        <f ca="1"/>
        <v>45324</v>
      </c>
      <c r="S203" s="57">
        <f t="shared" ca="1" si="37"/>
        <v>45324</v>
      </c>
      <c r="T203" s="57">
        <f t="shared" ca="1" si="31"/>
        <v>30.427065073249622</v>
      </c>
      <c r="U203" s="57">
        <f t="shared" ca="1" si="32"/>
        <v>154.523454460669</v>
      </c>
      <c r="V203" s="57">
        <f t="shared" ca="1" si="33"/>
        <v>0</v>
      </c>
      <c r="W203">
        <f t="shared" ca="1" si="34"/>
        <v>63.754075136582514</v>
      </c>
      <c r="X203">
        <f t="shared" ca="1" si="38"/>
        <v>97.878912359396125</v>
      </c>
      <c r="Y203">
        <f t="shared" ca="1" si="35"/>
        <v>0</v>
      </c>
      <c r="Z203">
        <f t="shared" ca="1" si="36"/>
        <v>0.216549126065022</v>
      </c>
      <c r="AA203" s="85" t="e">
        <f ca="1"/>
        <v>#N/A</v>
      </c>
      <c r="AB203" s="57" t="e">
        <f t="shared" ca="1" si="39"/>
        <v>#N/A</v>
      </c>
      <c r="AC203" s="57" t="e">
        <f t="shared" ca="1" si="40"/>
        <v>#N/A</v>
      </c>
      <c r="AD203" s="57" t="e">
        <f t="shared" ca="1" si="41"/>
        <v>#N/A</v>
      </c>
      <c r="AE203" s="57" t="e">
        <f t="shared" ca="1" si="42"/>
        <v>#N/A</v>
      </c>
    </row>
    <row r="204" spans="18:31" x14ac:dyDescent="0.3">
      <c r="R204" s="85">
        <f ca="1"/>
        <v>45325</v>
      </c>
      <c r="S204" s="57">
        <f t="shared" ca="1" si="37"/>
        <v>45325</v>
      </c>
      <c r="T204" s="57">
        <f t="shared" ca="1" si="31"/>
        <v>30.423506418275025</v>
      </c>
      <c r="U204" s="57">
        <f t="shared" ca="1" si="32"/>
        <v>154.66445569515099</v>
      </c>
      <c r="V204" s="57">
        <f t="shared" ca="1" si="33"/>
        <v>0</v>
      </c>
      <c r="W204">
        <f t="shared" ca="1" si="34"/>
        <v>61.403341549392124</v>
      </c>
      <c r="X204">
        <f t="shared" ca="1" si="38"/>
        <v>97.878912359396125</v>
      </c>
      <c r="Y204">
        <f t="shared" ca="1" si="35"/>
        <v>0</v>
      </c>
      <c r="Z204">
        <f t="shared" ca="1" si="36"/>
        <v>0.199099339057553</v>
      </c>
      <c r="AA204" s="85" t="e">
        <f ca="1"/>
        <v>#N/A</v>
      </c>
      <c r="AB204" s="57" t="e">
        <f t="shared" ca="1" si="39"/>
        <v>#N/A</v>
      </c>
      <c r="AC204" s="57" t="e">
        <f t="shared" ca="1" si="40"/>
        <v>#N/A</v>
      </c>
      <c r="AD204" s="57" t="e">
        <f t="shared" ca="1" si="41"/>
        <v>#N/A</v>
      </c>
      <c r="AE204" s="57" t="e">
        <f t="shared" ca="1" si="42"/>
        <v>#N/A</v>
      </c>
    </row>
    <row r="205" spans="18:31" x14ac:dyDescent="0.3">
      <c r="R205" s="85">
        <f ca="1"/>
        <v>45326</v>
      </c>
      <c r="S205" s="57">
        <f t="shared" ca="1" si="37"/>
        <v>45326</v>
      </c>
      <c r="T205" s="57">
        <f t="shared" ca="1" si="31"/>
        <v>30.430698228299548</v>
      </c>
      <c r="U205" s="57">
        <f t="shared" ca="1" si="32"/>
        <v>154.794723444525</v>
      </c>
      <c r="V205" s="57">
        <f t="shared" ca="1" si="33"/>
        <v>0</v>
      </c>
      <c r="W205">
        <f t="shared" ca="1" si="34"/>
        <v>64.093805806266531</v>
      </c>
      <c r="X205">
        <f t="shared" ca="1" si="38"/>
        <v>97.878912359396125</v>
      </c>
      <c r="Y205">
        <f t="shared" ca="1" si="35"/>
        <v>0</v>
      </c>
      <c r="Z205">
        <f t="shared" ca="1" si="36"/>
        <v>0.18202000307899099</v>
      </c>
      <c r="AA205" s="85" t="e">
        <f ca="1"/>
        <v>#N/A</v>
      </c>
      <c r="AB205" s="57" t="e">
        <f t="shared" ca="1" si="39"/>
        <v>#N/A</v>
      </c>
      <c r="AC205" s="57" t="e">
        <f t="shared" ca="1" si="40"/>
        <v>#N/A</v>
      </c>
      <c r="AD205" s="57" t="e">
        <f t="shared" ca="1" si="41"/>
        <v>#N/A</v>
      </c>
      <c r="AE205" s="57" t="e">
        <f t="shared" ca="1" si="42"/>
        <v>#N/A</v>
      </c>
    </row>
    <row r="206" spans="18:31" x14ac:dyDescent="0.3">
      <c r="R206" s="85">
        <f ca="1"/>
        <v>45327</v>
      </c>
      <c r="S206" s="57">
        <f t="shared" ca="1" si="37"/>
        <v>45327</v>
      </c>
      <c r="T206" s="57">
        <f t="shared" ca="1" si="31"/>
        <v>30.443002581571847</v>
      </c>
      <c r="U206" s="57">
        <f t="shared" ca="1" si="32"/>
        <v>154.91472287002901</v>
      </c>
      <c r="V206" s="57">
        <f t="shared" ca="1" si="33"/>
        <v>0</v>
      </c>
      <c r="W206">
        <f t="shared" ca="1" si="34"/>
        <v>63.792778014875402</v>
      </c>
      <c r="X206">
        <f t="shared" ca="1" si="38"/>
        <v>97.878912359396125</v>
      </c>
      <c r="Y206">
        <f t="shared" ca="1" si="35"/>
        <v>0</v>
      </c>
      <c r="Z206">
        <f t="shared" ca="1" si="36"/>
        <v>0.16537285996748599</v>
      </c>
      <c r="AA206" s="85" t="e">
        <f ca="1"/>
        <v>#N/A</v>
      </c>
      <c r="AB206" s="57" t="e">
        <f t="shared" ca="1" si="39"/>
        <v>#N/A</v>
      </c>
      <c r="AC206" s="57" t="e">
        <f t="shared" ca="1" si="40"/>
        <v>#N/A</v>
      </c>
      <c r="AD206" s="57" t="e">
        <f t="shared" ca="1" si="41"/>
        <v>#N/A</v>
      </c>
      <c r="AE206" s="57" t="e">
        <f t="shared" ca="1" si="42"/>
        <v>#N/A</v>
      </c>
    </row>
    <row r="207" spans="18:31" x14ac:dyDescent="0.3">
      <c r="R207" s="85">
        <f ca="1"/>
        <v>45328</v>
      </c>
      <c r="S207" s="57">
        <f t="shared" ca="1" si="37"/>
        <v>45328</v>
      </c>
      <c r="T207" s="57">
        <f t="shared" ca="1" si="31"/>
        <v>30.456802088348212</v>
      </c>
      <c r="U207" s="57">
        <f t="shared" ca="1" si="32"/>
        <v>155.02457068819299</v>
      </c>
      <c r="V207" s="57">
        <f t="shared" ca="1" si="33"/>
        <v>0</v>
      </c>
      <c r="W207">
        <f t="shared" ca="1" si="34"/>
        <v>61.735046080766992</v>
      </c>
      <c r="X207">
        <f t="shared" ca="1" si="38"/>
        <v>97.878912359396125</v>
      </c>
      <c r="Y207">
        <f t="shared" ca="1" si="35"/>
        <v>0</v>
      </c>
      <c r="Z207">
        <f t="shared" ca="1" si="36"/>
        <v>0.149273675669574</v>
      </c>
      <c r="AA207" s="85" t="e">
        <f ca="1"/>
        <v>#N/A</v>
      </c>
      <c r="AB207" s="57" t="e">
        <f t="shared" ca="1" si="39"/>
        <v>#N/A</v>
      </c>
      <c r="AC207" s="57" t="e">
        <f t="shared" ca="1" si="40"/>
        <v>#N/A</v>
      </c>
      <c r="AD207" s="57" t="e">
        <f t="shared" ca="1" si="41"/>
        <v>#N/A</v>
      </c>
      <c r="AE207" s="57" t="e">
        <f t="shared" ca="1" si="42"/>
        <v>#N/A</v>
      </c>
    </row>
    <row r="208" spans="18:31" x14ac:dyDescent="0.3">
      <c r="R208" s="85">
        <f ca="1"/>
        <v>45329</v>
      </c>
      <c r="S208" s="57">
        <f t="shared" ca="1" si="37"/>
        <v>45329</v>
      </c>
      <c r="T208" s="57">
        <f t="shared" ca="1" si="31"/>
        <v>30.476184814744357</v>
      </c>
      <c r="U208" s="57">
        <f t="shared" ca="1" si="32"/>
        <v>155.12664490865399</v>
      </c>
      <c r="V208" s="57">
        <f t="shared" ca="1" si="33"/>
        <v>0</v>
      </c>
      <c r="W208">
        <f t="shared" ca="1" si="34"/>
        <v>62.506773315387555</v>
      </c>
      <c r="X208">
        <f t="shared" ca="1" si="38"/>
        <v>97.878912359396125</v>
      </c>
      <c r="Y208">
        <f t="shared" ca="1" si="35"/>
        <v>0</v>
      </c>
      <c r="Z208">
        <f t="shared" ca="1" si="36"/>
        <v>0.13349091829218601</v>
      </c>
      <c r="AA208" s="85" t="e">
        <f ca="1"/>
        <v>#N/A</v>
      </c>
      <c r="AB208" s="57" t="e">
        <f t="shared" ca="1" si="39"/>
        <v>#N/A</v>
      </c>
      <c r="AC208" s="57" t="e">
        <f t="shared" ca="1" si="40"/>
        <v>#N/A</v>
      </c>
      <c r="AD208" s="57" t="e">
        <f t="shared" ca="1" si="41"/>
        <v>#N/A</v>
      </c>
      <c r="AE208" s="57" t="e">
        <f t="shared" ca="1" si="42"/>
        <v>#N/A</v>
      </c>
    </row>
    <row r="209" spans="18:31" x14ac:dyDescent="0.3">
      <c r="R209" s="85">
        <f ca="1"/>
        <v>45330</v>
      </c>
      <c r="S209" s="57">
        <f t="shared" ca="1" si="37"/>
        <v>45330</v>
      </c>
      <c r="T209" s="57">
        <f t="shared" ca="1" si="31"/>
        <v>30.503309890046154</v>
      </c>
      <c r="U209" s="57">
        <f t="shared" ca="1" si="32"/>
        <v>155.225883244588</v>
      </c>
      <c r="V209" s="57">
        <f t="shared" ca="1" si="33"/>
        <v>0</v>
      </c>
      <c r="W209">
        <f t="shared" ca="1" si="34"/>
        <v>63.012400171392223</v>
      </c>
      <c r="X209">
        <f t="shared" ca="1" si="38"/>
        <v>97.878912359396125</v>
      </c>
      <c r="Y209">
        <f t="shared" ca="1" si="35"/>
        <v>0</v>
      </c>
      <c r="Z209">
        <f t="shared" ca="1" si="36"/>
        <v>0.117299121237046</v>
      </c>
      <c r="AA209" s="85" t="e">
        <f ca="1"/>
        <v>#N/A</v>
      </c>
      <c r="AB209" s="57" t="e">
        <f t="shared" ca="1" si="39"/>
        <v>#N/A</v>
      </c>
      <c r="AC209" s="57" t="e">
        <f t="shared" ca="1" si="40"/>
        <v>#N/A</v>
      </c>
      <c r="AD209" s="57" t="e">
        <f t="shared" ca="1" si="41"/>
        <v>#N/A</v>
      </c>
      <c r="AE209" s="57" t="e">
        <f t="shared" ca="1" si="42"/>
        <v>#N/A</v>
      </c>
    </row>
    <row r="210" spans="18:31" x14ac:dyDescent="0.3">
      <c r="R210" s="85">
        <f ca="1"/>
        <v>45331</v>
      </c>
      <c r="S210" s="57">
        <f t="shared" ca="1" si="37"/>
        <v>45331</v>
      </c>
      <c r="T210" s="57">
        <f t="shared" ref="T210:T273" ca="1" si="43">VLOOKUP(S210,ModelOutputs,2,FALSE)</f>
        <v>30.533654413901814</v>
      </c>
      <c r="U210" s="57">
        <f t="shared" ref="U210:U273" ca="1" si="44">VLOOKUP(S210,ModelOutputs,7,FALSE)</f>
        <v>155.32026930548301</v>
      </c>
      <c r="V210" s="57">
        <f t="shared" ref="V210:V273" ca="1" si="45">VLOOKUP(S210,ModelOutputs,6,FALSE)</f>
        <v>0</v>
      </c>
      <c r="W210">
        <f t="shared" ref="W210:W273" ca="1" si="46">VLOOKUP(S210,ModelOutputs,10,FALSE)*AWC</f>
        <v>61.281072859187724</v>
      </c>
      <c r="X210">
        <f t="shared" ca="1" si="38"/>
        <v>97.878912359396125</v>
      </c>
      <c r="Y210">
        <f t="shared" ref="Y210:Y273" ca="1" si="47">VLOOKUP(S210,ModelOutputs,12,FALSE)</f>
        <v>0</v>
      </c>
      <c r="Z210">
        <f t="shared" ref="Z210:Z273" ca="1" si="48">VLOOKUP(S210,ModelOutputs,13,FALSE)</f>
        <v>0.101034005749102</v>
      </c>
      <c r="AA210" s="85" t="e">
        <f ca="1"/>
        <v>#N/A</v>
      </c>
      <c r="AB210" s="57" t="e">
        <f t="shared" ca="1" si="39"/>
        <v>#N/A</v>
      </c>
      <c r="AC210" s="57" t="e">
        <f t="shared" ca="1" si="40"/>
        <v>#N/A</v>
      </c>
      <c r="AD210" s="57" t="e">
        <f t="shared" ca="1" si="41"/>
        <v>#N/A</v>
      </c>
      <c r="AE210" s="57" t="e">
        <f t="shared" ca="1" si="42"/>
        <v>#N/A</v>
      </c>
    </row>
    <row r="211" spans="18:31" x14ac:dyDescent="0.3">
      <c r="R211" s="85">
        <f ca="1"/>
        <v>45332</v>
      </c>
      <c r="S211" s="57">
        <f t="shared" ref="S211:S274" ca="1" si="49">IF(R211&gt;1,R211,"")</f>
        <v>45332</v>
      </c>
      <c r="T211" s="57">
        <f t="shared" ca="1" si="43"/>
        <v>30.570721518844493</v>
      </c>
      <c r="U211" s="57">
        <f t="shared" ca="1" si="44"/>
        <v>155.41034012584001</v>
      </c>
      <c r="V211" s="57">
        <f t="shared" ca="1" si="45"/>
        <v>0</v>
      </c>
      <c r="W211">
        <f t="shared" ca="1" si="46"/>
        <v>62.009609484620121</v>
      </c>
      <c r="X211">
        <f t="shared" ref="X211:X274" ca="1" si="50">VLOOKUP(S211,ModelOutputs,11,FALSE)+X210</f>
        <v>97.878912359396125</v>
      </c>
      <c r="Y211">
        <f t="shared" ca="1" si="47"/>
        <v>0</v>
      </c>
      <c r="Z211">
        <f t="shared" ca="1" si="48"/>
        <v>8.4633829990202095E-2</v>
      </c>
      <c r="AA211" s="85" t="e">
        <f ca="1"/>
        <v>#N/A</v>
      </c>
      <c r="AB211" s="57" t="e">
        <f t="shared" ca="1" si="39"/>
        <v>#N/A</v>
      </c>
      <c r="AC211" s="57" t="e">
        <f t="shared" ca="1" si="40"/>
        <v>#N/A</v>
      </c>
      <c r="AD211" s="57" t="e">
        <f t="shared" ca="1" si="41"/>
        <v>#N/A</v>
      </c>
      <c r="AE211" s="57" t="e">
        <f t="shared" ca="1" si="42"/>
        <v>#N/A</v>
      </c>
    </row>
    <row r="212" spans="18:31" x14ac:dyDescent="0.3">
      <c r="R212" s="85">
        <f ca="1"/>
        <v>45333</v>
      </c>
      <c r="S212" s="57">
        <f t="shared" ca="1" si="49"/>
        <v>45333</v>
      </c>
      <c r="T212" s="57">
        <f t="shared" ca="1" si="43"/>
        <v>30.616974666509378</v>
      </c>
      <c r="U212" s="57">
        <f t="shared" ca="1" si="44"/>
        <v>155.495306510614</v>
      </c>
      <c r="V212" s="57">
        <f t="shared" ca="1" si="45"/>
        <v>0</v>
      </c>
      <c r="W212">
        <f t="shared" ca="1" si="46"/>
        <v>65.246859928480717</v>
      </c>
      <c r="X212">
        <f t="shared" ca="1" si="50"/>
        <v>97.878912359396125</v>
      </c>
      <c r="Y212">
        <f t="shared" ca="1" si="47"/>
        <v>0</v>
      </c>
      <c r="Z212">
        <f t="shared" ca="1" si="48"/>
        <v>6.8283819474800098E-2</v>
      </c>
      <c r="AA212" s="85" t="e">
        <f ca="1"/>
        <v>#N/A</v>
      </c>
      <c r="AB212" s="57" t="e">
        <f t="shared" ca="1" si="39"/>
        <v>#N/A</v>
      </c>
      <c r="AC212" s="57" t="e">
        <f t="shared" ca="1" si="40"/>
        <v>#N/A</v>
      </c>
      <c r="AD212" s="57" t="e">
        <f t="shared" ca="1" si="41"/>
        <v>#N/A</v>
      </c>
      <c r="AE212" s="57" t="e">
        <f t="shared" ca="1" si="42"/>
        <v>#N/A</v>
      </c>
    </row>
    <row r="213" spans="18:31" x14ac:dyDescent="0.3">
      <c r="R213" s="85">
        <f ca="1"/>
        <v>45334</v>
      </c>
      <c r="S213" s="57">
        <f t="shared" ca="1" si="49"/>
        <v>45334</v>
      </c>
      <c r="T213" s="57">
        <f t="shared" ca="1" si="43"/>
        <v>30.670853440240251</v>
      </c>
      <c r="U213" s="57">
        <f t="shared" ca="1" si="44"/>
        <v>155.57832390116499</v>
      </c>
      <c r="V213" s="57">
        <f t="shared" ca="1" si="45"/>
        <v>0</v>
      </c>
      <c r="W213">
        <f t="shared" ca="1" si="46"/>
        <v>65.042192593869345</v>
      </c>
      <c r="X213">
        <f t="shared" ca="1" si="50"/>
        <v>97.878912359396125</v>
      </c>
      <c r="Y213">
        <f t="shared" ca="1" si="47"/>
        <v>0</v>
      </c>
      <c r="Z213">
        <f t="shared" ca="1" si="48"/>
        <v>5.1385850145806697E-2</v>
      </c>
      <c r="AA213" s="85" t="e">
        <f ca="1"/>
        <v>#N/A</v>
      </c>
      <c r="AB213" s="57" t="e">
        <f t="shared" ref="AB213:AB276" ca="1" si="51">IF(AA213&gt;1,AA213,"")</f>
        <v>#N/A</v>
      </c>
      <c r="AC213" s="57" t="e">
        <f t="shared" ref="AC213:AC276" ca="1" si="52">VLOOKUP(AB213,ModelOutputs,2,FALSE)</f>
        <v>#N/A</v>
      </c>
      <c r="AD213" s="57" t="e">
        <f t="shared" ref="AD213:AD276" ca="1" si="53">VLOOKUP(AB213,ModelOutputs,7,FALSE)</f>
        <v>#N/A</v>
      </c>
      <c r="AE213" s="57" t="e">
        <f t="shared" ref="AE213:AE276" ca="1" si="54">VLOOKUP(AB213,ModelOutputs,6,FALSE)</f>
        <v>#N/A</v>
      </c>
    </row>
    <row r="214" spans="18:31" x14ac:dyDescent="0.3">
      <c r="R214" s="85">
        <f ca="1"/>
        <v>45335</v>
      </c>
      <c r="S214" s="57">
        <f t="shared" ca="1" si="49"/>
        <v>45335</v>
      </c>
      <c r="T214" s="57">
        <f t="shared" ca="1" si="43"/>
        <v>30.729842804914824</v>
      </c>
      <c r="U214" s="57">
        <f t="shared" ca="1" si="44"/>
        <v>155.658519356775</v>
      </c>
      <c r="V214" s="57">
        <f t="shared" ca="1" si="45"/>
        <v>0</v>
      </c>
      <c r="W214">
        <f t="shared" ca="1" si="46"/>
        <v>63.659763044522769</v>
      </c>
      <c r="X214">
        <f t="shared" ca="1" si="50"/>
        <v>97.878912359396125</v>
      </c>
      <c r="Y214">
        <f t="shared" ca="1" si="47"/>
        <v>0</v>
      </c>
      <c r="Z214">
        <f t="shared" ca="1" si="48"/>
        <v>3.4090417733715503E-2</v>
      </c>
      <c r="AA214" s="85" t="e">
        <f ca="1"/>
        <v>#N/A</v>
      </c>
      <c r="AB214" s="57" t="e">
        <f t="shared" ca="1" si="51"/>
        <v>#N/A</v>
      </c>
      <c r="AC214" s="57" t="e">
        <f t="shared" ca="1" si="52"/>
        <v>#N/A</v>
      </c>
      <c r="AD214" s="57" t="e">
        <f t="shared" ca="1" si="53"/>
        <v>#N/A</v>
      </c>
      <c r="AE214" s="57" t="e">
        <f t="shared" ca="1" si="54"/>
        <v>#N/A</v>
      </c>
    </row>
    <row r="215" spans="18:31" x14ac:dyDescent="0.3">
      <c r="R215" s="85">
        <f ca="1"/>
        <v>45336</v>
      </c>
      <c r="S215" s="57">
        <f t="shared" ca="1" si="49"/>
        <v>45336</v>
      </c>
      <c r="T215" s="57">
        <f t="shared" ca="1" si="43"/>
        <v>30.791898786622625</v>
      </c>
      <c r="U215" s="57">
        <f t="shared" ca="1" si="44"/>
        <v>155.73413617581301</v>
      </c>
      <c r="V215" s="57">
        <f t="shared" ca="1" si="45"/>
        <v>0</v>
      </c>
      <c r="W215">
        <f t="shared" ca="1" si="46"/>
        <v>62.697006530932967</v>
      </c>
      <c r="X215">
        <f t="shared" ca="1" si="50"/>
        <v>97.878912359396125</v>
      </c>
      <c r="Y215">
        <f t="shared" ca="1" si="47"/>
        <v>0</v>
      </c>
      <c r="Z215">
        <f t="shared" ca="1" si="48"/>
        <v>1.6798844186508701E-2</v>
      </c>
      <c r="AA215" s="85" t="e">
        <f ca="1"/>
        <v>#N/A</v>
      </c>
      <c r="AB215" s="57" t="e">
        <f t="shared" ca="1" si="51"/>
        <v>#N/A</v>
      </c>
      <c r="AC215" s="57" t="e">
        <f t="shared" ca="1" si="52"/>
        <v>#N/A</v>
      </c>
      <c r="AD215" s="57" t="e">
        <f t="shared" ca="1" si="53"/>
        <v>#N/A</v>
      </c>
      <c r="AE215" s="57" t="e">
        <f t="shared" ca="1" si="54"/>
        <v>#N/A</v>
      </c>
    </row>
    <row r="216" spans="18:31" x14ac:dyDescent="0.3">
      <c r="R216" s="85">
        <f ca="1"/>
        <v>45337</v>
      </c>
      <c r="S216" s="57">
        <f t="shared" ca="1" si="49"/>
        <v>45337</v>
      </c>
      <c r="T216" s="57">
        <f t="shared" ca="1" si="43"/>
        <v>30.854706948692836</v>
      </c>
      <c r="U216" s="57">
        <f t="shared" ca="1" si="44"/>
        <v>155.803576865987</v>
      </c>
      <c r="V216" s="57">
        <f t="shared" ca="1" si="45"/>
        <v>0</v>
      </c>
      <c r="W216">
        <f t="shared" ca="1" si="46"/>
        <v>62.44921625053432</v>
      </c>
      <c r="X216">
        <f t="shared" ca="1" si="50"/>
        <v>97.878912359396125</v>
      </c>
      <c r="Y216">
        <f t="shared" ca="1" si="47"/>
        <v>0</v>
      </c>
      <c r="Z216">
        <f t="shared" ca="1" si="48"/>
        <v>0</v>
      </c>
      <c r="AA216" s="85" t="e">
        <f ca="1"/>
        <v>#N/A</v>
      </c>
      <c r="AB216" s="57" t="e">
        <f t="shared" ca="1" si="51"/>
        <v>#N/A</v>
      </c>
      <c r="AC216" s="57" t="e">
        <f t="shared" ca="1" si="52"/>
        <v>#N/A</v>
      </c>
      <c r="AD216" s="57" t="e">
        <f t="shared" ca="1" si="53"/>
        <v>#N/A</v>
      </c>
      <c r="AE216" s="57" t="e">
        <f t="shared" ca="1" si="54"/>
        <v>#N/A</v>
      </c>
    </row>
    <row r="217" spans="18:31" x14ac:dyDescent="0.3">
      <c r="R217" s="85" t="e">
        <f ca="1"/>
        <v>#N/A</v>
      </c>
      <c r="S217" s="57" t="e">
        <f t="shared" ca="1" si="49"/>
        <v>#N/A</v>
      </c>
      <c r="T217" s="57" t="e">
        <f t="shared" ca="1" si="43"/>
        <v>#N/A</v>
      </c>
      <c r="U217" s="57" t="e">
        <f t="shared" ca="1" si="44"/>
        <v>#N/A</v>
      </c>
      <c r="V217" s="57" t="e">
        <f t="shared" ca="1" si="45"/>
        <v>#N/A</v>
      </c>
      <c r="W217" t="e">
        <f t="shared" ca="1" si="46"/>
        <v>#N/A</v>
      </c>
      <c r="X217" t="e">
        <f t="shared" ca="1" si="50"/>
        <v>#N/A</v>
      </c>
      <c r="Y217" t="e">
        <f t="shared" ca="1" si="47"/>
        <v>#N/A</v>
      </c>
      <c r="Z217" t="e">
        <f t="shared" ca="1" si="48"/>
        <v>#N/A</v>
      </c>
      <c r="AA217" s="85" t="e">
        <f ca="1"/>
        <v>#N/A</v>
      </c>
      <c r="AB217" s="57" t="e">
        <f t="shared" ca="1" si="51"/>
        <v>#N/A</v>
      </c>
      <c r="AC217" s="57" t="e">
        <f t="shared" ca="1" si="52"/>
        <v>#N/A</v>
      </c>
      <c r="AD217" s="57" t="e">
        <f t="shared" ca="1" si="53"/>
        <v>#N/A</v>
      </c>
      <c r="AE217" s="57" t="e">
        <f t="shared" ca="1" si="54"/>
        <v>#N/A</v>
      </c>
    </row>
    <row r="218" spans="18:31" x14ac:dyDescent="0.3">
      <c r="R218" s="85" t="e">
        <f ca="1"/>
        <v>#N/A</v>
      </c>
      <c r="S218" s="57" t="e">
        <f t="shared" ca="1" si="49"/>
        <v>#N/A</v>
      </c>
      <c r="T218" s="57" t="e">
        <f t="shared" ca="1" si="43"/>
        <v>#N/A</v>
      </c>
      <c r="U218" s="57" t="e">
        <f t="shared" ca="1" si="44"/>
        <v>#N/A</v>
      </c>
      <c r="V218" s="57" t="e">
        <f t="shared" ca="1" si="45"/>
        <v>#N/A</v>
      </c>
      <c r="W218" t="e">
        <f t="shared" ca="1" si="46"/>
        <v>#N/A</v>
      </c>
      <c r="X218" t="e">
        <f t="shared" ca="1" si="50"/>
        <v>#N/A</v>
      </c>
      <c r="Y218" t="e">
        <f t="shared" ca="1" si="47"/>
        <v>#N/A</v>
      </c>
      <c r="Z218" t="e">
        <f t="shared" ca="1" si="48"/>
        <v>#N/A</v>
      </c>
      <c r="AA218" s="85" t="e">
        <f ca="1"/>
        <v>#N/A</v>
      </c>
      <c r="AB218" s="57" t="e">
        <f t="shared" ca="1" si="51"/>
        <v>#N/A</v>
      </c>
      <c r="AC218" s="57" t="e">
        <f t="shared" ca="1" si="52"/>
        <v>#N/A</v>
      </c>
      <c r="AD218" s="57" t="e">
        <f t="shared" ca="1" si="53"/>
        <v>#N/A</v>
      </c>
      <c r="AE218" s="57" t="e">
        <f t="shared" ca="1" si="54"/>
        <v>#N/A</v>
      </c>
    </row>
    <row r="219" spans="18:31" x14ac:dyDescent="0.3">
      <c r="R219" s="85" t="e">
        <f ca="1"/>
        <v>#N/A</v>
      </c>
      <c r="S219" s="57" t="e">
        <f t="shared" ca="1" si="49"/>
        <v>#N/A</v>
      </c>
      <c r="T219" s="57" t="e">
        <f t="shared" ca="1" si="43"/>
        <v>#N/A</v>
      </c>
      <c r="U219" s="57" t="e">
        <f t="shared" ca="1" si="44"/>
        <v>#N/A</v>
      </c>
      <c r="V219" s="57" t="e">
        <f t="shared" ca="1" si="45"/>
        <v>#N/A</v>
      </c>
      <c r="W219" t="e">
        <f t="shared" ca="1" si="46"/>
        <v>#N/A</v>
      </c>
      <c r="X219" t="e">
        <f t="shared" ca="1" si="50"/>
        <v>#N/A</v>
      </c>
      <c r="Y219" t="e">
        <f t="shared" ca="1" si="47"/>
        <v>#N/A</v>
      </c>
      <c r="Z219" t="e">
        <f t="shared" ca="1" si="48"/>
        <v>#N/A</v>
      </c>
      <c r="AA219" s="85" t="e">
        <f ca="1"/>
        <v>#N/A</v>
      </c>
      <c r="AB219" s="57" t="e">
        <f t="shared" ca="1" si="51"/>
        <v>#N/A</v>
      </c>
      <c r="AC219" s="57" t="e">
        <f t="shared" ca="1" si="52"/>
        <v>#N/A</v>
      </c>
      <c r="AD219" s="57" t="e">
        <f t="shared" ca="1" si="53"/>
        <v>#N/A</v>
      </c>
      <c r="AE219" s="57" t="e">
        <f t="shared" ca="1" si="54"/>
        <v>#N/A</v>
      </c>
    </row>
    <row r="220" spans="18:31" x14ac:dyDescent="0.3">
      <c r="R220" s="85" t="e">
        <f ca="1"/>
        <v>#N/A</v>
      </c>
      <c r="S220" s="57" t="e">
        <f t="shared" ca="1" si="49"/>
        <v>#N/A</v>
      </c>
      <c r="T220" s="57" t="e">
        <f t="shared" ca="1" si="43"/>
        <v>#N/A</v>
      </c>
      <c r="U220" s="57" t="e">
        <f t="shared" ca="1" si="44"/>
        <v>#N/A</v>
      </c>
      <c r="V220" s="57" t="e">
        <f t="shared" ca="1" si="45"/>
        <v>#N/A</v>
      </c>
      <c r="W220" t="e">
        <f t="shared" ca="1" si="46"/>
        <v>#N/A</v>
      </c>
      <c r="X220" t="e">
        <f t="shared" ca="1" si="50"/>
        <v>#N/A</v>
      </c>
      <c r="Y220" t="e">
        <f t="shared" ca="1" si="47"/>
        <v>#N/A</v>
      </c>
      <c r="Z220" t="e">
        <f t="shared" ca="1" si="48"/>
        <v>#N/A</v>
      </c>
      <c r="AA220" s="85" t="e">
        <f ca="1"/>
        <v>#N/A</v>
      </c>
      <c r="AB220" s="57" t="e">
        <f t="shared" ca="1" si="51"/>
        <v>#N/A</v>
      </c>
      <c r="AC220" s="57" t="e">
        <f t="shared" ca="1" si="52"/>
        <v>#N/A</v>
      </c>
      <c r="AD220" s="57" t="e">
        <f t="shared" ca="1" si="53"/>
        <v>#N/A</v>
      </c>
      <c r="AE220" s="57" t="e">
        <f t="shared" ca="1" si="54"/>
        <v>#N/A</v>
      </c>
    </row>
    <row r="221" spans="18:31" x14ac:dyDescent="0.3">
      <c r="R221" s="85" t="e">
        <f ca="1"/>
        <v>#N/A</v>
      </c>
      <c r="S221" s="57" t="e">
        <f t="shared" ca="1" si="49"/>
        <v>#N/A</v>
      </c>
      <c r="T221" s="57" t="e">
        <f t="shared" ca="1" si="43"/>
        <v>#N/A</v>
      </c>
      <c r="U221" s="57" t="e">
        <f t="shared" ca="1" si="44"/>
        <v>#N/A</v>
      </c>
      <c r="V221" s="57" t="e">
        <f t="shared" ca="1" si="45"/>
        <v>#N/A</v>
      </c>
      <c r="W221" t="e">
        <f t="shared" ca="1" si="46"/>
        <v>#N/A</v>
      </c>
      <c r="X221" t="e">
        <f t="shared" ca="1" si="50"/>
        <v>#N/A</v>
      </c>
      <c r="Y221" t="e">
        <f t="shared" ca="1" si="47"/>
        <v>#N/A</v>
      </c>
      <c r="Z221" t="e">
        <f t="shared" ca="1" si="48"/>
        <v>#N/A</v>
      </c>
      <c r="AA221" s="85" t="e">
        <f ca="1"/>
        <v>#N/A</v>
      </c>
      <c r="AB221" s="57" t="e">
        <f t="shared" ca="1" si="51"/>
        <v>#N/A</v>
      </c>
      <c r="AC221" s="57" t="e">
        <f t="shared" ca="1" si="52"/>
        <v>#N/A</v>
      </c>
      <c r="AD221" s="57" t="e">
        <f t="shared" ca="1" si="53"/>
        <v>#N/A</v>
      </c>
      <c r="AE221" s="57" t="e">
        <f t="shared" ca="1" si="54"/>
        <v>#N/A</v>
      </c>
    </row>
    <row r="222" spans="18:31" x14ac:dyDescent="0.3">
      <c r="R222" s="85" t="e">
        <f ca="1"/>
        <v>#N/A</v>
      </c>
      <c r="S222" s="57" t="e">
        <f t="shared" ca="1" si="49"/>
        <v>#N/A</v>
      </c>
      <c r="T222" s="57" t="e">
        <f t="shared" ca="1" si="43"/>
        <v>#N/A</v>
      </c>
      <c r="U222" s="57" t="e">
        <f t="shared" ca="1" si="44"/>
        <v>#N/A</v>
      </c>
      <c r="V222" s="57" t="e">
        <f t="shared" ca="1" si="45"/>
        <v>#N/A</v>
      </c>
      <c r="W222" t="e">
        <f t="shared" ca="1" si="46"/>
        <v>#N/A</v>
      </c>
      <c r="X222" t="e">
        <f t="shared" ca="1" si="50"/>
        <v>#N/A</v>
      </c>
      <c r="Y222" t="e">
        <f t="shared" ca="1" si="47"/>
        <v>#N/A</v>
      </c>
      <c r="Z222" t="e">
        <f t="shared" ca="1" si="48"/>
        <v>#N/A</v>
      </c>
      <c r="AA222" s="85" t="e">
        <f ca="1"/>
        <v>#N/A</v>
      </c>
      <c r="AB222" s="57" t="e">
        <f t="shared" ca="1" si="51"/>
        <v>#N/A</v>
      </c>
      <c r="AC222" s="57" t="e">
        <f t="shared" ca="1" si="52"/>
        <v>#N/A</v>
      </c>
      <c r="AD222" s="57" t="e">
        <f t="shared" ca="1" si="53"/>
        <v>#N/A</v>
      </c>
      <c r="AE222" s="57" t="e">
        <f t="shared" ca="1" si="54"/>
        <v>#N/A</v>
      </c>
    </row>
    <row r="223" spans="18:31" x14ac:dyDescent="0.3">
      <c r="R223" s="85" t="e">
        <f ca="1"/>
        <v>#N/A</v>
      </c>
      <c r="S223" s="57" t="e">
        <f t="shared" ca="1" si="49"/>
        <v>#N/A</v>
      </c>
      <c r="T223" s="57" t="e">
        <f t="shared" ca="1" si="43"/>
        <v>#N/A</v>
      </c>
      <c r="U223" s="57" t="e">
        <f t="shared" ca="1" si="44"/>
        <v>#N/A</v>
      </c>
      <c r="V223" s="57" t="e">
        <f t="shared" ca="1" si="45"/>
        <v>#N/A</v>
      </c>
      <c r="W223" t="e">
        <f t="shared" ca="1" si="46"/>
        <v>#N/A</v>
      </c>
      <c r="X223" t="e">
        <f t="shared" ca="1" si="50"/>
        <v>#N/A</v>
      </c>
      <c r="Y223" t="e">
        <f t="shared" ca="1" si="47"/>
        <v>#N/A</v>
      </c>
      <c r="Z223" t="e">
        <f t="shared" ca="1" si="48"/>
        <v>#N/A</v>
      </c>
      <c r="AA223" s="85" t="e">
        <f ca="1"/>
        <v>#N/A</v>
      </c>
      <c r="AB223" s="57" t="e">
        <f t="shared" ca="1" si="51"/>
        <v>#N/A</v>
      </c>
      <c r="AC223" s="57" t="e">
        <f t="shared" ca="1" si="52"/>
        <v>#N/A</v>
      </c>
      <c r="AD223" s="57" t="e">
        <f t="shared" ca="1" si="53"/>
        <v>#N/A</v>
      </c>
      <c r="AE223" s="57" t="e">
        <f t="shared" ca="1" si="54"/>
        <v>#N/A</v>
      </c>
    </row>
    <row r="224" spans="18:31" x14ac:dyDescent="0.3">
      <c r="R224" s="85" t="e">
        <f ca="1"/>
        <v>#N/A</v>
      </c>
      <c r="S224" s="57" t="e">
        <f t="shared" ca="1" si="49"/>
        <v>#N/A</v>
      </c>
      <c r="T224" s="57" t="e">
        <f t="shared" ca="1" si="43"/>
        <v>#N/A</v>
      </c>
      <c r="U224" s="57" t="e">
        <f t="shared" ca="1" si="44"/>
        <v>#N/A</v>
      </c>
      <c r="V224" s="57" t="e">
        <f t="shared" ca="1" si="45"/>
        <v>#N/A</v>
      </c>
      <c r="W224" t="e">
        <f t="shared" ca="1" si="46"/>
        <v>#N/A</v>
      </c>
      <c r="X224" t="e">
        <f t="shared" ca="1" si="50"/>
        <v>#N/A</v>
      </c>
      <c r="Y224" t="e">
        <f t="shared" ca="1" si="47"/>
        <v>#N/A</v>
      </c>
      <c r="Z224" t="e">
        <f t="shared" ca="1" si="48"/>
        <v>#N/A</v>
      </c>
      <c r="AA224" s="85" t="e">
        <f ca="1"/>
        <v>#N/A</v>
      </c>
      <c r="AB224" s="57" t="e">
        <f t="shared" ca="1" si="51"/>
        <v>#N/A</v>
      </c>
      <c r="AC224" s="57" t="e">
        <f t="shared" ca="1" si="52"/>
        <v>#N/A</v>
      </c>
      <c r="AD224" s="57" t="e">
        <f t="shared" ca="1" si="53"/>
        <v>#N/A</v>
      </c>
      <c r="AE224" s="57" t="e">
        <f t="shared" ca="1" si="54"/>
        <v>#N/A</v>
      </c>
    </row>
    <row r="225" spans="18:31" x14ac:dyDescent="0.3">
      <c r="R225" s="85" t="e">
        <f ca="1"/>
        <v>#N/A</v>
      </c>
      <c r="S225" s="57" t="e">
        <f t="shared" ca="1" si="49"/>
        <v>#N/A</v>
      </c>
      <c r="T225" s="57" t="e">
        <f t="shared" ca="1" si="43"/>
        <v>#N/A</v>
      </c>
      <c r="U225" s="57" t="e">
        <f t="shared" ca="1" si="44"/>
        <v>#N/A</v>
      </c>
      <c r="V225" s="57" t="e">
        <f t="shared" ca="1" si="45"/>
        <v>#N/A</v>
      </c>
      <c r="W225" t="e">
        <f t="shared" ca="1" si="46"/>
        <v>#N/A</v>
      </c>
      <c r="X225" t="e">
        <f t="shared" ca="1" si="50"/>
        <v>#N/A</v>
      </c>
      <c r="Y225" t="e">
        <f t="shared" ca="1" si="47"/>
        <v>#N/A</v>
      </c>
      <c r="Z225" t="e">
        <f t="shared" ca="1" si="48"/>
        <v>#N/A</v>
      </c>
      <c r="AA225" s="85" t="e">
        <f ca="1"/>
        <v>#N/A</v>
      </c>
      <c r="AB225" s="57" t="e">
        <f t="shared" ca="1" si="51"/>
        <v>#N/A</v>
      </c>
      <c r="AC225" s="57" t="e">
        <f t="shared" ca="1" si="52"/>
        <v>#N/A</v>
      </c>
      <c r="AD225" s="57" t="e">
        <f t="shared" ca="1" si="53"/>
        <v>#N/A</v>
      </c>
      <c r="AE225" s="57" t="e">
        <f t="shared" ca="1" si="54"/>
        <v>#N/A</v>
      </c>
    </row>
    <row r="226" spans="18:31" x14ac:dyDescent="0.3">
      <c r="R226" s="85" t="e">
        <f ca="1"/>
        <v>#N/A</v>
      </c>
      <c r="S226" s="57" t="e">
        <f t="shared" ca="1" si="49"/>
        <v>#N/A</v>
      </c>
      <c r="T226" s="57" t="e">
        <f t="shared" ca="1" si="43"/>
        <v>#N/A</v>
      </c>
      <c r="U226" s="57" t="e">
        <f t="shared" ca="1" si="44"/>
        <v>#N/A</v>
      </c>
      <c r="V226" s="57" t="e">
        <f t="shared" ca="1" si="45"/>
        <v>#N/A</v>
      </c>
      <c r="W226" t="e">
        <f t="shared" ca="1" si="46"/>
        <v>#N/A</v>
      </c>
      <c r="X226" t="e">
        <f t="shared" ca="1" si="50"/>
        <v>#N/A</v>
      </c>
      <c r="Y226" t="e">
        <f t="shared" ca="1" si="47"/>
        <v>#N/A</v>
      </c>
      <c r="Z226" t="e">
        <f t="shared" ca="1" si="48"/>
        <v>#N/A</v>
      </c>
      <c r="AA226" s="85" t="e">
        <f ca="1"/>
        <v>#N/A</v>
      </c>
      <c r="AB226" s="57" t="e">
        <f t="shared" ca="1" si="51"/>
        <v>#N/A</v>
      </c>
      <c r="AC226" s="57" t="e">
        <f t="shared" ca="1" si="52"/>
        <v>#N/A</v>
      </c>
      <c r="AD226" s="57" t="e">
        <f t="shared" ca="1" si="53"/>
        <v>#N/A</v>
      </c>
      <c r="AE226" s="57" t="e">
        <f t="shared" ca="1" si="54"/>
        <v>#N/A</v>
      </c>
    </row>
    <row r="227" spans="18:31" x14ac:dyDescent="0.3">
      <c r="R227" s="85" t="e">
        <f ca="1"/>
        <v>#N/A</v>
      </c>
      <c r="S227" s="57" t="e">
        <f t="shared" ca="1" si="49"/>
        <v>#N/A</v>
      </c>
      <c r="T227" s="57" t="e">
        <f t="shared" ca="1" si="43"/>
        <v>#N/A</v>
      </c>
      <c r="U227" s="57" t="e">
        <f t="shared" ca="1" si="44"/>
        <v>#N/A</v>
      </c>
      <c r="V227" s="57" t="e">
        <f t="shared" ca="1" si="45"/>
        <v>#N/A</v>
      </c>
      <c r="W227" t="e">
        <f t="shared" ca="1" si="46"/>
        <v>#N/A</v>
      </c>
      <c r="X227" t="e">
        <f t="shared" ca="1" si="50"/>
        <v>#N/A</v>
      </c>
      <c r="Y227" t="e">
        <f t="shared" ca="1" si="47"/>
        <v>#N/A</v>
      </c>
      <c r="Z227" t="e">
        <f t="shared" ca="1" si="48"/>
        <v>#N/A</v>
      </c>
      <c r="AA227" s="85" t="e">
        <f ca="1"/>
        <v>#N/A</v>
      </c>
      <c r="AB227" s="57" t="e">
        <f t="shared" ca="1" si="51"/>
        <v>#N/A</v>
      </c>
      <c r="AC227" s="57" t="e">
        <f t="shared" ca="1" si="52"/>
        <v>#N/A</v>
      </c>
      <c r="AD227" s="57" t="e">
        <f t="shared" ca="1" si="53"/>
        <v>#N/A</v>
      </c>
      <c r="AE227" s="57" t="e">
        <f t="shared" ca="1" si="54"/>
        <v>#N/A</v>
      </c>
    </row>
    <row r="228" spans="18:31" x14ac:dyDescent="0.3">
      <c r="R228" s="85" t="e">
        <f ca="1"/>
        <v>#N/A</v>
      </c>
      <c r="S228" s="57" t="e">
        <f t="shared" ca="1" si="49"/>
        <v>#N/A</v>
      </c>
      <c r="T228" s="57" t="e">
        <f t="shared" ca="1" si="43"/>
        <v>#N/A</v>
      </c>
      <c r="U228" s="57" t="e">
        <f t="shared" ca="1" si="44"/>
        <v>#N/A</v>
      </c>
      <c r="V228" s="57" t="e">
        <f t="shared" ca="1" si="45"/>
        <v>#N/A</v>
      </c>
      <c r="W228" t="e">
        <f t="shared" ca="1" si="46"/>
        <v>#N/A</v>
      </c>
      <c r="X228" t="e">
        <f t="shared" ca="1" si="50"/>
        <v>#N/A</v>
      </c>
      <c r="Y228" t="e">
        <f t="shared" ca="1" si="47"/>
        <v>#N/A</v>
      </c>
      <c r="Z228" t="e">
        <f t="shared" ca="1" si="48"/>
        <v>#N/A</v>
      </c>
      <c r="AA228" s="85" t="e">
        <f ca="1"/>
        <v>#N/A</v>
      </c>
      <c r="AB228" s="57" t="e">
        <f t="shared" ca="1" si="51"/>
        <v>#N/A</v>
      </c>
      <c r="AC228" s="57" t="e">
        <f t="shared" ca="1" si="52"/>
        <v>#N/A</v>
      </c>
      <c r="AD228" s="57" t="e">
        <f t="shared" ca="1" si="53"/>
        <v>#N/A</v>
      </c>
      <c r="AE228" s="57" t="e">
        <f t="shared" ca="1" si="54"/>
        <v>#N/A</v>
      </c>
    </row>
    <row r="229" spans="18:31" x14ac:dyDescent="0.3">
      <c r="R229" s="85" t="e">
        <f ca="1"/>
        <v>#N/A</v>
      </c>
      <c r="S229" s="57" t="e">
        <f t="shared" ca="1" si="49"/>
        <v>#N/A</v>
      </c>
      <c r="T229" s="57" t="e">
        <f t="shared" ca="1" si="43"/>
        <v>#N/A</v>
      </c>
      <c r="U229" s="57" t="e">
        <f t="shared" ca="1" si="44"/>
        <v>#N/A</v>
      </c>
      <c r="V229" s="57" t="e">
        <f t="shared" ca="1" si="45"/>
        <v>#N/A</v>
      </c>
      <c r="W229" t="e">
        <f t="shared" ca="1" si="46"/>
        <v>#N/A</v>
      </c>
      <c r="X229" t="e">
        <f t="shared" ca="1" si="50"/>
        <v>#N/A</v>
      </c>
      <c r="Y229" t="e">
        <f t="shared" ca="1" si="47"/>
        <v>#N/A</v>
      </c>
      <c r="Z229" t="e">
        <f t="shared" ca="1" si="48"/>
        <v>#N/A</v>
      </c>
      <c r="AA229" s="85" t="e">
        <f ca="1"/>
        <v>#N/A</v>
      </c>
      <c r="AB229" s="57" t="e">
        <f t="shared" ca="1" si="51"/>
        <v>#N/A</v>
      </c>
      <c r="AC229" s="57" t="e">
        <f t="shared" ca="1" si="52"/>
        <v>#N/A</v>
      </c>
      <c r="AD229" s="57" t="e">
        <f t="shared" ca="1" si="53"/>
        <v>#N/A</v>
      </c>
      <c r="AE229" s="57" t="e">
        <f t="shared" ca="1" si="54"/>
        <v>#N/A</v>
      </c>
    </row>
    <row r="230" spans="18:31" x14ac:dyDescent="0.3">
      <c r="R230" s="85" t="e">
        <f ca="1"/>
        <v>#N/A</v>
      </c>
      <c r="S230" s="57" t="e">
        <f t="shared" ca="1" si="49"/>
        <v>#N/A</v>
      </c>
      <c r="T230" s="57" t="e">
        <f t="shared" ca="1" si="43"/>
        <v>#N/A</v>
      </c>
      <c r="U230" s="57" t="e">
        <f t="shared" ca="1" si="44"/>
        <v>#N/A</v>
      </c>
      <c r="V230" s="57" t="e">
        <f t="shared" ca="1" si="45"/>
        <v>#N/A</v>
      </c>
      <c r="W230" t="e">
        <f t="shared" ca="1" si="46"/>
        <v>#N/A</v>
      </c>
      <c r="X230" t="e">
        <f t="shared" ca="1" si="50"/>
        <v>#N/A</v>
      </c>
      <c r="Y230" t="e">
        <f t="shared" ca="1" si="47"/>
        <v>#N/A</v>
      </c>
      <c r="Z230" t="e">
        <f t="shared" ca="1" si="48"/>
        <v>#N/A</v>
      </c>
      <c r="AA230" s="85" t="e">
        <f ca="1"/>
        <v>#N/A</v>
      </c>
      <c r="AB230" s="57" t="e">
        <f t="shared" ca="1" si="51"/>
        <v>#N/A</v>
      </c>
      <c r="AC230" s="57" t="e">
        <f t="shared" ca="1" si="52"/>
        <v>#N/A</v>
      </c>
      <c r="AD230" s="57" t="e">
        <f t="shared" ca="1" si="53"/>
        <v>#N/A</v>
      </c>
      <c r="AE230" s="57" t="e">
        <f t="shared" ca="1" si="54"/>
        <v>#N/A</v>
      </c>
    </row>
    <row r="231" spans="18:31" x14ac:dyDescent="0.3">
      <c r="R231" s="85" t="e">
        <f ca="1"/>
        <v>#N/A</v>
      </c>
      <c r="S231" s="57" t="e">
        <f t="shared" ca="1" si="49"/>
        <v>#N/A</v>
      </c>
      <c r="T231" s="57" t="e">
        <f t="shared" ca="1" si="43"/>
        <v>#N/A</v>
      </c>
      <c r="U231" s="57" t="e">
        <f t="shared" ca="1" si="44"/>
        <v>#N/A</v>
      </c>
      <c r="V231" s="57" t="e">
        <f t="shared" ca="1" si="45"/>
        <v>#N/A</v>
      </c>
      <c r="W231" t="e">
        <f t="shared" ca="1" si="46"/>
        <v>#N/A</v>
      </c>
      <c r="X231" t="e">
        <f t="shared" ca="1" si="50"/>
        <v>#N/A</v>
      </c>
      <c r="Y231" t="e">
        <f t="shared" ca="1" si="47"/>
        <v>#N/A</v>
      </c>
      <c r="Z231" t="e">
        <f t="shared" ca="1" si="48"/>
        <v>#N/A</v>
      </c>
      <c r="AA231" s="85" t="e">
        <f ca="1"/>
        <v>#N/A</v>
      </c>
      <c r="AB231" s="57" t="e">
        <f t="shared" ca="1" si="51"/>
        <v>#N/A</v>
      </c>
      <c r="AC231" s="57" t="e">
        <f t="shared" ca="1" si="52"/>
        <v>#N/A</v>
      </c>
      <c r="AD231" s="57" t="e">
        <f t="shared" ca="1" si="53"/>
        <v>#N/A</v>
      </c>
      <c r="AE231" s="57" t="e">
        <f t="shared" ca="1" si="54"/>
        <v>#N/A</v>
      </c>
    </row>
    <row r="232" spans="18:31" x14ac:dyDescent="0.3">
      <c r="R232" s="85" t="e">
        <f ca="1"/>
        <v>#N/A</v>
      </c>
      <c r="S232" s="57" t="e">
        <f t="shared" ca="1" si="49"/>
        <v>#N/A</v>
      </c>
      <c r="T232" s="57" t="e">
        <f t="shared" ca="1" si="43"/>
        <v>#N/A</v>
      </c>
      <c r="U232" s="57" t="e">
        <f t="shared" ca="1" si="44"/>
        <v>#N/A</v>
      </c>
      <c r="V232" s="57" t="e">
        <f t="shared" ca="1" si="45"/>
        <v>#N/A</v>
      </c>
      <c r="W232" t="e">
        <f t="shared" ca="1" si="46"/>
        <v>#N/A</v>
      </c>
      <c r="X232" t="e">
        <f t="shared" ca="1" si="50"/>
        <v>#N/A</v>
      </c>
      <c r="Y232" t="e">
        <f t="shared" ca="1" si="47"/>
        <v>#N/A</v>
      </c>
      <c r="Z232" t="e">
        <f t="shared" ca="1" si="48"/>
        <v>#N/A</v>
      </c>
      <c r="AA232" s="85" t="e">
        <f ca="1"/>
        <v>#N/A</v>
      </c>
      <c r="AB232" s="57" t="e">
        <f t="shared" ca="1" si="51"/>
        <v>#N/A</v>
      </c>
      <c r="AC232" s="57" t="e">
        <f t="shared" ca="1" si="52"/>
        <v>#N/A</v>
      </c>
      <c r="AD232" s="57" t="e">
        <f t="shared" ca="1" si="53"/>
        <v>#N/A</v>
      </c>
      <c r="AE232" s="57" t="e">
        <f t="shared" ca="1" si="54"/>
        <v>#N/A</v>
      </c>
    </row>
    <row r="233" spans="18:31" x14ac:dyDescent="0.3">
      <c r="R233" s="85" t="e">
        <f ca="1"/>
        <v>#N/A</v>
      </c>
      <c r="S233" s="57" t="e">
        <f t="shared" ca="1" si="49"/>
        <v>#N/A</v>
      </c>
      <c r="T233" s="57" t="e">
        <f t="shared" ca="1" si="43"/>
        <v>#N/A</v>
      </c>
      <c r="U233" s="57" t="e">
        <f t="shared" ca="1" si="44"/>
        <v>#N/A</v>
      </c>
      <c r="V233" s="57" t="e">
        <f t="shared" ca="1" si="45"/>
        <v>#N/A</v>
      </c>
      <c r="W233" t="e">
        <f t="shared" ca="1" si="46"/>
        <v>#N/A</v>
      </c>
      <c r="X233" t="e">
        <f t="shared" ca="1" si="50"/>
        <v>#N/A</v>
      </c>
      <c r="Y233" t="e">
        <f t="shared" ca="1" si="47"/>
        <v>#N/A</v>
      </c>
      <c r="Z233" t="e">
        <f t="shared" ca="1" si="48"/>
        <v>#N/A</v>
      </c>
      <c r="AA233" s="85" t="e">
        <f ca="1"/>
        <v>#N/A</v>
      </c>
      <c r="AB233" s="57" t="e">
        <f t="shared" ca="1" si="51"/>
        <v>#N/A</v>
      </c>
      <c r="AC233" s="57" t="e">
        <f t="shared" ca="1" si="52"/>
        <v>#N/A</v>
      </c>
      <c r="AD233" s="57" t="e">
        <f t="shared" ca="1" si="53"/>
        <v>#N/A</v>
      </c>
      <c r="AE233" s="57" t="e">
        <f t="shared" ca="1" si="54"/>
        <v>#N/A</v>
      </c>
    </row>
    <row r="234" spans="18:31" x14ac:dyDescent="0.3">
      <c r="R234" s="85" t="e">
        <f ca="1"/>
        <v>#N/A</v>
      </c>
      <c r="S234" s="57" t="e">
        <f t="shared" ca="1" si="49"/>
        <v>#N/A</v>
      </c>
      <c r="T234" s="57" t="e">
        <f t="shared" ca="1" si="43"/>
        <v>#N/A</v>
      </c>
      <c r="U234" s="57" t="e">
        <f t="shared" ca="1" si="44"/>
        <v>#N/A</v>
      </c>
      <c r="V234" s="57" t="e">
        <f t="shared" ca="1" si="45"/>
        <v>#N/A</v>
      </c>
      <c r="W234" t="e">
        <f t="shared" ca="1" si="46"/>
        <v>#N/A</v>
      </c>
      <c r="X234" t="e">
        <f t="shared" ca="1" si="50"/>
        <v>#N/A</v>
      </c>
      <c r="Y234" t="e">
        <f t="shared" ca="1" si="47"/>
        <v>#N/A</v>
      </c>
      <c r="Z234" t="e">
        <f t="shared" ca="1" si="48"/>
        <v>#N/A</v>
      </c>
      <c r="AA234" s="85" t="e">
        <f ca="1"/>
        <v>#N/A</v>
      </c>
      <c r="AB234" s="57" t="e">
        <f t="shared" ca="1" si="51"/>
        <v>#N/A</v>
      </c>
      <c r="AC234" s="57" t="e">
        <f t="shared" ca="1" si="52"/>
        <v>#N/A</v>
      </c>
      <c r="AD234" s="57" t="e">
        <f t="shared" ca="1" si="53"/>
        <v>#N/A</v>
      </c>
      <c r="AE234" s="57" t="e">
        <f t="shared" ca="1" si="54"/>
        <v>#N/A</v>
      </c>
    </row>
    <row r="235" spans="18:31" x14ac:dyDescent="0.3">
      <c r="R235" s="85" t="e">
        <f ca="1"/>
        <v>#N/A</v>
      </c>
      <c r="S235" s="57" t="e">
        <f t="shared" ca="1" si="49"/>
        <v>#N/A</v>
      </c>
      <c r="T235" s="57" t="e">
        <f t="shared" ca="1" si="43"/>
        <v>#N/A</v>
      </c>
      <c r="U235" s="57" t="e">
        <f t="shared" ca="1" si="44"/>
        <v>#N/A</v>
      </c>
      <c r="V235" s="57" t="e">
        <f t="shared" ca="1" si="45"/>
        <v>#N/A</v>
      </c>
      <c r="W235" t="e">
        <f t="shared" ca="1" si="46"/>
        <v>#N/A</v>
      </c>
      <c r="X235" t="e">
        <f t="shared" ca="1" si="50"/>
        <v>#N/A</v>
      </c>
      <c r="Y235" t="e">
        <f t="shared" ca="1" si="47"/>
        <v>#N/A</v>
      </c>
      <c r="Z235" t="e">
        <f t="shared" ca="1" si="48"/>
        <v>#N/A</v>
      </c>
      <c r="AA235" s="85" t="e">
        <f ca="1"/>
        <v>#N/A</v>
      </c>
      <c r="AB235" s="57" t="e">
        <f t="shared" ca="1" si="51"/>
        <v>#N/A</v>
      </c>
      <c r="AC235" s="57" t="e">
        <f t="shared" ca="1" si="52"/>
        <v>#N/A</v>
      </c>
      <c r="AD235" s="57" t="e">
        <f t="shared" ca="1" si="53"/>
        <v>#N/A</v>
      </c>
      <c r="AE235" s="57" t="e">
        <f t="shared" ca="1" si="54"/>
        <v>#N/A</v>
      </c>
    </row>
    <row r="236" spans="18:31" x14ac:dyDescent="0.3">
      <c r="R236" s="85" t="e">
        <f ca="1"/>
        <v>#N/A</v>
      </c>
      <c r="S236" s="57" t="e">
        <f t="shared" ca="1" si="49"/>
        <v>#N/A</v>
      </c>
      <c r="T236" s="57" t="e">
        <f t="shared" ca="1" si="43"/>
        <v>#N/A</v>
      </c>
      <c r="U236" s="57" t="e">
        <f t="shared" ca="1" si="44"/>
        <v>#N/A</v>
      </c>
      <c r="V236" s="57" t="e">
        <f t="shared" ca="1" si="45"/>
        <v>#N/A</v>
      </c>
      <c r="W236" t="e">
        <f t="shared" ca="1" si="46"/>
        <v>#N/A</v>
      </c>
      <c r="X236" t="e">
        <f t="shared" ca="1" si="50"/>
        <v>#N/A</v>
      </c>
      <c r="Y236" t="e">
        <f t="shared" ca="1" si="47"/>
        <v>#N/A</v>
      </c>
      <c r="Z236" t="e">
        <f t="shared" ca="1" si="48"/>
        <v>#N/A</v>
      </c>
      <c r="AA236" s="85" t="e">
        <f ca="1"/>
        <v>#N/A</v>
      </c>
      <c r="AB236" s="57" t="e">
        <f t="shared" ca="1" si="51"/>
        <v>#N/A</v>
      </c>
      <c r="AC236" s="57" t="e">
        <f t="shared" ca="1" si="52"/>
        <v>#N/A</v>
      </c>
      <c r="AD236" s="57" t="e">
        <f t="shared" ca="1" si="53"/>
        <v>#N/A</v>
      </c>
      <c r="AE236" s="57" t="e">
        <f t="shared" ca="1" si="54"/>
        <v>#N/A</v>
      </c>
    </row>
    <row r="237" spans="18:31" x14ac:dyDescent="0.3">
      <c r="R237" s="85" t="e">
        <f ca="1"/>
        <v>#N/A</v>
      </c>
      <c r="S237" s="57" t="e">
        <f t="shared" ca="1" si="49"/>
        <v>#N/A</v>
      </c>
      <c r="T237" s="57" t="e">
        <f t="shared" ca="1" si="43"/>
        <v>#N/A</v>
      </c>
      <c r="U237" s="57" t="e">
        <f t="shared" ca="1" si="44"/>
        <v>#N/A</v>
      </c>
      <c r="V237" s="57" t="e">
        <f t="shared" ca="1" si="45"/>
        <v>#N/A</v>
      </c>
      <c r="W237" t="e">
        <f t="shared" ca="1" si="46"/>
        <v>#N/A</v>
      </c>
      <c r="X237" t="e">
        <f t="shared" ca="1" si="50"/>
        <v>#N/A</v>
      </c>
      <c r="Y237" t="e">
        <f t="shared" ca="1" si="47"/>
        <v>#N/A</v>
      </c>
      <c r="Z237" t="e">
        <f t="shared" ca="1" si="48"/>
        <v>#N/A</v>
      </c>
      <c r="AA237" s="85" t="e">
        <f ca="1"/>
        <v>#N/A</v>
      </c>
      <c r="AB237" s="57" t="e">
        <f t="shared" ca="1" si="51"/>
        <v>#N/A</v>
      </c>
      <c r="AC237" s="57" t="e">
        <f t="shared" ca="1" si="52"/>
        <v>#N/A</v>
      </c>
      <c r="AD237" s="57" t="e">
        <f t="shared" ca="1" si="53"/>
        <v>#N/A</v>
      </c>
      <c r="AE237" s="57" t="e">
        <f t="shared" ca="1" si="54"/>
        <v>#N/A</v>
      </c>
    </row>
    <row r="238" spans="18:31" x14ac:dyDescent="0.3">
      <c r="R238" s="85" t="e">
        <f ca="1"/>
        <v>#N/A</v>
      </c>
      <c r="S238" s="57" t="e">
        <f t="shared" ca="1" si="49"/>
        <v>#N/A</v>
      </c>
      <c r="T238" s="57" t="e">
        <f t="shared" ca="1" si="43"/>
        <v>#N/A</v>
      </c>
      <c r="U238" s="57" t="e">
        <f t="shared" ca="1" si="44"/>
        <v>#N/A</v>
      </c>
      <c r="V238" s="57" t="e">
        <f t="shared" ca="1" si="45"/>
        <v>#N/A</v>
      </c>
      <c r="W238" t="e">
        <f t="shared" ca="1" si="46"/>
        <v>#N/A</v>
      </c>
      <c r="X238" t="e">
        <f t="shared" ca="1" si="50"/>
        <v>#N/A</v>
      </c>
      <c r="Y238" t="e">
        <f t="shared" ca="1" si="47"/>
        <v>#N/A</v>
      </c>
      <c r="Z238" t="e">
        <f t="shared" ca="1" si="48"/>
        <v>#N/A</v>
      </c>
      <c r="AA238" s="85" t="e">
        <f ca="1"/>
        <v>#N/A</v>
      </c>
      <c r="AB238" s="57" t="e">
        <f t="shared" ca="1" si="51"/>
        <v>#N/A</v>
      </c>
      <c r="AC238" s="57" t="e">
        <f t="shared" ca="1" si="52"/>
        <v>#N/A</v>
      </c>
      <c r="AD238" s="57" t="e">
        <f t="shared" ca="1" si="53"/>
        <v>#N/A</v>
      </c>
      <c r="AE238" s="57" t="e">
        <f t="shared" ca="1" si="54"/>
        <v>#N/A</v>
      </c>
    </row>
    <row r="239" spans="18:31" x14ac:dyDescent="0.3">
      <c r="R239" s="85" t="e">
        <f ca="1"/>
        <v>#N/A</v>
      </c>
      <c r="S239" s="57" t="e">
        <f t="shared" ca="1" si="49"/>
        <v>#N/A</v>
      </c>
      <c r="T239" s="57" t="e">
        <f t="shared" ca="1" si="43"/>
        <v>#N/A</v>
      </c>
      <c r="U239" s="57" t="e">
        <f t="shared" ca="1" si="44"/>
        <v>#N/A</v>
      </c>
      <c r="V239" s="57" t="e">
        <f t="shared" ca="1" si="45"/>
        <v>#N/A</v>
      </c>
      <c r="W239" t="e">
        <f t="shared" ca="1" si="46"/>
        <v>#N/A</v>
      </c>
      <c r="X239" t="e">
        <f t="shared" ca="1" si="50"/>
        <v>#N/A</v>
      </c>
      <c r="Y239" t="e">
        <f t="shared" ca="1" si="47"/>
        <v>#N/A</v>
      </c>
      <c r="Z239" t="e">
        <f t="shared" ca="1" si="48"/>
        <v>#N/A</v>
      </c>
      <c r="AA239" s="85" t="e">
        <f ca="1"/>
        <v>#N/A</v>
      </c>
      <c r="AB239" s="57" t="e">
        <f t="shared" ca="1" si="51"/>
        <v>#N/A</v>
      </c>
      <c r="AC239" s="57" t="e">
        <f t="shared" ca="1" si="52"/>
        <v>#N/A</v>
      </c>
      <c r="AD239" s="57" t="e">
        <f t="shared" ca="1" si="53"/>
        <v>#N/A</v>
      </c>
      <c r="AE239" s="57" t="e">
        <f t="shared" ca="1" si="54"/>
        <v>#N/A</v>
      </c>
    </row>
    <row r="240" spans="18:31" x14ac:dyDescent="0.3">
      <c r="R240" s="85" t="e">
        <f ca="1"/>
        <v>#N/A</v>
      </c>
      <c r="S240" s="57" t="e">
        <f t="shared" ca="1" si="49"/>
        <v>#N/A</v>
      </c>
      <c r="T240" s="57" t="e">
        <f t="shared" ca="1" si="43"/>
        <v>#N/A</v>
      </c>
      <c r="U240" s="57" t="e">
        <f t="shared" ca="1" si="44"/>
        <v>#N/A</v>
      </c>
      <c r="V240" s="57" t="e">
        <f t="shared" ca="1" si="45"/>
        <v>#N/A</v>
      </c>
      <c r="W240" t="e">
        <f t="shared" ca="1" si="46"/>
        <v>#N/A</v>
      </c>
      <c r="X240" t="e">
        <f t="shared" ca="1" si="50"/>
        <v>#N/A</v>
      </c>
      <c r="Y240" t="e">
        <f t="shared" ca="1" si="47"/>
        <v>#N/A</v>
      </c>
      <c r="Z240" t="e">
        <f t="shared" ca="1" si="48"/>
        <v>#N/A</v>
      </c>
      <c r="AA240" s="85" t="e">
        <f ca="1"/>
        <v>#N/A</v>
      </c>
      <c r="AB240" s="57" t="e">
        <f t="shared" ca="1" si="51"/>
        <v>#N/A</v>
      </c>
      <c r="AC240" s="57" t="e">
        <f t="shared" ca="1" si="52"/>
        <v>#N/A</v>
      </c>
      <c r="AD240" s="57" t="e">
        <f t="shared" ca="1" si="53"/>
        <v>#N/A</v>
      </c>
      <c r="AE240" s="57" t="e">
        <f t="shared" ca="1" si="54"/>
        <v>#N/A</v>
      </c>
    </row>
    <row r="241" spans="18:31" x14ac:dyDescent="0.3">
      <c r="R241" s="85" t="e">
        <f ca="1"/>
        <v>#N/A</v>
      </c>
      <c r="S241" s="57" t="e">
        <f t="shared" ca="1" si="49"/>
        <v>#N/A</v>
      </c>
      <c r="T241" s="57" t="e">
        <f t="shared" ca="1" si="43"/>
        <v>#N/A</v>
      </c>
      <c r="U241" s="57" t="e">
        <f t="shared" ca="1" si="44"/>
        <v>#N/A</v>
      </c>
      <c r="V241" s="57" t="e">
        <f t="shared" ca="1" si="45"/>
        <v>#N/A</v>
      </c>
      <c r="W241" t="e">
        <f t="shared" ca="1" si="46"/>
        <v>#N/A</v>
      </c>
      <c r="X241" t="e">
        <f t="shared" ca="1" si="50"/>
        <v>#N/A</v>
      </c>
      <c r="Y241" t="e">
        <f t="shared" ca="1" si="47"/>
        <v>#N/A</v>
      </c>
      <c r="Z241" t="e">
        <f t="shared" ca="1" si="48"/>
        <v>#N/A</v>
      </c>
      <c r="AA241" s="85" t="e">
        <f ca="1"/>
        <v>#N/A</v>
      </c>
      <c r="AB241" s="57" t="e">
        <f t="shared" ca="1" si="51"/>
        <v>#N/A</v>
      </c>
      <c r="AC241" s="57" t="e">
        <f t="shared" ca="1" si="52"/>
        <v>#N/A</v>
      </c>
      <c r="AD241" s="57" t="e">
        <f t="shared" ca="1" si="53"/>
        <v>#N/A</v>
      </c>
      <c r="AE241" s="57" t="e">
        <f t="shared" ca="1" si="54"/>
        <v>#N/A</v>
      </c>
    </row>
    <row r="242" spans="18:31" x14ac:dyDescent="0.3">
      <c r="R242" s="85" t="e">
        <f ca="1"/>
        <v>#N/A</v>
      </c>
      <c r="S242" s="57" t="e">
        <f t="shared" ca="1" si="49"/>
        <v>#N/A</v>
      </c>
      <c r="T242" s="57" t="e">
        <f t="shared" ca="1" si="43"/>
        <v>#N/A</v>
      </c>
      <c r="U242" s="57" t="e">
        <f t="shared" ca="1" si="44"/>
        <v>#N/A</v>
      </c>
      <c r="V242" s="57" t="e">
        <f t="shared" ca="1" si="45"/>
        <v>#N/A</v>
      </c>
      <c r="W242" t="e">
        <f t="shared" ca="1" si="46"/>
        <v>#N/A</v>
      </c>
      <c r="X242" t="e">
        <f t="shared" ca="1" si="50"/>
        <v>#N/A</v>
      </c>
      <c r="Y242" t="e">
        <f t="shared" ca="1" si="47"/>
        <v>#N/A</v>
      </c>
      <c r="Z242" t="e">
        <f t="shared" ca="1" si="48"/>
        <v>#N/A</v>
      </c>
      <c r="AA242" s="85" t="e">
        <f ca="1"/>
        <v>#N/A</v>
      </c>
      <c r="AB242" s="57" t="e">
        <f t="shared" ca="1" si="51"/>
        <v>#N/A</v>
      </c>
      <c r="AC242" s="57" t="e">
        <f t="shared" ca="1" si="52"/>
        <v>#N/A</v>
      </c>
      <c r="AD242" s="57" t="e">
        <f t="shared" ca="1" si="53"/>
        <v>#N/A</v>
      </c>
      <c r="AE242" s="57" t="e">
        <f t="shared" ca="1" si="54"/>
        <v>#N/A</v>
      </c>
    </row>
    <row r="243" spans="18:31" x14ac:dyDescent="0.3">
      <c r="R243" s="85" t="e">
        <f ca="1"/>
        <v>#N/A</v>
      </c>
      <c r="S243" s="57" t="e">
        <f t="shared" ca="1" si="49"/>
        <v>#N/A</v>
      </c>
      <c r="T243" s="57" t="e">
        <f t="shared" ca="1" si="43"/>
        <v>#N/A</v>
      </c>
      <c r="U243" s="57" t="e">
        <f t="shared" ca="1" si="44"/>
        <v>#N/A</v>
      </c>
      <c r="V243" s="57" t="e">
        <f t="shared" ca="1" si="45"/>
        <v>#N/A</v>
      </c>
      <c r="W243" t="e">
        <f t="shared" ca="1" si="46"/>
        <v>#N/A</v>
      </c>
      <c r="X243" t="e">
        <f t="shared" ca="1" si="50"/>
        <v>#N/A</v>
      </c>
      <c r="Y243" t="e">
        <f t="shared" ca="1" si="47"/>
        <v>#N/A</v>
      </c>
      <c r="Z243" t="e">
        <f t="shared" ca="1" si="48"/>
        <v>#N/A</v>
      </c>
      <c r="AA243" s="85" t="e">
        <f ca="1"/>
        <v>#N/A</v>
      </c>
      <c r="AB243" s="57" t="e">
        <f t="shared" ca="1" si="51"/>
        <v>#N/A</v>
      </c>
      <c r="AC243" s="57" t="e">
        <f t="shared" ca="1" si="52"/>
        <v>#N/A</v>
      </c>
      <c r="AD243" s="57" t="e">
        <f t="shared" ca="1" si="53"/>
        <v>#N/A</v>
      </c>
      <c r="AE243" s="57" t="e">
        <f t="shared" ca="1" si="54"/>
        <v>#N/A</v>
      </c>
    </row>
    <row r="244" spans="18:31" x14ac:dyDescent="0.3">
      <c r="R244" s="85" t="e">
        <f ca="1"/>
        <v>#N/A</v>
      </c>
      <c r="S244" s="57" t="e">
        <f t="shared" ca="1" si="49"/>
        <v>#N/A</v>
      </c>
      <c r="T244" s="57" t="e">
        <f t="shared" ca="1" si="43"/>
        <v>#N/A</v>
      </c>
      <c r="U244" s="57" t="e">
        <f t="shared" ca="1" si="44"/>
        <v>#N/A</v>
      </c>
      <c r="V244" s="57" t="e">
        <f t="shared" ca="1" si="45"/>
        <v>#N/A</v>
      </c>
      <c r="W244" t="e">
        <f t="shared" ca="1" si="46"/>
        <v>#N/A</v>
      </c>
      <c r="X244" t="e">
        <f t="shared" ca="1" si="50"/>
        <v>#N/A</v>
      </c>
      <c r="Y244" t="e">
        <f t="shared" ca="1" si="47"/>
        <v>#N/A</v>
      </c>
      <c r="Z244" t="e">
        <f t="shared" ca="1" si="48"/>
        <v>#N/A</v>
      </c>
      <c r="AA244" s="85" t="e">
        <f ca="1"/>
        <v>#N/A</v>
      </c>
      <c r="AB244" s="57" t="e">
        <f t="shared" ca="1" si="51"/>
        <v>#N/A</v>
      </c>
      <c r="AC244" s="57" t="e">
        <f t="shared" ca="1" si="52"/>
        <v>#N/A</v>
      </c>
      <c r="AD244" s="57" t="e">
        <f t="shared" ca="1" si="53"/>
        <v>#N/A</v>
      </c>
      <c r="AE244" s="57" t="e">
        <f t="shared" ca="1" si="54"/>
        <v>#N/A</v>
      </c>
    </row>
    <row r="245" spans="18:31" x14ac:dyDescent="0.3">
      <c r="R245" s="85" t="e">
        <f ca="1"/>
        <v>#N/A</v>
      </c>
      <c r="S245" s="57" t="e">
        <f t="shared" ca="1" si="49"/>
        <v>#N/A</v>
      </c>
      <c r="T245" s="57" t="e">
        <f t="shared" ca="1" si="43"/>
        <v>#N/A</v>
      </c>
      <c r="U245" s="57" t="e">
        <f t="shared" ca="1" si="44"/>
        <v>#N/A</v>
      </c>
      <c r="V245" s="57" t="e">
        <f t="shared" ca="1" si="45"/>
        <v>#N/A</v>
      </c>
      <c r="W245" t="e">
        <f t="shared" ca="1" si="46"/>
        <v>#N/A</v>
      </c>
      <c r="X245" t="e">
        <f t="shared" ca="1" si="50"/>
        <v>#N/A</v>
      </c>
      <c r="Y245" t="e">
        <f t="shared" ca="1" si="47"/>
        <v>#N/A</v>
      </c>
      <c r="Z245" t="e">
        <f t="shared" ca="1" si="48"/>
        <v>#N/A</v>
      </c>
      <c r="AA245" s="85" t="e">
        <f ca="1"/>
        <v>#N/A</v>
      </c>
      <c r="AB245" s="57" t="e">
        <f t="shared" ca="1" si="51"/>
        <v>#N/A</v>
      </c>
      <c r="AC245" s="57" t="e">
        <f t="shared" ca="1" si="52"/>
        <v>#N/A</v>
      </c>
      <c r="AD245" s="57" t="e">
        <f t="shared" ca="1" si="53"/>
        <v>#N/A</v>
      </c>
      <c r="AE245" s="57" t="e">
        <f t="shared" ca="1" si="54"/>
        <v>#N/A</v>
      </c>
    </row>
    <row r="246" spans="18:31" x14ac:dyDescent="0.3">
      <c r="R246" s="85" t="e">
        <f ca="1"/>
        <v>#N/A</v>
      </c>
      <c r="S246" s="57" t="e">
        <f t="shared" ca="1" si="49"/>
        <v>#N/A</v>
      </c>
      <c r="T246" s="57" t="e">
        <f t="shared" ca="1" si="43"/>
        <v>#N/A</v>
      </c>
      <c r="U246" s="57" t="e">
        <f t="shared" ca="1" si="44"/>
        <v>#N/A</v>
      </c>
      <c r="V246" s="57" t="e">
        <f t="shared" ca="1" si="45"/>
        <v>#N/A</v>
      </c>
      <c r="W246" t="e">
        <f t="shared" ca="1" si="46"/>
        <v>#N/A</v>
      </c>
      <c r="X246" t="e">
        <f t="shared" ca="1" si="50"/>
        <v>#N/A</v>
      </c>
      <c r="Y246" t="e">
        <f t="shared" ca="1" si="47"/>
        <v>#N/A</v>
      </c>
      <c r="Z246" t="e">
        <f t="shared" ca="1" si="48"/>
        <v>#N/A</v>
      </c>
      <c r="AA246" s="85" t="e">
        <f ca="1"/>
        <v>#N/A</v>
      </c>
      <c r="AB246" s="57" t="e">
        <f t="shared" ca="1" si="51"/>
        <v>#N/A</v>
      </c>
      <c r="AC246" s="57" t="e">
        <f t="shared" ca="1" si="52"/>
        <v>#N/A</v>
      </c>
      <c r="AD246" s="57" t="e">
        <f t="shared" ca="1" si="53"/>
        <v>#N/A</v>
      </c>
      <c r="AE246" s="57" t="e">
        <f t="shared" ca="1" si="54"/>
        <v>#N/A</v>
      </c>
    </row>
    <row r="247" spans="18:31" x14ac:dyDescent="0.3">
      <c r="R247" s="85" t="e">
        <f ca="1"/>
        <v>#N/A</v>
      </c>
      <c r="S247" s="57" t="e">
        <f t="shared" ca="1" si="49"/>
        <v>#N/A</v>
      </c>
      <c r="T247" s="57" t="e">
        <f t="shared" ca="1" si="43"/>
        <v>#N/A</v>
      </c>
      <c r="U247" s="57" t="e">
        <f t="shared" ca="1" si="44"/>
        <v>#N/A</v>
      </c>
      <c r="V247" s="57" t="e">
        <f t="shared" ca="1" si="45"/>
        <v>#N/A</v>
      </c>
      <c r="W247" t="e">
        <f t="shared" ca="1" si="46"/>
        <v>#N/A</v>
      </c>
      <c r="X247" t="e">
        <f t="shared" ca="1" si="50"/>
        <v>#N/A</v>
      </c>
      <c r="Y247" t="e">
        <f t="shared" ca="1" si="47"/>
        <v>#N/A</v>
      </c>
      <c r="Z247" t="e">
        <f t="shared" ca="1" si="48"/>
        <v>#N/A</v>
      </c>
      <c r="AA247" s="85" t="e">
        <f ca="1"/>
        <v>#N/A</v>
      </c>
      <c r="AB247" s="57" t="e">
        <f t="shared" ca="1" si="51"/>
        <v>#N/A</v>
      </c>
      <c r="AC247" s="57" t="e">
        <f t="shared" ca="1" si="52"/>
        <v>#N/A</v>
      </c>
      <c r="AD247" s="57" t="e">
        <f t="shared" ca="1" si="53"/>
        <v>#N/A</v>
      </c>
      <c r="AE247" s="57" t="e">
        <f t="shared" ca="1" si="54"/>
        <v>#N/A</v>
      </c>
    </row>
    <row r="248" spans="18:31" x14ac:dyDescent="0.3">
      <c r="R248" s="85" t="e">
        <f ca="1"/>
        <v>#N/A</v>
      </c>
      <c r="S248" s="57" t="e">
        <f t="shared" ca="1" si="49"/>
        <v>#N/A</v>
      </c>
      <c r="T248" s="57" t="e">
        <f t="shared" ca="1" si="43"/>
        <v>#N/A</v>
      </c>
      <c r="U248" s="57" t="e">
        <f t="shared" ca="1" si="44"/>
        <v>#N/A</v>
      </c>
      <c r="V248" s="57" t="e">
        <f t="shared" ca="1" si="45"/>
        <v>#N/A</v>
      </c>
      <c r="W248" t="e">
        <f t="shared" ca="1" si="46"/>
        <v>#N/A</v>
      </c>
      <c r="X248" t="e">
        <f t="shared" ca="1" si="50"/>
        <v>#N/A</v>
      </c>
      <c r="Y248" t="e">
        <f t="shared" ca="1" si="47"/>
        <v>#N/A</v>
      </c>
      <c r="Z248" t="e">
        <f t="shared" ca="1" si="48"/>
        <v>#N/A</v>
      </c>
      <c r="AA248" s="85" t="e">
        <f ca="1"/>
        <v>#N/A</v>
      </c>
      <c r="AB248" s="57" t="e">
        <f t="shared" ca="1" si="51"/>
        <v>#N/A</v>
      </c>
      <c r="AC248" s="57" t="e">
        <f t="shared" ca="1" si="52"/>
        <v>#N/A</v>
      </c>
      <c r="AD248" s="57" t="e">
        <f t="shared" ca="1" si="53"/>
        <v>#N/A</v>
      </c>
      <c r="AE248" s="57" t="e">
        <f t="shared" ca="1" si="54"/>
        <v>#N/A</v>
      </c>
    </row>
    <row r="249" spans="18:31" x14ac:dyDescent="0.3">
      <c r="R249" s="85" t="e">
        <f ca="1"/>
        <v>#N/A</v>
      </c>
      <c r="S249" s="57" t="e">
        <f t="shared" ca="1" si="49"/>
        <v>#N/A</v>
      </c>
      <c r="T249" s="57" t="e">
        <f t="shared" ca="1" si="43"/>
        <v>#N/A</v>
      </c>
      <c r="U249" s="57" t="e">
        <f t="shared" ca="1" si="44"/>
        <v>#N/A</v>
      </c>
      <c r="V249" s="57" t="e">
        <f t="shared" ca="1" si="45"/>
        <v>#N/A</v>
      </c>
      <c r="W249" t="e">
        <f t="shared" ca="1" si="46"/>
        <v>#N/A</v>
      </c>
      <c r="X249" t="e">
        <f t="shared" ca="1" si="50"/>
        <v>#N/A</v>
      </c>
      <c r="Y249" t="e">
        <f t="shared" ca="1" si="47"/>
        <v>#N/A</v>
      </c>
      <c r="Z249" t="e">
        <f t="shared" ca="1" si="48"/>
        <v>#N/A</v>
      </c>
      <c r="AA249" s="85" t="e">
        <f ca="1"/>
        <v>#N/A</v>
      </c>
      <c r="AB249" s="57" t="e">
        <f t="shared" ca="1" si="51"/>
        <v>#N/A</v>
      </c>
      <c r="AC249" s="57" t="e">
        <f t="shared" ca="1" si="52"/>
        <v>#N/A</v>
      </c>
      <c r="AD249" s="57" t="e">
        <f t="shared" ca="1" si="53"/>
        <v>#N/A</v>
      </c>
      <c r="AE249" s="57" t="e">
        <f t="shared" ca="1" si="54"/>
        <v>#N/A</v>
      </c>
    </row>
    <row r="250" spans="18:31" x14ac:dyDescent="0.3">
      <c r="R250" s="85" t="e">
        <f ca="1"/>
        <v>#N/A</v>
      </c>
      <c r="S250" s="57" t="e">
        <f t="shared" ca="1" si="49"/>
        <v>#N/A</v>
      </c>
      <c r="T250" s="57" t="e">
        <f t="shared" ca="1" si="43"/>
        <v>#N/A</v>
      </c>
      <c r="U250" s="57" t="e">
        <f t="shared" ca="1" si="44"/>
        <v>#N/A</v>
      </c>
      <c r="V250" s="57" t="e">
        <f t="shared" ca="1" si="45"/>
        <v>#N/A</v>
      </c>
      <c r="W250" t="e">
        <f t="shared" ca="1" si="46"/>
        <v>#N/A</v>
      </c>
      <c r="X250" t="e">
        <f t="shared" ca="1" si="50"/>
        <v>#N/A</v>
      </c>
      <c r="Y250" t="e">
        <f t="shared" ca="1" si="47"/>
        <v>#N/A</v>
      </c>
      <c r="Z250" t="e">
        <f t="shared" ca="1" si="48"/>
        <v>#N/A</v>
      </c>
      <c r="AA250" s="85" t="e">
        <f ca="1"/>
        <v>#N/A</v>
      </c>
      <c r="AB250" s="57" t="e">
        <f t="shared" ca="1" si="51"/>
        <v>#N/A</v>
      </c>
      <c r="AC250" s="57" t="e">
        <f t="shared" ca="1" si="52"/>
        <v>#N/A</v>
      </c>
      <c r="AD250" s="57" t="e">
        <f t="shared" ca="1" si="53"/>
        <v>#N/A</v>
      </c>
      <c r="AE250" s="57" t="e">
        <f t="shared" ca="1" si="54"/>
        <v>#N/A</v>
      </c>
    </row>
    <row r="251" spans="18:31" x14ac:dyDescent="0.3">
      <c r="R251" s="85" t="e">
        <f ca="1"/>
        <v>#N/A</v>
      </c>
      <c r="S251" s="57" t="e">
        <f t="shared" ca="1" si="49"/>
        <v>#N/A</v>
      </c>
      <c r="T251" s="57" t="e">
        <f t="shared" ca="1" si="43"/>
        <v>#N/A</v>
      </c>
      <c r="U251" s="57" t="e">
        <f t="shared" ca="1" si="44"/>
        <v>#N/A</v>
      </c>
      <c r="V251" s="57" t="e">
        <f t="shared" ca="1" si="45"/>
        <v>#N/A</v>
      </c>
      <c r="W251" t="e">
        <f t="shared" ca="1" si="46"/>
        <v>#N/A</v>
      </c>
      <c r="X251" t="e">
        <f t="shared" ca="1" si="50"/>
        <v>#N/A</v>
      </c>
      <c r="Y251" t="e">
        <f t="shared" ca="1" si="47"/>
        <v>#N/A</v>
      </c>
      <c r="Z251" t="e">
        <f t="shared" ca="1" si="48"/>
        <v>#N/A</v>
      </c>
      <c r="AA251" s="85" t="e">
        <f ca="1"/>
        <v>#N/A</v>
      </c>
      <c r="AB251" s="57" t="e">
        <f t="shared" ca="1" si="51"/>
        <v>#N/A</v>
      </c>
      <c r="AC251" s="57" t="e">
        <f t="shared" ca="1" si="52"/>
        <v>#N/A</v>
      </c>
      <c r="AD251" s="57" t="e">
        <f t="shared" ca="1" si="53"/>
        <v>#N/A</v>
      </c>
      <c r="AE251" s="57" t="e">
        <f t="shared" ca="1" si="54"/>
        <v>#N/A</v>
      </c>
    </row>
    <row r="252" spans="18:31" x14ac:dyDescent="0.3">
      <c r="R252" s="85" t="e">
        <f ca="1"/>
        <v>#N/A</v>
      </c>
      <c r="S252" s="57" t="e">
        <f t="shared" ca="1" si="49"/>
        <v>#N/A</v>
      </c>
      <c r="T252" s="57" t="e">
        <f t="shared" ca="1" si="43"/>
        <v>#N/A</v>
      </c>
      <c r="U252" s="57" t="e">
        <f t="shared" ca="1" si="44"/>
        <v>#N/A</v>
      </c>
      <c r="V252" s="57" t="e">
        <f t="shared" ca="1" si="45"/>
        <v>#N/A</v>
      </c>
      <c r="W252" t="e">
        <f t="shared" ca="1" si="46"/>
        <v>#N/A</v>
      </c>
      <c r="X252" t="e">
        <f t="shared" ca="1" si="50"/>
        <v>#N/A</v>
      </c>
      <c r="Y252" t="e">
        <f t="shared" ca="1" si="47"/>
        <v>#N/A</v>
      </c>
      <c r="Z252" t="e">
        <f t="shared" ca="1" si="48"/>
        <v>#N/A</v>
      </c>
      <c r="AA252" s="85" t="e">
        <f ca="1"/>
        <v>#N/A</v>
      </c>
      <c r="AB252" s="57" t="e">
        <f t="shared" ca="1" si="51"/>
        <v>#N/A</v>
      </c>
      <c r="AC252" s="57" t="e">
        <f t="shared" ca="1" si="52"/>
        <v>#N/A</v>
      </c>
      <c r="AD252" s="57" t="e">
        <f t="shared" ca="1" si="53"/>
        <v>#N/A</v>
      </c>
      <c r="AE252" s="57" t="e">
        <f t="shared" ca="1" si="54"/>
        <v>#N/A</v>
      </c>
    </row>
    <row r="253" spans="18:31" x14ac:dyDescent="0.3">
      <c r="R253" s="85" t="e">
        <f ca="1"/>
        <v>#N/A</v>
      </c>
      <c r="S253" s="57" t="e">
        <f t="shared" ca="1" si="49"/>
        <v>#N/A</v>
      </c>
      <c r="T253" s="57" t="e">
        <f t="shared" ca="1" si="43"/>
        <v>#N/A</v>
      </c>
      <c r="U253" s="57" t="e">
        <f t="shared" ca="1" si="44"/>
        <v>#N/A</v>
      </c>
      <c r="V253" s="57" t="e">
        <f t="shared" ca="1" si="45"/>
        <v>#N/A</v>
      </c>
      <c r="W253" t="e">
        <f t="shared" ca="1" si="46"/>
        <v>#N/A</v>
      </c>
      <c r="X253" t="e">
        <f t="shared" ca="1" si="50"/>
        <v>#N/A</v>
      </c>
      <c r="Y253" t="e">
        <f t="shared" ca="1" si="47"/>
        <v>#N/A</v>
      </c>
      <c r="Z253" t="e">
        <f t="shared" ca="1" si="48"/>
        <v>#N/A</v>
      </c>
      <c r="AA253" s="85" t="e">
        <f ca="1"/>
        <v>#N/A</v>
      </c>
      <c r="AB253" s="57" t="e">
        <f t="shared" ca="1" si="51"/>
        <v>#N/A</v>
      </c>
      <c r="AC253" s="57" t="e">
        <f t="shared" ca="1" si="52"/>
        <v>#N/A</v>
      </c>
      <c r="AD253" s="57" t="e">
        <f t="shared" ca="1" si="53"/>
        <v>#N/A</v>
      </c>
      <c r="AE253" s="57" t="e">
        <f t="shared" ca="1" si="54"/>
        <v>#N/A</v>
      </c>
    </row>
    <row r="254" spans="18:31" x14ac:dyDescent="0.3">
      <c r="R254" s="85" t="e">
        <f ca="1"/>
        <v>#N/A</v>
      </c>
      <c r="S254" s="57" t="e">
        <f t="shared" ca="1" si="49"/>
        <v>#N/A</v>
      </c>
      <c r="T254" s="57" t="e">
        <f t="shared" ca="1" si="43"/>
        <v>#N/A</v>
      </c>
      <c r="U254" s="57" t="e">
        <f t="shared" ca="1" si="44"/>
        <v>#N/A</v>
      </c>
      <c r="V254" s="57" t="e">
        <f t="shared" ca="1" si="45"/>
        <v>#N/A</v>
      </c>
      <c r="W254" t="e">
        <f t="shared" ca="1" si="46"/>
        <v>#N/A</v>
      </c>
      <c r="X254" t="e">
        <f t="shared" ca="1" si="50"/>
        <v>#N/A</v>
      </c>
      <c r="Y254" t="e">
        <f t="shared" ca="1" si="47"/>
        <v>#N/A</v>
      </c>
      <c r="Z254" t="e">
        <f t="shared" ca="1" si="48"/>
        <v>#N/A</v>
      </c>
      <c r="AA254" s="85" t="e">
        <f ca="1"/>
        <v>#N/A</v>
      </c>
      <c r="AB254" s="57" t="e">
        <f t="shared" ca="1" si="51"/>
        <v>#N/A</v>
      </c>
      <c r="AC254" s="57" t="e">
        <f t="shared" ca="1" si="52"/>
        <v>#N/A</v>
      </c>
      <c r="AD254" s="57" t="e">
        <f t="shared" ca="1" si="53"/>
        <v>#N/A</v>
      </c>
      <c r="AE254" s="57" t="e">
        <f t="shared" ca="1" si="54"/>
        <v>#N/A</v>
      </c>
    </row>
    <row r="255" spans="18:31" x14ac:dyDescent="0.3">
      <c r="R255" s="85" t="e">
        <f ca="1"/>
        <v>#N/A</v>
      </c>
      <c r="S255" s="57" t="e">
        <f t="shared" ca="1" si="49"/>
        <v>#N/A</v>
      </c>
      <c r="T255" s="57" t="e">
        <f t="shared" ca="1" si="43"/>
        <v>#N/A</v>
      </c>
      <c r="U255" s="57" t="e">
        <f t="shared" ca="1" si="44"/>
        <v>#N/A</v>
      </c>
      <c r="V255" s="57" t="e">
        <f t="shared" ca="1" si="45"/>
        <v>#N/A</v>
      </c>
      <c r="W255" t="e">
        <f t="shared" ca="1" si="46"/>
        <v>#N/A</v>
      </c>
      <c r="X255" t="e">
        <f t="shared" ca="1" si="50"/>
        <v>#N/A</v>
      </c>
      <c r="Y255" t="e">
        <f t="shared" ca="1" si="47"/>
        <v>#N/A</v>
      </c>
      <c r="Z255" t="e">
        <f t="shared" ca="1" si="48"/>
        <v>#N/A</v>
      </c>
      <c r="AA255" s="85" t="e">
        <f ca="1"/>
        <v>#N/A</v>
      </c>
      <c r="AB255" s="57" t="e">
        <f t="shared" ca="1" si="51"/>
        <v>#N/A</v>
      </c>
      <c r="AC255" s="57" t="e">
        <f t="shared" ca="1" si="52"/>
        <v>#N/A</v>
      </c>
      <c r="AD255" s="57" t="e">
        <f t="shared" ca="1" si="53"/>
        <v>#N/A</v>
      </c>
      <c r="AE255" s="57" t="e">
        <f t="shared" ca="1" si="54"/>
        <v>#N/A</v>
      </c>
    </row>
    <row r="256" spans="18:31" x14ac:dyDescent="0.3">
      <c r="R256" s="85" t="e">
        <f ca="1"/>
        <v>#N/A</v>
      </c>
      <c r="S256" s="57" t="e">
        <f t="shared" ca="1" si="49"/>
        <v>#N/A</v>
      </c>
      <c r="T256" s="57" t="e">
        <f t="shared" ca="1" si="43"/>
        <v>#N/A</v>
      </c>
      <c r="U256" s="57" t="e">
        <f t="shared" ca="1" si="44"/>
        <v>#N/A</v>
      </c>
      <c r="V256" s="57" t="e">
        <f t="shared" ca="1" si="45"/>
        <v>#N/A</v>
      </c>
      <c r="W256" t="e">
        <f t="shared" ca="1" si="46"/>
        <v>#N/A</v>
      </c>
      <c r="X256" t="e">
        <f t="shared" ca="1" si="50"/>
        <v>#N/A</v>
      </c>
      <c r="Y256" t="e">
        <f t="shared" ca="1" si="47"/>
        <v>#N/A</v>
      </c>
      <c r="Z256" t="e">
        <f t="shared" ca="1" si="48"/>
        <v>#N/A</v>
      </c>
      <c r="AA256" s="85" t="e">
        <f ca="1"/>
        <v>#N/A</v>
      </c>
      <c r="AB256" s="57" t="e">
        <f t="shared" ca="1" si="51"/>
        <v>#N/A</v>
      </c>
      <c r="AC256" s="57" t="e">
        <f t="shared" ca="1" si="52"/>
        <v>#N/A</v>
      </c>
      <c r="AD256" s="57" t="e">
        <f t="shared" ca="1" si="53"/>
        <v>#N/A</v>
      </c>
      <c r="AE256" s="57" t="e">
        <f t="shared" ca="1" si="54"/>
        <v>#N/A</v>
      </c>
    </row>
    <row r="257" spans="18:31" x14ac:dyDescent="0.3">
      <c r="R257" s="85" t="e">
        <f ca="1"/>
        <v>#N/A</v>
      </c>
      <c r="S257" s="57" t="e">
        <f t="shared" ca="1" si="49"/>
        <v>#N/A</v>
      </c>
      <c r="T257" s="57" t="e">
        <f t="shared" ca="1" si="43"/>
        <v>#N/A</v>
      </c>
      <c r="U257" s="57" t="e">
        <f t="shared" ca="1" si="44"/>
        <v>#N/A</v>
      </c>
      <c r="V257" s="57" t="e">
        <f t="shared" ca="1" si="45"/>
        <v>#N/A</v>
      </c>
      <c r="W257" t="e">
        <f t="shared" ca="1" si="46"/>
        <v>#N/A</v>
      </c>
      <c r="X257" t="e">
        <f t="shared" ca="1" si="50"/>
        <v>#N/A</v>
      </c>
      <c r="Y257" t="e">
        <f t="shared" ca="1" si="47"/>
        <v>#N/A</v>
      </c>
      <c r="Z257" t="e">
        <f t="shared" ca="1" si="48"/>
        <v>#N/A</v>
      </c>
      <c r="AA257" s="85" t="e">
        <f ca="1"/>
        <v>#N/A</v>
      </c>
      <c r="AB257" s="57" t="e">
        <f t="shared" ca="1" si="51"/>
        <v>#N/A</v>
      </c>
      <c r="AC257" s="57" t="e">
        <f t="shared" ca="1" si="52"/>
        <v>#N/A</v>
      </c>
      <c r="AD257" s="57" t="e">
        <f t="shared" ca="1" si="53"/>
        <v>#N/A</v>
      </c>
      <c r="AE257" s="57" t="e">
        <f t="shared" ca="1" si="54"/>
        <v>#N/A</v>
      </c>
    </row>
    <row r="258" spans="18:31" x14ac:dyDescent="0.3">
      <c r="R258" s="85" t="e">
        <f ca="1"/>
        <v>#N/A</v>
      </c>
      <c r="S258" s="57" t="e">
        <f t="shared" ca="1" si="49"/>
        <v>#N/A</v>
      </c>
      <c r="T258" s="57" t="e">
        <f t="shared" ca="1" si="43"/>
        <v>#N/A</v>
      </c>
      <c r="U258" s="57" t="e">
        <f t="shared" ca="1" si="44"/>
        <v>#N/A</v>
      </c>
      <c r="V258" s="57" t="e">
        <f t="shared" ca="1" si="45"/>
        <v>#N/A</v>
      </c>
      <c r="W258" t="e">
        <f t="shared" ca="1" si="46"/>
        <v>#N/A</v>
      </c>
      <c r="X258" t="e">
        <f t="shared" ca="1" si="50"/>
        <v>#N/A</v>
      </c>
      <c r="Y258" t="e">
        <f t="shared" ca="1" si="47"/>
        <v>#N/A</v>
      </c>
      <c r="Z258" t="e">
        <f t="shared" ca="1" si="48"/>
        <v>#N/A</v>
      </c>
      <c r="AA258" s="85" t="e">
        <f ca="1"/>
        <v>#N/A</v>
      </c>
      <c r="AB258" s="57" t="e">
        <f t="shared" ca="1" si="51"/>
        <v>#N/A</v>
      </c>
      <c r="AC258" s="57" t="e">
        <f t="shared" ca="1" si="52"/>
        <v>#N/A</v>
      </c>
      <c r="AD258" s="57" t="e">
        <f t="shared" ca="1" si="53"/>
        <v>#N/A</v>
      </c>
      <c r="AE258" s="57" t="e">
        <f t="shared" ca="1" si="54"/>
        <v>#N/A</v>
      </c>
    </row>
    <row r="259" spans="18:31" x14ac:dyDescent="0.3">
      <c r="R259" s="85" t="e">
        <f ca="1"/>
        <v>#N/A</v>
      </c>
      <c r="S259" s="57" t="e">
        <f t="shared" ca="1" si="49"/>
        <v>#N/A</v>
      </c>
      <c r="T259" s="57" t="e">
        <f t="shared" ca="1" si="43"/>
        <v>#N/A</v>
      </c>
      <c r="U259" s="57" t="e">
        <f t="shared" ca="1" si="44"/>
        <v>#N/A</v>
      </c>
      <c r="V259" s="57" t="e">
        <f t="shared" ca="1" si="45"/>
        <v>#N/A</v>
      </c>
      <c r="W259" t="e">
        <f t="shared" ca="1" si="46"/>
        <v>#N/A</v>
      </c>
      <c r="X259" t="e">
        <f t="shared" ca="1" si="50"/>
        <v>#N/A</v>
      </c>
      <c r="Y259" t="e">
        <f t="shared" ca="1" si="47"/>
        <v>#N/A</v>
      </c>
      <c r="Z259" t="e">
        <f t="shared" ca="1" si="48"/>
        <v>#N/A</v>
      </c>
      <c r="AA259" s="85" t="e">
        <f ca="1"/>
        <v>#N/A</v>
      </c>
      <c r="AB259" s="57" t="e">
        <f t="shared" ca="1" si="51"/>
        <v>#N/A</v>
      </c>
      <c r="AC259" s="57" t="e">
        <f t="shared" ca="1" si="52"/>
        <v>#N/A</v>
      </c>
      <c r="AD259" s="57" t="e">
        <f t="shared" ca="1" si="53"/>
        <v>#N/A</v>
      </c>
      <c r="AE259" s="57" t="e">
        <f t="shared" ca="1" si="54"/>
        <v>#N/A</v>
      </c>
    </row>
    <row r="260" spans="18:31" x14ac:dyDescent="0.3">
      <c r="R260" s="85" t="e">
        <f ca="1"/>
        <v>#N/A</v>
      </c>
      <c r="S260" s="57" t="e">
        <f t="shared" ca="1" si="49"/>
        <v>#N/A</v>
      </c>
      <c r="T260" s="57" t="e">
        <f t="shared" ca="1" si="43"/>
        <v>#N/A</v>
      </c>
      <c r="U260" s="57" t="e">
        <f t="shared" ca="1" si="44"/>
        <v>#N/A</v>
      </c>
      <c r="V260" s="57" t="e">
        <f t="shared" ca="1" si="45"/>
        <v>#N/A</v>
      </c>
      <c r="W260" t="e">
        <f t="shared" ca="1" si="46"/>
        <v>#N/A</v>
      </c>
      <c r="X260" t="e">
        <f t="shared" ca="1" si="50"/>
        <v>#N/A</v>
      </c>
      <c r="Y260" t="e">
        <f t="shared" ca="1" si="47"/>
        <v>#N/A</v>
      </c>
      <c r="Z260" t="e">
        <f t="shared" ca="1" si="48"/>
        <v>#N/A</v>
      </c>
      <c r="AA260" s="85" t="e">
        <f ca="1"/>
        <v>#N/A</v>
      </c>
      <c r="AB260" s="57" t="e">
        <f t="shared" ca="1" si="51"/>
        <v>#N/A</v>
      </c>
      <c r="AC260" s="57" t="e">
        <f t="shared" ca="1" si="52"/>
        <v>#N/A</v>
      </c>
      <c r="AD260" s="57" t="e">
        <f t="shared" ca="1" si="53"/>
        <v>#N/A</v>
      </c>
      <c r="AE260" s="57" t="e">
        <f t="shared" ca="1" si="54"/>
        <v>#N/A</v>
      </c>
    </row>
    <row r="261" spans="18:31" x14ac:dyDescent="0.3">
      <c r="R261" s="85" t="e">
        <f ca="1"/>
        <v>#N/A</v>
      </c>
      <c r="S261" s="57" t="e">
        <f t="shared" ca="1" si="49"/>
        <v>#N/A</v>
      </c>
      <c r="T261" s="57" t="e">
        <f t="shared" ca="1" si="43"/>
        <v>#N/A</v>
      </c>
      <c r="U261" s="57" t="e">
        <f t="shared" ca="1" si="44"/>
        <v>#N/A</v>
      </c>
      <c r="V261" s="57" t="e">
        <f t="shared" ca="1" si="45"/>
        <v>#N/A</v>
      </c>
      <c r="W261" t="e">
        <f t="shared" ca="1" si="46"/>
        <v>#N/A</v>
      </c>
      <c r="X261" t="e">
        <f t="shared" ca="1" si="50"/>
        <v>#N/A</v>
      </c>
      <c r="Y261" t="e">
        <f t="shared" ca="1" si="47"/>
        <v>#N/A</v>
      </c>
      <c r="Z261" t="e">
        <f t="shared" ca="1" si="48"/>
        <v>#N/A</v>
      </c>
      <c r="AA261" s="85" t="e">
        <f ca="1"/>
        <v>#N/A</v>
      </c>
      <c r="AB261" s="57" t="e">
        <f t="shared" ca="1" si="51"/>
        <v>#N/A</v>
      </c>
      <c r="AC261" s="57" t="e">
        <f t="shared" ca="1" si="52"/>
        <v>#N/A</v>
      </c>
      <c r="AD261" s="57" t="e">
        <f t="shared" ca="1" si="53"/>
        <v>#N/A</v>
      </c>
      <c r="AE261" s="57" t="e">
        <f t="shared" ca="1" si="54"/>
        <v>#N/A</v>
      </c>
    </row>
    <row r="262" spans="18:31" x14ac:dyDescent="0.3">
      <c r="R262" s="85" t="e">
        <f ca="1"/>
        <v>#N/A</v>
      </c>
      <c r="S262" s="57" t="e">
        <f t="shared" ca="1" si="49"/>
        <v>#N/A</v>
      </c>
      <c r="T262" s="57" t="e">
        <f t="shared" ca="1" si="43"/>
        <v>#N/A</v>
      </c>
      <c r="U262" s="57" t="e">
        <f t="shared" ca="1" si="44"/>
        <v>#N/A</v>
      </c>
      <c r="V262" s="57" t="e">
        <f t="shared" ca="1" si="45"/>
        <v>#N/A</v>
      </c>
      <c r="W262" t="e">
        <f t="shared" ca="1" si="46"/>
        <v>#N/A</v>
      </c>
      <c r="X262" t="e">
        <f t="shared" ca="1" si="50"/>
        <v>#N/A</v>
      </c>
      <c r="Y262" t="e">
        <f t="shared" ca="1" si="47"/>
        <v>#N/A</v>
      </c>
      <c r="Z262" t="e">
        <f t="shared" ca="1" si="48"/>
        <v>#N/A</v>
      </c>
      <c r="AA262" s="85" t="e">
        <f ca="1"/>
        <v>#N/A</v>
      </c>
      <c r="AB262" s="57" t="e">
        <f t="shared" ca="1" si="51"/>
        <v>#N/A</v>
      </c>
      <c r="AC262" s="57" t="e">
        <f t="shared" ca="1" si="52"/>
        <v>#N/A</v>
      </c>
      <c r="AD262" s="57" t="e">
        <f t="shared" ca="1" si="53"/>
        <v>#N/A</v>
      </c>
      <c r="AE262" s="57" t="e">
        <f t="shared" ca="1" si="54"/>
        <v>#N/A</v>
      </c>
    </row>
    <row r="263" spans="18:31" x14ac:dyDescent="0.3">
      <c r="R263" s="85" t="e">
        <f ca="1"/>
        <v>#N/A</v>
      </c>
      <c r="S263" s="57" t="e">
        <f t="shared" ca="1" si="49"/>
        <v>#N/A</v>
      </c>
      <c r="T263" s="57" t="e">
        <f t="shared" ca="1" si="43"/>
        <v>#N/A</v>
      </c>
      <c r="U263" s="57" t="e">
        <f t="shared" ca="1" si="44"/>
        <v>#N/A</v>
      </c>
      <c r="V263" s="57" t="e">
        <f t="shared" ca="1" si="45"/>
        <v>#N/A</v>
      </c>
      <c r="W263" t="e">
        <f t="shared" ca="1" si="46"/>
        <v>#N/A</v>
      </c>
      <c r="X263" t="e">
        <f t="shared" ca="1" si="50"/>
        <v>#N/A</v>
      </c>
      <c r="Y263" t="e">
        <f t="shared" ca="1" si="47"/>
        <v>#N/A</v>
      </c>
      <c r="Z263" t="e">
        <f t="shared" ca="1" si="48"/>
        <v>#N/A</v>
      </c>
      <c r="AA263" s="85" t="e">
        <f ca="1"/>
        <v>#N/A</v>
      </c>
      <c r="AB263" s="57" t="e">
        <f t="shared" ca="1" si="51"/>
        <v>#N/A</v>
      </c>
      <c r="AC263" s="57" t="e">
        <f t="shared" ca="1" si="52"/>
        <v>#N/A</v>
      </c>
      <c r="AD263" s="57" t="e">
        <f t="shared" ca="1" si="53"/>
        <v>#N/A</v>
      </c>
      <c r="AE263" s="57" t="e">
        <f t="shared" ca="1" si="54"/>
        <v>#N/A</v>
      </c>
    </row>
    <row r="264" spans="18:31" x14ac:dyDescent="0.3">
      <c r="R264" s="85" t="e">
        <f ca="1"/>
        <v>#N/A</v>
      </c>
      <c r="S264" s="57" t="e">
        <f t="shared" ca="1" si="49"/>
        <v>#N/A</v>
      </c>
      <c r="T264" s="57" t="e">
        <f t="shared" ca="1" si="43"/>
        <v>#N/A</v>
      </c>
      <c r="U264" s="57" t="e">
        <f t="shared" ca="1" si="44"/>
        <v>#N/A</v>
      </c>
      <c r="V264" s="57" t="e">
        <f t="shared" ca="1" si="45"/>
        <v>#N/A</v>
      </c>
      <c r="W264" t="e">
        <f t="shared" ca="1" si="46"/>
        <v>#N/A</v>
      </c>
      <c r="X264" t="e">
        <f t="shared" ca="1" si="50"/>
        <v>#N/A</v>
      </c>
      <c r="Y264" t="e">
        <f t="shared" ca="1" si="47"/>
        <v>#N/A</v>
      </c>
      <c r="Z264" t="e">
        <f t="shared" ca="1" si="48"/>
        <v>#N/A</v>
      </c>
      <c r="AA264" s="85" t="e">
        <f ca="1"/>
        <v>#N/A</v>
      </c>
      <c r="AB264" s="57" t="e">
        <f t="shared" ca="1" si="51"/>
        <v>#N/A</v>
      </c>
      <c r="AC264" s="57" t="e">
        <f t="shared" ca="1" si="52"/>
        <v>#N/A</v>
      </c>
      <c r="AD264" s="57" t="e">
        <f t="shared" ca="1" si="53"/>
        <v>#N/A</v>
      </c>
      <c r="AE264" s="57" t="e">
        <f t="shared" ca="1" si="54"/>
        <v>#N/A</v>
      </c>
    </row>
    <row r="265" spans="18:31" x14ac:dyDescent="0.3">
      <c r="R265" s="85" t="e">
        <f ca="1"/>
        <v>#N/A</v>
      </c>
      <c r="S265" s="57" t="e">
        <f t="shared" ca="1" si="49"/>
        <v>#N/A</v>
      </c>
      <c r="T265" s="57" t="e">
        <f t="shared" ca="1" si="43"/>
        <v>#N/A</v>
      </c>
      <c r="U265" s="57" t="e">
        <f t="shared" ca="1" si="44"/>
        <v>#N/A</v>
      </c>
      <c r="V265" s="57" t="e">
        <f t="shared" ca="1" si="45"/>
        <v>#N/A</v>
      </c>
      <c r="W265" t="e">
        <f t="shared" ca="1" si="46"/>
        <v>#N/A</v>
      </c>
      <c r="X265" t="e">
        <f t="shared" ca="1" si="50"/>
        <v>#N/A</v>
      </c>
      <c r="Y265" t="e">
        <f t="shared" ca="1" si="47"/>
        <v>#N/A</v>
      </c>
      <c r="Z265" t="e">
        <f t="shared" ca="1" si="48"/>
        <v>#N/A</v>
      </c>
      <c r="AA265" s="85" t="e">
        <f ca="1"/>
        <v>#N/A</v>
      </c>
      <c r="AB265" s="57" t="e">
        <f t="shared" ca="1" si="51"/>
        <v>#N/A</v>
      </c>
      <c r="AC265" s="57" t="e">
        <f t="shared" ca="1" si="52"/>
        <v>#N/A</v>
      </c>
      <c r="AD265" s="57" t="e">
        <f t="shared" ca="1" si="53"/>
        <v>#N/A</v>
      </c>
      <c r="AE265" s="57" t="e">
        <f t="shared" ca="1" si="54"/>
        <v>#N/A</v>
      </c>
    </row>
    <row r="266" spans="18:31" x14ac:dyDescent="0.3">
      <c r="R266" s="85" t="e">
        <f ca="1"/>
        <v>#N/A</v>
      </c>
      <c r="S266" s="57" t="e">
        <f t="shared" ca="1" si="49"/>
        <v>#N/A</v>
      </c>
      <c r="T266" s="57" t="e">
        <f t="shared" ca="1" si="43"/>
        <v>#N/A</v>
      </c>
      <c r="U266" s="57" t="e">
        <f t="shared" ca="1" si="44"/>
        <v>#N/A</v>
      </c>
      <c r="V266" s="57" t="e">
        <f t="shared" ca="1" si="45"/>
        <v>#N/A</v>
      </c>
      <c r="W266" t="e">
        <f t="shared" ca="1" si="46"/>
        <v>#N/A</v>
      </c>
      <c r="X266" t="e">
        <f t="shared" ca="1" si="50"/>
        <v>#N/A</v>
      </c>
      <c r="Y266" t="e">
        <f t="shared" ca="1" si="47"/>
        <v>#N/A</v>
      </c>
      <c r="Z266" t="e">
        <f t="shared" ca="1" si="48"/>
        <v>#N/A</v>
      </c>
      <c r="AA266" s="85" t="e">
        <f ca="1"/>
        <v>#N/A</v>
      </c>
      <c r="AB266" s="57" t="e">
        <f t="shared" ca="1" si="51"/>
        <v>#N/A</v>
      </c>
      <c r="AC266" s="57" t="e">
        <f t="shared" ca="1" si="52"/>
        <v>#N/A</v>
      </c>
      <c r="AD266" s="57" t="e">
        <f t="shared" ca="1" si="53"/>
        <v>#N/A</v>
      </c>
      <c r="AE266" s="57" t="e">
        <f t="shared" ca="1" si="54"/>
        <v>#N/A</v>
      </c>
    </row>
    <row r="267" spans="18:31" x14ac:dyDescent="0.3">
      <c r="R267" s="85" t="e">
        <f ca="1"/>
        <v>#N/A</v>
      </c>
      <c r="S267" s="57" t="e">
        <f t="shared" ca="1" si="49"/>
        <v>#N/A</v>
      </c>
      <c r="T267" s="57" t="e">
        <f t="shared" ca="1" si="43"/>
        <v>#N/A</v>
      </c>
      <c r="U267" s="57" t="e">
        <f t="shared" ca="1" si="44"/>
        <v>#N/A</v>
      </c>
      <c r="V267" s="57" t="e">
        <f t="shared" ca="1" si="45"/>
        <v>#N/A</v>
      </c>
      <c r="W267" t="e">
        <f t="shared" ca="1" si="46"/>
        <v>#N/A</v>
      </c>
      <c r="X267" t="e">
        <f t="shared" ca="1" si="50"/>
        <v>#N/A</v>
      </c>
      <c r="Y267" t="e">
        <f t="shared" ca="1" si="47"/>
        <v>#N/A</v>
      </c>
      <c r="Z267" t="e">
        <f t="shared" ca="1" si="48"/>
        <v>#N/A</v>
      </c>
      <c r="AA267" s="85" t="e">
        <f ca="1"/>
        <v>#N/A</v>
      </c>
      <c r="AB267" s="57" t="e">
        <f t="shared" ca="1" si="51"/>
        <v>#N/A</v>
      </c>
      <c r="AC267" s="57" t="e">
        <f t="shared" ca="1" si="52"/>
        <v>#N/A</v>
      </c>
      <c r="AD267" s="57" t="e">
        <f t="shared" ca="1" si="53"/>
        <v>#N/A</v>
      </c>
      <c r="AE267" s="57" t="e">
        <f t="shared" ca="1" si="54"/>
        <v>#N/A</v>
      </c>
    </row>
    <row r="268" spans="18:31" x14ac:dyDescent="0.3">
      <c r="R268" s="85" t="e">
        <f ca="1"/>
        <v>#N/A</v>
      </c>
      <c r="S268" s="57" t="e">
        <f t="shared" ca="1" si="49"/>
        <v>#N/A</v>
      </c>
      <c r="T268" s="57" t="e">
        <f t="shared" ca="1" si="43"/>
        <v>#N/A</v>
      </c>
      <c r="U268" s="57" t="e">
        <f t="shared" ca="1" si="44"/>
        <v>#N/A</v>
      </c>
      <c r="V268" s="57" t="e">
        <f t="shared" ca="1" si="45"/>
        <v>#N/A</v>
      </c>
      <c r="W268" t="e">
        <f t="shared" ca="1" si="46"/>
        <v>#N/A</v>
      </c>
      <c r="X268" t="e">
        <f t="shared" ca="1" si="50"/>
        <v>#N/A</v>
      </c>
      <c r="Y268" t="e">
        <f t="shared" ca="1" si="47"/>
        <v>#N/A</v>
      </c>
      <c r="Z268" t="e">
        <f t="shared" ca="1" si="48"/>
        <v>#N/A</v>
      </c>
      <c r="AA268" s="85" t="e">
        <f ca="1"/>
        <v>#N/A</v>
      </c>
      <c r="AB268" s="57" t="e">
        <f t="shared" ca="1" si="51"/>
        <v>#N/A</v>
      </c>
      <c r="AC268" s="57" t="e">
        <f t="shared" ca="1" si="52"/>
        <v>#N/A</v>
      </c>
      <c r="AD268" s="57" t="e">
        <f t="shared" ca="1" si="53"/>
        <v>#N/A</v>
      </c>
      <c r="AE268" s="57" t="e">
        <f t="shared" ca="1" si="54"/>
        <v>#N/A</v>
      </c>
    </row>
    <row r="269" spans="18:31" x14ac:dyDescent="0.3">
      <c r="R269" s="85" t="e">
        <f ca="1"/>
        <v>#N/A</v>
      </c>
      <c r="S269" s="57" t="e">
        <f t="shared" ca="1" si="49"/>
        <v>#N/A</v>
      </c>
      <c r="T269" s="57" t="e">
        <f t="shared" ca="1" si="43"/>
        <v>#N/A</v>
      </c>
      <c r="U269" s="57" t="e">
        <f t="shared" ca="1" si="44"/>
        <v>#N/A</v>
      </c>
      <c r="V269" s="57" t="e">
        <f t="shared" ca="1" si="45"/>
        <v>#N/A</v>
      </c>
      <c r="W269" t="e">
        <f t="shared" ca="1" si="46"/>
        <v>#N/A</v>
      </c>
      <c r="X269" t="e">
        <f t="shared" ca="1" si="50"/>
        <v>#N/A</v>
      </c>
      <c r="Y269" t="e">
        <f t="shared" ca="1" si="47"/>
        <v>#N/A</v>
      </c>
      <c r="Z269" t="e">
        <f t="shared" ca="1" si="48"/>
        <v>#N/A</v>
      </c>
      <c r="AA269" s="85" t="e">
        <f ca="1"/>
        <v>#N/A</v>
      </c>
      <c r="AB269" s="57" t="e">
        <f t="shared" ca="1" si="51"/>
        <v>#N/A</v>
      </c>
      <c r="AC269" s="57" t="e">
        <f t="shared" ca="1" si="52"/>
        <v>#N/A</v>
      </c>
      <c r="AD269" s="57" t="e">
        <f t="shared" ca="1" si="53"/>
        <v>#N/A</v>
      </c>
      <c r="AE269" s="57" t="e">
        <f t="shared" ca="1" si="54"/>
        <v>#N/A</v>
      </c>
    </row>
    <row r="270" spans="18:31" x14ac:dyDescent="0.3">
      <c r="R270" s="85" t="e">
        <f ca="1"/>
        <v>#N/A</v>
      </c>
      <c r="S270" s="57" t="e">
        <f t="shared" ca="1" si="49"/>
        <v>#N/A</v>
      </c>
      <c r="T270" s="57" t="e">
        <f t="shared" ca="1" si="43"/>
        <v>#N/A</v>
      </c>
      <c r="U270" s="57" t="e">
        <f t="shared" ca="1" si="44"/>
        <v>#N/A</v>
      </c>
      <c r="V270" s="57" t="e">
        <f t="shared" ca="1" si="45"/>
        <v>#N/A</v>
      </c>
      <c r="W270" t="e">
        <f t="shared" ca="1" si="46"/>
        <v>#N/A</v>
      </c>
      <c r="X270" t="e">
        <f t="shared" ca="1" si="50"/>
        <v>#N/A</v>
      </c>
      <c r="Y270" t="e">
        <f t="shared" ca="1" si="47"/>
        <v>#N/A</v>
      </c>
      <c r="Z270" t="e">
        <f t="shared" ca="1" si="48"/>
        <v>#N/A</v>
      </c>
      <c r="AA270" s="85" t="e">
        <f ca="1"/>
        <v>#N/A</v>
      </c>
      <c r="AB270" s="57" t="e">
        <f t="shared" ca="1" si="51"/>
        <v>#N/A</v>
      </c>
      <c r="AC270" s="57" t="e">
        <f t="shared" ca="1" si="52"/>
        <v>#N/A</v>
      </c>
      <c r="AD270" s="57" t="e">
        <f t="shared" ca="1" si="53"/>
        <v>#N/A</v>
      </c>
      <c r="AE270" s="57" t="e">
        <f t="shared" ca="1" si="54"/>
        <v>#N/A</v>
      </c>
    </row>
    <row r="271" spans="18:31" x14ac:dyDescent="0.3">
      <c r="R271" s="85" t="e">
        <f ca="1"/>
        <v>#N/A</v>
      </c>
      <c r="S271" s="57" t="e">
        <f t="shared" ca="1" si="49"/>
        <v>#N/A</v>
      </c>
      <c r="T271" s="57" t="e">
        <f t="shared" ca="1" si="43"/>
        <v>#N/A</v>
      </c>
      <c r="U271" s="57" t="e">
        <f t="shared" ca="1" si="44"/>
        <v>#N/A</v>
      </c>
      <c r="V271" s="57" t="e">
        <f t="shared" ca="1" si="45"/>
        <v>#N/A</v>
      </c>
      <c r="W271" t="e">
        <f t="shared" ca="1" si="46"/>
        <v>#N/A</v>
      </c>
      <c r="X271" t="e">
        <f t="shared" ca="1" si="50"/>
        <v>#N/A</v>
      </c>
      <c r="Y271" t="e">
        <f t="shared" ca="1" si="47"/>
        <v>#N/A</v>
      </c>
      <c r="Z271" t="e">
        <f t="shared" ca="1" si="48"/>
        <v>#N/A</v>
      </c>
      <c r="AA271" s="85" t="e">
        <f ca="1"/>
        <v>#N/A</v>
      </c>
      <c r="AB271" s="57" t="e">
        <f t="shared" ca="1" si="51"/>
        <v>#N/A</v>
      </c>
      <c r="AC271" s="57" t="e">
        <f t="shared" ca="1" si="52"/>
        <v>#N/A</v>
      </c>
      <c r="AD271" s="57" t="e">
        <f t="shared" ca="1" si="53"/>
        <v>#N/A</v>
      </c>
      <c r="AE271" s="57" t="e">
        <f t="shared" ca="1" si="54"/>
        <v>#N/A</v>
      </c>
    </row>
    <row r="272" spans="18:31" x14ac:dyDescent="0.3">
      <c r="R272" s="85" t="e">
        <f ca="1"/>
        <v>#N/A</v>
      </c>
      <c r="S272" s="57" t="e">
        <f t="shared" ca="1" si="49"/>
        <v>#N/A</v>
      </c>
      <c r="T272" s="57" t="e">
        <f t="shared" ca="1" si="43"/>
        <v>#N/A</v>
      </c>
      <c r="U272" s="57" t="e">
        <f t="shared" ca="1" si="44"/>
        <v>#N/A</v>
      </c>
      <c r="V272" s="57" t="e">
        <f t="shared" ca="1" si="45"/>
        <v>#N/A</v>
      </c>
      <c r="W272" t="e">
        <f t="shared" ca="1" si="46"/>
        <v>#N/A</v>
      </c>
      <c r="X272" t="e">
        <f t="shared" ca="1" si="50"/>
        <v>#N/A</v>
      </c>
      <c r="Y272" t="e">
        <f t="shared" ca="1" si="47"/>
        <v>#N/A</v>
      </c>
      <c r="Z272" t="e">
        <f t="shared" ca="1" si="48"/>
        <v>#N/A</v>
      </c>
      <c r="AA272" s="85" t="e">
        <f ca="1"/>
        <v>#N/A</v>
      </c>
      <c r="AB272" s="57" t="e">
        <f t="shared" ca="1" si="51"/>
        <v>#N/A</v>
      </c>
      <c r="AC272" s="57" t="e">
        <f t="shared" ca="1" si="52"/>
        <v>#N/A</v>
      </c>
      <c r="AD272" s="57" t="e">
        <f t="shared" ca="1" si="53"/>
        <v>#N/A</v>
      </c>
      <c r="AE272" s="57" t="e">
        <f t="shared" ca="1" si="54"/>
        <v>#N/A</v>
      </c>
    </row>
    <row r="273" spans="18:31" x14ac:dyDescent="0.3">
      <c r="R273" s="85" t="e">
        <f ca="1"/>
        <v>#N/A</v>
      </c>
      <c r="S273" s="57" t="e">
        <f t="shared" ca="1" si="49"/>
        <v>#N/A</v>
      </c>
      <c r="T273" s="57" t="e">
        <f t="shared" ca="1" si="43"/>
        <v>#N/A</v>
      </c>
      <c r="U273" s="57" t="e">
        <f t="shared" ca="1" si="44"/>
        <v>#N/A</v>
      </c>
      <c r="V273" s="57" t="e">
        <f t="shared" ca="1" si="45"/>
        <v>#N/A</v>
      </c>
      <c r="W273" t="e">
        <f t="shared" ca="1" si="46"/>
        <v>#N/A</v>
      </c>
      <c r="X273" t="e">
        <f t="shared" ca="1" si="50"/>
        <v>#N/A</v>
      </c>
      <c r="Y273" t="e">
        <f t="shared" ca="1" si="47"/>
        <v>#N/A</v>
      </c>
      <c r="Z273" t="e">
        <f t="shared" ca="1" si="48"/>
        <v>#N/A</v>
      </c>
      <c r="AA273" s="85" t="e">
        <f ca="1"/>
        <v>#N/A</v>
      </c>
      <c r="AB273" s="57" t="e">
        <f t="shared" ca="1" si="51"/>
        <v>#N/A</v>
      </c>
      <c r="AC273" s="57" t="e">
        <f t="shared" ca="1" si="52"/>
        <v>#N/A</v>
      </c>
      <c r="AD273" s="57" t="e">
        <f t="shared" ca="1" si="53"/>
        <v>#N/A</v>
      </c>
      <c r="AE273" s="57" t="e">
        <f t="shared" ca="1" si="54"/>
        <v>#N/A</v>
      </c>
    </row>
    <row r="274" spans="18:31" x14ac:dyDescent="0.3">
      <c r="R274" s="85" t="e">
        <f ca="1"/>
        <v>#N/A</v>
      </c>
      <c r="S274" s="57" t="e">
        <f t="shared" ca="1" si="49"/>
        <v>#N/A</v>
      </c>
      <c r="T274" s="57" t="e">
        <f t="shared" ref="T274:T337" ca="1" si="55">VLOOKUP(S274,ModelOutputs,2,FALSE)</f>
        <v>#N/A</v>
      </c>
      <c r="U274" s="57" t="e">
        <f t="shared" ref="U274:U337" ca="1" si="56">VLOOKUP(S274,ModelOutputs,7,FALSE)</f>
        <v>#N/A</v>
      </c>
      <c r="V274" s="57" t="e">
        <f t="shared" ref="V274:V337" ca="1" si="57">VLOOKUP(S274,ModelOutputs,6,FALSE)</f>
        <v>#N/A</v>
      </c>
      <c r="W274" t="e">
        <f t="shared" ref="W274:W337" ca="1" si="58">VLOOKUP(S274,ModelOutputs,10,FALSE)*AWC</f>
        <v>#N/A</v>
      </c>
      <c r="X274" t="e">
        <f t="shared" ca="1" si="50"/>
        <v>#N/A</v>
      </c>
      <c r="Y274" t="e">
        <f t="shared" ref="Y274:Y337" ca="1" si="59">VLOOKUP(S274,ModelOutputs,12,FALSE)</f>
        <v>#N/A</v>
      </c>
      <c r="Z274" t="e">
        <f t="shared" ref="Z274:Z337" ca="1" si="60">VLOOKUP(S274,ModelOutputs,13,FALSE)</f>
        <v>#N/A</v>
      </c>
      <c r="AA274" s="85" t="e">
        <f ca="1"/>
        <v>#N/A</v>
      </c>
      <c r="AB274" s="57" t="e">
        <f t="shared" ca="1" si="51"/>
        <v>#N/A</v>
      </c>
      <c r="AC274" s="57" t="e">
        <f t="shared" ca="1" si="52"/>
        <v>#N/A</v>
      </c>
      <c r="AD274" s="57" t="e">
        <f t="shared" ca="1" si="53"/>
        <v>#N/A</v>
      </c>
      <c r="AE274" s="57" t="e">
        <f t="shared" ca="1" si="54"/>
        <v>#N/A</v>
      </c>
    </row>
    <row r="275" spans="18:31" x14ac:dyDescent="0.3">
      <c r="R275" s="85" t="e">
        <f ca="1"/>
        <v>#N/A</v>
      </c>
      <c r="S275" s="57" t="e">
        <f t="shared" ref="S275:S338" ca="1" si="61">IF(R275&gt;1,R275,"")</f>
        <v>#N/A</v>
      </c>
      <c r="T275" s="57" t="e">
        <f t="shared" ca="1" si="55"/>
        <v>#N/A</v>
      </c>
      <c r="U275" s="57" t="e">
        <f t="shared" ca="1" si="56"/>
        <v>#N/A</v>
      </c>
      <c r="V275" s="57" t="e">
        <f t="shared" ca="1" si="57"/>
        <v>#N/A</v>
      </c>
      <c r="W275" t="e">
        <f t="shared" ca="1" si="58"/>
        <v>#N/A</v>
      </c>
      <c r="X275" t="e">
        <f t="shared" ref="X275:X338" ca="1" si="62">VLOOKUP(S275,ModelOutputs,11,FALSE)+X274</f>
        <v>#N/A</v>
      </c>
      <c r="Y275" t="e">
        <f t="shared" ca="1" si="59"/>
        <v>#N/A</v>
      </c>
      <c r="Z275" t="e">
        <f t="shared" ca="1" si="60"/>
        <v>#N/A</v>
      </c>
      <c r="AA275" s="85" t="e">
        <f ca="1"/>
        <v>#N/A</v>
      </c>
      <c r="AB275" s="57" t="e">
        <f t="shared" ca="1" si="51"/>
        <v>#N/A</v>
      </c>
      <c r="AC275" s="57" t="e">
        <f t="shared" ca="1" si="52"/>
        <v>#N/A</v>
      </c>
      <c r="AD275" s="57" t="e">
        <f t="shared" ca="1" si="53"/>
        <v>#N/A</v>
      </c>
      <c r="AE275" s="57" t="e">
        <f t="shared" ca="1" si="54"/>
        <v>#N/A</v>
      </c>
    </row>
    <row r="276" spans="18:31" x14ac:dyDescent="0.3">
      <c r="R276" s="85" t="e">
        <f ca="1"/>
        <v>#N/A</v>
      </c>
      <c r="S276" s="57" t="e">
        <f t="shared" ca="1" si="61"/>
        <v>#N/A</v>
      </c>
      <c r="T276" s="57" t="e">
        <f t="shared" ca="1" si="55"/>
        <v>#N/A</v>
      </c>
      <c r="U276" s="57" t="e">
        <f t="shared" ca="1" si="56"/>
        <v>#N/A</v>
      </c>
      <c r="V276" s="57" t="e">
        <f t="shared" ca="1" si="57"/>
        <v>#N/A</v>
      </c>
      <c r="W276" t="e">
        <f t="shared" ca="1" si="58"/>
        <v>#N/A</v>
      </c>
      <c r="X276" t="e">
        <f t="shared" ca="1" si="62"/>
        <v>#N/A</v>
      </c>
      <c r="Y276" t="e">
        <f t="shared" ca="1" si="59"/>
        <v>#N/A</v>
      </c>
      <c r="Z276" t="e">
        <f t="shared" ca="1" si="60"/>
        <v>#N/A</v>
      </c>
      <c r="AA276" s="85" t="e">
        <f ca="1"/>
        <v>#N/A</v>
      </c>
      <c r="AB276" s="57" t="e">
        <f t="shared" ca="1" si="51"/>
        <v>#N/A</v>
      </c>
      <c r="AC276" s="57" t="e">
        <f t="shared" ca="1" si="52"/>
        <v>#N/A</v>
      </c>
      <c r="AD276" s="57" t="e">
        <f t="shared" ca="1" si="53"/>
        <v>#N/A</v>
      </c>
      <c r="AE276" s="57" t="e">
        <f t="shared" ca="1" si="54"/>
        <v>#N/A</v>
      </c>
    </row>
    <row r="277" spans="18:31" x14ac:dyDescent="0.3">
      <c r="R277" s="85" t="e">
        <f ca="1"/>
        <v>#N/A</v>
      </c>
      <c r="S277" s="57" t="e">
        <f t="shared" ca="1" si="61"/>
        <v>#N/A</v>
      </c>
      <c r="T277" s="57" t="e">
        <f t="shared" ca="1" si="55"/>
        <v>#N/A</v>
      </c>
      <c r="U277" s="57" t="e">
        <f t="shared" ca="1" si="56"/>
        <v>#N/A</v>
      </c>
      <c r="V277" s="57" t="e">
        <f t="shared" ca="1" si="57"/>
        <v>#N/A</v>
      </c>
      <c r="W277" t="e">
        <f t="shared" ca="1" si="58"/>
        <v>#N/A</v>
      </c>
      <c r="X277" t="e">
        <f t="shared" ca="1" si="62"/>
        <v>#N/A</v>
      </c>
      <c r="Y277" t="e">
        <f t="shared" ca="1" si="59"/>
        <v>#N/A</v>
      </c>
      <c r="Z277" t="e">
        <f t="shared" ca="1" si="60"/>
        <v>#N/A</v>
      </c>
      <c r="AA277" s="85" t="e">
        <f ca="1"/>
        <v>#N/A</v>
      </c>
      <c r="AB277" s="57" t="e">
        <f t="shared" ref="AB277:AB340" ca="1" si="63">IF(AA277&gt;1,AA277,"")</f>
        <v>#N/A</v>
      </c>
      <c r="AC277" s="57" t="e">
        <f t="shared" ref="AC277:AC340" ca="1" si="64">VLOOKUP(AB277,ModelOutputs,2,FALSE)</f>
        <v>#N/A</v>
      </c>
      <c r="AD277" s="57" t="e">
        <f t="shared" ref="AD277:AD340" ca="1" si="65">VLOOKUP(AB277,ModelOutputs,7,FALSE)</f>
        <v>#N/A</v>
      </c>
      <c r="AE277" s="57" t="e">
        <f t="shared" ref="AE277:AE340" ca="1" si="66">VLOOKUP(AB277,ModelOutputs,6,FALSE)</f>
        <v>#N/A</v>
      </c>
    </row>
    <row r="278" spans="18:31" x14ac:dyDescent="0.3">
      <c r="R278" s="85" t="e">
        <f ca="1"/>
        <v>#N/A</v>
      </c>
      <c r="S278" s="57" t="e">
        <f t="shared" ca="1" si="61"/>
        <v>#N/A</v>
      </c>
      <c r="T278" s="57" t="e">
        <f t="shared" ca="1" si="55"/>
        <v>#N/A</v>
      </c>
      <c r="U278" s="57" t="e">
        <f t="shared" ca="1" si="56"/>
        <v>#N/A</v>
      </c>
      <c r="V278" s="57" t="e">
        <f t="shared" ca="1" si="57"/>
        <v>#N/A</v>
      </c>
      <c r="W278" t="e">
        <f t="shared" ca="1" si="58"/>
        <v>#N/A</v>
      </c>
      <c r="X278" t="e">
        <f t="shared" ca="1" si="62"/>
        <v>#N/A</v>
      </c>
      <c r="Y278" t="e">
        <f t="shared" ca="1" si="59"/>
        <v>#N/A</v>
      </c>
      <c r="Z278" t="e">
        <f t="shared" ca="1" si="60"/>
        <v>#N/A</v>
      </c>
      <c r="AA278" s="85" t="e">
        <f ca="1"/>
        <v>#N/A</v>
      </c>
      <c r="AB278" s="57" t="e">
        <f t="shared" ca="1" si="63"/>
        <v>#N/A</v>
      </c>
      <c r="AC278" s="57" t="e">
        <f t="shared" ca="1" si="64"/>
        <v>#N/A</v>
      </c>
      <c r="AD278" s="57" t="e">
        <f t="shared" ca="1" si="65"/>
        <v>#N/A</v>
      </c>
      <c r="AE278" s="57" t="e">
        <f t="shared" ca="1" si="66"/>
        <v>#N/A</v>
      </c>
    </row>
    <row r="279" spans="18:31" x14ac:dyDescent="0.3">
      <c r="R279" s="85" t="e">
        <f ca="1"/>
        <v>#N/A</v>
      </c>
      <c r="S279" s="57" t="e">
        <f t="shared" ca="1" si="61"/>
        <v>#N/A</v>
      </c>
      <c r="T279" s="57" t="e">
        <f t="shared" ca="1" si="55"/>
        <v>#N/A</v>
      </c>
      <c r="U279" s="57" t="e">
        <f t="shared" ca="1" si="56"/>
        <v>#N/A</v>
      </c>
      <c r="V279" s="57" t="e">
        <f t="shared" ca="1" si="57"/>
        <v>#N/A</v>
      </c>
      <c r="W279" t="e">
        <f t="shared" ca="1" si="58"/>
        <v>#N/A</v>
      </c>
      <c r="X279" t="e">
        <f t="shared" ca="1" si="62"/>
        <v>#N/A</v>
      </c>
      <c r="Y279" t="e">
        <f t="shared" ca="1" si="59"/>
        <v>#N/A</v>
      </c>
      <c r="Z279" t="e">
        <f t="shared" ca="1" si="60"/>
        <v>#N/A</v>
      </c>
      <c r="AA279" s="85" t="e">
        <f ca="1"/>
        <v>#N/A</v>
      </c>
      <c r="AB279" s="57" t="e">
        <f t="shared" ca="1" si="63"/>
        <v>#N/A</v>
      </c>
      <c r="AC279" s="57" t="e">
        <f t="shared" ca="1" si="64"/>
        <v>#N/A</v>
      </c>
      <c r="AD279" s="57" t="e">
        <f t="shared" ca="1" si="65"/>
        <v>#N/A</v>
      </c>
      <c r="AE279" s="57" t="e">
        <f t="shared" ca="1" si="66"/>
        <v>#N/A</v>
      </c>
    </row>
    <row r="280" spans="18:31" x14ac:dyDescent="0.3">
      <c r="R280" s="85" t="e">
        <f ca="1"/>
        <v>#N/A</v>
      </c>
      <c r="S280" s="57" t="e">
        <f t="shared" ca="1" si="61"/>
        <v>#N/A</v>
      </c>
      <c r="T280" s="57" t="e">
        <f t="shared" ca="1" si="55"/>
        <v>#N/A</v>
      </c>
      <c r="U280" s="57" t="e">
        <f t="shared" ca="1" si="56"/>
        <v>#N/A</v>
      </c>
      <c r="V280" s="57" t="e">
        <f t="shared" ca="1" si="57"/>
        <v>#N/A</v>
      </c>
      <c r="W280" t="e">
        <f t="shared" ca="1" si="58"/>
        <v>#N/A</v>
      </c>
      <c r="X280" t="e">
        <f t="shared" ca="1" si="62"/>
        <v>#N/A</v>
      </c>
      <c r="Y280" t="e">
        <f t="shared" ca="1" si="59"/>
        <v>#N/A</v>
      </c>
      <c r="Z280" t="e">
        <f t="shared" ca="1" si="60"/>
        <v>#N/A</v>
      </c>
      <c r="AA280" s="85" t="e">
        <f ca="1"/>
        <v>#N/A</v>
      </c>
      <c r="AB280" s="57" t="e">
        <f t="shared" ca="1" si="63"/>
        <v>#N/A</v>
      </c>
      <c r="AC280" s="57" t="e">
        <f t="shared" ca="1" si="64"/>
        <v>#N/A</v>
      </c>
      <c r="AD280" s="57" t="e">
        <f t="shared" ca="1" si="65"/>
        <v>#N/A</v>
      </c>
      <c r="AE280" s="57" t="e">
        <f t="shared" ca="1" si="66"/>
        <v>#N/A</v>
      </c>
    </row>
    <row r="281" spans="18:31" x14ac:dyDescent="0.3">
      <c r="R281" s="85" t="e">
        <f ca="1"/>
        <v>#N/A</v>
      </c>
      <c r="S281" s="57" t="e">
        <f t="shared" ca="1" si="61"/>
        <v>#N/A</v>
      </c>
      <c r="T281" s="57" t="e">
        <f t="shared" ca="1" si="55"/>
        <v>#N/A</v>
      </c>
      <c r="U281" s="57" t="e">
        <f t="shared" ca="1" si="56"/>
        <v>#N/A</v>
      </c>
      <c r="V281" s="57" t="e">
        <f t="shared" ca="1" si="57"/>
        <v>#N/A</v>
      </c>
      <c r="W281" t="e">
        <f t="shared" ca="1" si="58"/>
        <v>#N/A</v>
      </c>
      <c r="X281" t="e">
        <f t="shared" ca="1" si="62"/>
        <v>#N/A</v>
      </c>
      <c r="Y281" t="e">
        <f t="shared" ca="1" si="59"/>
        <v>#N/A</v>
      </c>
      <c r="Z281" t="e">
        <f t="shared" ca="1" si="60"/>
        <v>#N/A</v>
      </c>
      <c r="AA281" s="85" t="e">
        <f ca="1"/>
        <v>#N/A</v>
      </c>
      <c r="AB281" s="57" t="e">
        <f t="shared" ca="1" si="63"/>
        <v>#N/A</v>
      </c>
      <c r="AC281" s="57" t="e">
        <f t="shared" ca="1" si="64"/>
        <v>#N/A</v>
      </c>
      <c r="AD281" s="57" t="e">
        <f t="shared" ca="1" si="65"/>
        <v>#N/A</v>
      </c>
      <c r="AE281" s="57" t="e">
        <f t="shared" ca="1" si="66"/>
        <v>#N/A</v>
      </c>
    </row>
    <row r="282" spans="18:31" x14ac:dyDescent="0.3">
      <c r="R282" s="85" t="e">
        <f ca="1"/>
        <v>#N/A</v>
      </c>
      <c r="S282" s="57" t="e">
        <f t="shared" ca="1" si="61"/>
        <v>#N/A</v>
      </c>
      <c r="T282" s="57" t="e">
        <f t="shared" ca="1" si="55"/>
        <v>#N/A</v>
      </c>
      <c r="U282" s="57" t="e">
        <f t="shared" ca="1" si="56"/>
        <v>#N/A</v>
      </c>
      <c r="V282" s="57" t="e">
        <f t="shared" ca="1" si="57"/>
        <v>#N/A</v>
      </c>
      <c r="W282" t="e">
        <f t="shared" ca="1" si="58"/>
        <v>#N/A</v>
      </c>
      <c r="X282" t="e">
        <f t="shared" ca="1" si="62"/>
        <v>#N/A</v>
      </c>
      <c r="Y282" t="e">
        <f t="shared" ca="1" si="59"/>
        <v>#N/A</v>
      </c>
      <c r="Z282" t="e">
        <f t="shared" ca="1" si="60"/>
        <v>#N/A</v>
      </c>
      <c r="AA282" s="85" t="e">
        <f ca="1"/>
        <v>#N/A</v>
      </c>
      <c r="AB282" s="57" t="e">
        <f t="shared" ca="1" si="63"/>
        <v>#N/A</v>
      </c>
      <c r="AC282" s="57" t="e">
        <f t="shared" ca="1" si="64"/>
        <v>#N/A</v>
      </c>
      <c r="AD282" s="57" t="e">
        <f t="shared" ca="1" si="65"/>
        <v>#N/A</v>
      </c>
      <c r="AE282" s="57" t="e">
        <f t="shared" ca="1" si="66"/>
        <v>#N/A</v>
      </c>
    </row>
    <row r="283" spans="18:31" x14ac:dyDescent="0.3">
      <c r="R283" s="85" t="e">
        <f ca="1"/>
        <v>#N/A</v>
      </c>
      <c r="S283" s="57" t="e">
        <f t="shared" ca="1" si="61"/>
        <v>#N/A</v>
      </c>
      <c r="T283" s="57" t="e">
        <f t="shared" ca="1" si="55"/>
        <v>#N/A</v>
      </c>
      <c r="U283" s="57" t="e">
        <f t="shared" ca="1" si="56"/>
        <v>#N/A</v>
      </c>
      <c r="V283" s="57" t="e">
        <f t="shared" ca="1" si="57"/>
        <v>#N/A</v>
      </c>
      <c r="W283" t="e">
        <f t="shared" ca="1" si="58"/>
        <v>#N/A</v>
      </c>
      <c r="X283" t="e">
        <f t="shared" ca="1" si="62"/>
        <v>#N/A</v>
      </c>
      <c r="Y283" t="e">
        <f t="shared" ca="1" si="59"/>
        <v>#N/A</v>
      </c>
      <c r="Z283" t="e">
        <f t="shared" ca="1" si="60"/>
        <v>#N/A</v>
      </c>
      <c r="AA283" s="85" t="e">
        <f ca="1"/>
        <v>#N/A</v>
      </c>
      <c r="AB283" s="57" t="e">
        <f t="shared" ca="1" si="63"/>
        <v>#N/A</v>
      </c>
      <c r="AC283" s="57" t="e">
        <f t="shared" ca="1" si="64"/>
        <v>#N/A</v>
      </c>
      <c r="AD283" s="57" t="e">
        <f t="shared" ca="1" si="65"/>
        <v>#N/A</v>
      </c>
      <c r="AE283" s="57" t="e">
        <f t="shared" ca="1" si="66"/>
        <v>#N/A</v>
      </c>
    </row>
    <row r="284" spans="18:31" x14ac:dyDescent="0.3">
      <c r="R284" s="85" t="e">
        <f ca="1"/>
        <v>#N/A</v>
      </c>
      <c r="S284" s="57" t="e">
        <f t="shared" ca="1" si="61"/>
        <v>#N/A</v>
      </c>
      <c r="T284" s="57" t="e">
        <f t="shared" ca="1" si="55"/>
        <v>#N/A</v>
      </c>
      <c r="U284" s="57" t="e">
        <f t="shared" ca="1" si="56"/>
        <v>#N/A</v>
      </c>
      <c r="V284" s="57" t="e">
        <f t="shared" ca="1" si="57"/>
        <v>#N/A</v>
      </c>
      <c r="W284" t="e">
        <f t="shared" ca="1" si="58"/>
        <v>#N/A</v>
      </c>
      <c r="X284" t="e">
        <f t="shared" ca="1" si="62"/>
        <v>#N/A</v>
      </c>
      <c r="Y284" t="e">
        <f t="shared" ca="1" si="59"/>
        <v>#N/A</v>
      </c>
      <c r="Z284" t="e">
        <f t="shared" ca="1" si="60"/>
        <v>#N/A</v>
      </c>
      <c r="AA284" s="85" t="e">
        <f ca="1"/>
        <v>#N/A</v>
      </c>
      <c r="AB284" s="57" t="e">
        <f t="shared" ca="1" si="63"/>
        <v>#N/A</v>
      </c>
      <c r="AC284" s="57" t="e">
        <f t="shared" ca="1" si="64"/>
        <v>#N/A</v>
      </c>
      <c r="AD284" s="57" t="e">
        <f t="shared" ca="1" si="65"/>
        <v>#N/A</v>
      </c>
      <c r="AE284" s="57" t="e">
        <f t="shared" ca="1" si="66"/>
        <v>#N/A</v>
      </c>
    </row>
    <row r="285" spans="18:31" x14ac:dyDescent="0.3">
      <c r="R285" s="85" t="e">
        <f ca="1"/>
        <v>#N/A</v>
      </c>
      <c r="S285" s="57" t="e">
        <f t="shared" ca="1" si="61"/>
        <v>#N/A</v>
      </c>
      <c r="T285" s="57" t="e">
        <f t="shared" ca="1" si="55"/>
        <v>#N/A</v>
      </c>
      <c r="U285" s="57" t="e">
        <f t="shared" ca="1" si="56"/>
        <v>#N/A</v>
      </c>
      <c r="V285" s="57" t="e">
        <f t="shared" ca="1" si="57"/>
        <v>#N/A</v>
      </c>
      <c r="W285" t="e">
        <f t="shared" ca="1" si="58"/>
        <v>#N/A</v>
      </c>
      <c r="X285" t="e">
        <f t="shared" ca="1" si="62"/>
        <v>#N/A</v>
      </c>
      <c r="Y285" t="e">
        <f t="shared" ca="1" si="59"/>
        <v>#N/A</v>
      </c>
      <c r="Z285" t="e">
        <f t="shared" ca="1" si="60"/>
        <v>#N/A</v>
      </c>
      <c r="AA285" s="85" t="e">
        <f ca="1"/>
        <v>#N/A</v>
      </c>
      <c r="AB285" s="57" t="e">
        <f t="shared" ca="1" si="63"/>
        <v>#N/A</v>
      </c>
      <c r="AC285" s="57" t="e">
        <f t="shared" ca="1" si="64"/>
        <v>#N/A</v>
      </c>
      <c r="AD285" s="57" t="e">
        <f t="shared" ca="1" si="65"/>
        <v>#N/A</v>
      </c>
      <c r="AE285" s="57" t="e">
        <f t="shared" ca="1" si="66"/>
        <v>#N/A</v>
      </c>
    </row>
    <row r="286" spans="18:31" x14ac:dyDescent="0.3">
      <c r="R286" s="85" t="e">
        <f ca="1"/>
        <v>#N/A</v>
      </c>
      <c r="S286" s="57" t="e">
        <f t="shared" ca="1" si="61"/>
        <v>#N/A</v>
      </c>
      <c r="T286" s="57" t="e">
        <f t="shared" ca="1" si="55"/>
        <v>#N/A</v>
      </c>
      <c r="U286" s="57" t="e">
        <f t="shared" ca="1" si="56"/>
        <v>#N/A</v>
      </c>
      <c r="V286" s="57" t="e">
        <f t="shared" ca="1" si="57"/>
        <v>#N/A</v>
      </c>
      <c r="W286" t="e">
        <f t="shared" ca="1" si="58"/>
        <v>#N/A</v>
      </c>
      <c r="X286" t="e">
        <f t="shared" ca="1" si="62"/>
        <v>#N/A</v>
      </c>
      <c r="Y286" t="e">
        <f t="shared" ca="1" si="59"/>
        <v>#N/A</v>
      </c>
      <c r="Z286" t="e">
        <f t="shared" ca="1" si="60"/>
        <v>#N/A</v>
      </c>
      <c r="AA286" s="85" t="e">
        <f ca="1"/>
        <v>#N/A</v>
      </c>
      <c r="AB286" s="57" t="e">
        <f t="shared" ca="1" si="63"/>
        <v>#N/A</v>
      </c>
      <c r="AC286" s="57" t="e">
        <f t="shared" ca="1" si="64"/>
        <v>#N/A</v>
      </c>
      <c r="AD286" s="57" t="e">
        <f t="shared" ca="1" si="65"/>
        <v>#N/A</v>
      </c>
      <c r="AE286" s="57" t="e">
        <f t="shared" ca="1" si="66"/>
        <v>#N/A</v>
      </c>
    </row>
    <row r="287" spans="18:31" x14ac:dyDescent="0.3">
      <c r="R287" s="85" t="e">
        <f ca="1"/>
        <v>#N/A</v>
      </c>
      <c r="S287" s="57" t="e">
        <f t="shared" ca="1" si="61"/>
        <v>#N/A</v>
      </c>
      <c r="T287" s="57" t="e">
        <f t="shared" ca="1" si="55"/>
        <v>#N/A</v>
      </c>
      <c r="U287" s="57" t="e">
        <f t="shared" ca="1" si="56"/>
        <v>#N/A</v>
      </c>
      <c r="V287" s="57" t="e">
        <f t="shared" ca="1" si="57"/>
        <v>#N/A</v>
      </c>
      <c r="W287" t="e">
        <f t="shared" ca="1" si="58"/>
        <v>#N/A</v>
      </c>
      <c r="X287" t="e">
        <f t="shared" ca="1" si="62"/>
        <v>#N/A</v>
      </c>
      <c r="Y287" t="e">
        <f t="shared" ca="1" si="59"/>
        <v>#N/A</v>
      </c>
      <c r="Z287" t="e">
        <f t="shared" ca="1" si="60"/>
        <v>#N/A</v>
      </c>
      <c r="AA287" s="85" t="e">
        <f ca="1"/>
        <v>#N/A</v>
      </c>
      <c r="AB287" s="57" t="e">
        <f t="shared" ca="1" si="63"/>
        <v>#N/A</v>
      </c>
      <c r="AC287" s="57" t="e">
        <f t="shared" ca="1" si="64"/>
        <v>#N/A</v>
      </c>
      <c r="AD287" s="57" t="e">
        <f t="shared" ca="1" si="65"/>
        <v>#N/A</v>
      </c>
      <c r="AE287" s="57" t="e">
        <f t="shared" ca="1" si="66"/>
        <v>#N/A</v>
      </c>
    </row>
    <row r="288" spans="18:31" x14ac:dyDescent="0.3">
      <c r="R288" s="85" t="e">
        <f ca="1"/>
        <v>#N/A</v>
      </c>
      <c r="S288" s="57" t="e">
        <f t="shared" ca="1" si="61"/>
        <v>#N/A</v>
      </c>
      <c r="T288" s="57" t="e">
        <f t="shared" ca="1" si="55"/>
        <v>#N/A</v>
      </c>
      <c r="U288" s="57" t="e">
        <f t="shared" ca="1" si="56"/>
        <v>#N/A</v>
      </c>
      <c r="V288" s="57" t="e">
        <f t="shared" ca="1" si="57"/>
        <v>#N/A</v>
      </c>
      <c r="W288" t="e">
        <f t="shared" ca="1" si="58"/>
        <v>#N/A</v>
      </c>
      <c r="X288" t="e">
        <f t="shared" ca="1" si="62"/>
        <v>#N/A</v>
      </c>
      <c r="Y288" t="e">
        <f t="shared" ca="1" si="59"/>
        <v>#N/A</v>
      </c>
      <c r="Z288" t="e">
        <f t="shared" ca="1" si="60"/>
        <v>#N/A</v>
      </c>
      <c r="AA288" s="85" t="e">
        <f ca="1"/>
        <v>#N/A</v>
      </c>
      <c r="AB288" s="57" t="e">
        <f t="shared" ca="1" si="63"/>
        <v>#N/A</v>
      </c>
      <c r="AC288" s="57" t="e">
        <f t="shared" ca="1" si="64"/>
        <v>#N/A</v>
      </c>
      <c r="AD288" s="57" t="e">
        <f t="shared" ca="1" si="65"/>
        <v>#N/A</v>
      </c>
      <c r="AE288" s="57" t="e">
        <f t="shared" ca="1" si="66"/>
        <v>#N/A</v>
      </c>
    </row>
    <row r="289" spans="18:31" x14ac:dyDescent="0.3">
      <c r="R289" s="85" t="e">
        <f ca="1"/>
        <v>#N/A</v>
      </c>
      <c r="S289" s="57" t="e">
        <f t="shared" ca="1" si="61"/>
        <v>#N/A</v>
      </c>
      <c r="T289" s="57" t="e">
        <f t="shared" ca="1" si="55"/>
        <v>#N/A</v>
      </c>
      <c r="U289" s="57" t="e">
        <f t="shared" ca="1" si="56"/>
        <v>#N/A</v>
      </c>
      <c r="V289" s="57" t="e">
        <f t="shared" ca="1" si="57"/>
        <v>#N/A</v>
      </c>
      <c r="W289" t="e">
        <f t="shared" ca="1" si="58"/>
        <v>#N/A</v>
      </c>
      <c r="X289" t="e">
        <f t="shared" ca="1" si="62"/>
        <v>#N/A</v>
      </c>
      <c r="Y289" t="e">
        <f t="shared" ca="1" si="59"/>
        <v>#N/A</v>
      </c>
      <c r="Z289" t="e">
        <f t="shared" ca="1" si="60"/>
        <v>#N/A</v>
      </c>
      <c r="AA289" s="85" t="e">
        <f ca="1"/>
        <v>#N/A</v>
      </c>
      <c r="AB289" s="57" t="e">
        <f t="shared" ca="1" si="63"/>
        <v>#N/A</v>
      </c>
      <c r="AC289" s="57" t="e">
        <f t="shared" ca="1" si="64"/>
        <v>#N/A</v>
      </c>
      <c r="AD289" s="57" t="e">
        <f t="shared" ca="1" si="65"/>
        <v>#N/A</v>
      </c>
      <c r="AE289" s="57" t="e">
        <f t="shared" ca="1" si="66"/>
        <v>#N/A</v>
      </c>
    </row>
    <row r="290" spans="18:31" x14ac:dyDescent="0.3">
      <c r="R290" s="85" t="e">
        <f ca="1"/>
        <v>#N/A</v>
      </c>
      <c r="S290" s="57" t="e">
        <f t="shared" ca="1" si="61"/>
        <v>#N/A</v>
      </c>
      <c r="T290" s="57" t="e">
        <f t="shared" ca="1" si="55"/>
        <v>#N/A</v>
      </c>
      <c r="U290" s="57" t="e">
        <f t="shared" ca="1" si="56"/>
        <v>#N/A</v>
      </c>
      <c r="V290" s="57" t="e">
        <f t="shared" ca="1" si="57"/>
        <v>#N/A</v>
      </c>
      <c r="W290" t="e">
        <f t="shared" ca="1" si="58"/>
        <v>#N/A</v>
      </c>
      <c r="X290" t="e">
        <f t="shared" ca="1" si="62"/>
        <v>#N/A</v>
      </c>
      <c r="Y290" t="e">
        <f t="shared" ca="1" si="59"/>
        <v>#N/A</v>
      </c>
      <c r="Z290" t="e">
        <f t="shared" ca="1" si="60"/>
        <v>#N/A</v>
      </c>
      <c r="AA290" s="85" t="e">
        <f ca="1"/>
        <v>#N/A</v>
      </c>
      <c r="AB290" s="57" t="e">
        <f t="shared" ca="1" si="63"/>
        <v>#N/A</v>
      </c>
      <c r="AC290" s="57" t="e">
        <f t="shared" ca="1" si="64"/>
        <v>#N/A</v>
      </c>
      <c r="AD290" s="57" t="e">
        <f t="shared" ca="1" si="65"/>
        <v>#N/A</v>
      </c>
      <c r="AE290" s="57" t="e">
        <f t="shared" ca="1" si="66"/>
        <v>#N/A</v>
      </c>
    </row>
    <row r="291" spans="18:31" x14ac:dyDescent="0.3">
      <c r="R291" s="85" t="e">
        <f ca="1"/>
        <v>#N/A</v>
      </c>
      <c r="S291" s="57" t="e">
        <f t="shared" ca="1" si="61"/>
        <v>#N/A</v>
      </c>
      <c r="T291" s="57" t="e">
        <f t="shared" ca="1" si="55"/>
        <v>#N/A</v>
      </c>
      <c r="U291" s="57" t="e">
        <f t="shared" ca="1" si="56"/>
        <v>#N/A</v>
      </c>
      <c r="V291" s="57" t="e">
        <f t="shared" ca="1" si="57"/>
        <v>#N/A</v>
      </c>
      <c r="W291" t="e">
        <f t="shared" ca="1" si="58"/>
        <v>#N/A</v>
      </c>
      <c r="X291" t="e">
        <f t="shared" ca="1" si="62"/>
        <v>#N/A</v>
      </c>
      <c r="Y291" t="e">
        <f t="shared" ca="1" si="59"/>
        <v>#N/A</v>
      </c>
      <c r="Z291" t="e">
        <f t="shared" ca="1" si="60"/>
        <v>#N/A</v>
      </c>
      <c r="AA291" s="85" t="e">
        <f ca="1"/>
        <v>#N/A</v>
      </c>
      <c r="AB291" s="57" t="e">
        <f t="shared" ca="1" si="63"/>
        <v>#N/A</v>
      </c>
      <c r="AC291" s="57" t="e">
        <f t="shared" ca="1" si="64"/>
        <v>#N/A</v>
      </c>
      <c r="AD291" s="57" t="e">
        <f t="shared" ca="1" si="65"/>
        <v>#N/A</v>
      </c>
      <c r="AE291" s="57" t="e">
        <f t="shared" ca="1" si="66"/>
        <v>#N/A</v>
      </c>
    </row>
    <row r="292" spans="18:31" x14ac:dyDescent="0.3">
      <c r="R292" s="85" t="e">
        <f ca="1"/>
        <v>#N/A</v>
      </c>
      <c r="S292" s="57" t="e">
        <f t="shared" ca="1" si="61"/>
        <v>#N/A</v>
      </c>
      <c r="T292" s="57" t="e">
        <f t="shared" ca="1" si="55"/>
        <v>#N/A</v>
      </c>
      <c r="U292" s="57" t="e">
        <f t="shared" ca="1" si="56"/>
        <v>#N/A</v>
      </c>
      <c r="V292" s="57" t="e">
        <f t="shared" ca="1" si="57"/>
        <v>#N/A</v>
      </c>
      <c r="W292" t="e">
        <f t="shared" ca="1" si="58"/>
        <v>#N/A</v>
      </c>
      <c r="X292" t="e">
        <f t="shared" ca="1" si="62"/>
        <v>#N/A</v>
      </c>
      <c r="Y292" t="e">
        <f t="shared" ca="1" si="59"/>
        <v>#N/A</v>
      </c>
      <c r="Z292" t="e">
        <f t="shared" ca="1" si="60"/>
        <v>#N/A</v>
      </c>
      <c r="AA292" s="85" t="e">
        <f ca="1"/>
        <v>#N/A</v>
      </c>
      <c r="AB292" s="57" t="e">
        <f t="shared" ca="1" si="63"/>
        <v>#N/A</v>
      </c>
      <c r="AC292" s="57" t="e">
        <f t="shared" ca="1" si="64"/>
        <v>#N/A</v>
      </c>
      <c r="AD292" s="57" t="e">
        <f t="shared" ca="1" si="65"/>
        <v>#N/A</v>
      </c>
      <c r="AE292" s="57" t="e">
        <f t="shared" ca="1" si="66"/>
        <v>#N/A</v>
      </c>
    </row>
    <row r="293" spans="18:31" x14ac:dyDescent="0.3">
      <c r="R293" s="85" t="e">
        <f ca="1"/>
        <v>#N/A</v>
      </c>
      <c r="S293" s="57" t="e">
        <f t="shared" ca="1" si="61"/>
        <v>#N/A</v>
      </c>
      <c r="T293" s="57" t="e">
        <f t="shared" ca="1" si="55"/>
        <v>#N/A</v>
      </c>
      <c r="U293" s="57" t="e">
        <f t="shared" ca="1" si="56"/>
        <v>#N/A</v>
      </c>
      <c r="V293" s="57" t="e">
        <f t="shared" ca="1" si="57"/>
        <v>#N/A</v>
      </c>
      <c r="W293" t="e">
        <f t="shared" ca="1" si="58"/>
        <v>#N/A</v>
      </c>
      <c r="X293" t="e">
        <f t="shared" ca="1" si="62"/>
        <v>#N/A</v>
      </c>
      <c r="Y293" t="e">
        <f t="shared" ca="1" si="59"/>
        <v>#N/A</v>
      </c>
      <c r="Z293" t="e">
        <f t="shared" ca="1" si="60"/>
        <v>#N/A</v>
      </c>
      <c r="AA293" s="85" t="e">
        <f ca="1"/>
        <v>#N/A</v>
      </c>
      <c r="AB293" s="57" t="e">
        <f t="shared" ca="1" si="63"/>
        <v>#N/A</v>
      </c>
      <c r="AC293" s="57" t="e">
        <f t="shared" ca="1" si="64"/>
        <v>#N/A</v>
      </c>
      <c r="AD293" s="57" t="e">
        <f t="shared" ca="1" si="65"/>
        <v>#N/A</v>
      </c>
      <c r="AE293" s="57" t="e">
        <f t="shared" ca="1" si="66"/>
        <v>#N/A</v>
      </c>
    </row>
    <row r="294" spans="18:31" x14ac:dyDescent="0.3">
      <c r="R294" s="85" t="e">
        <f ca="1"/>
        <v>#N/A</v>
      </c>
      <c r="S294" s="57" t="e">
        <f t="shared" ca="1" si="61"/>
        <v>#N/A</v>
      </c>
      <c r="T294" s="57" t="e">
        <f t="shared" ca="1" si="55"/>
        <v>#N/A</v>
      </c>
      <c r="U294" s="57" t="e">
        <f t="shared" ca="1" si="56"/>
        <v>#N/A</v>
      </c>
      <c r="V294" s="57" t="e">
        <f t="shared" ca="1" si="57"/>
        <v>#N/A</v>
      </c>
      <c r="W294" t="e">
        <f t="shared" ca="1" si="58"/>
        <v>#N/A</v>
      </c>
      <c r="X294" t="e">
        <f t="shared" ca="1" si="62"/>
        <v>#N/A</v>
      </c>
      <c r="Y294" t="e">
        <f t="shared" ca="1" si="59"/>
        <v>#N/A</v>
      </c>
      <c r="Z294" t="e">
        <f t="shared" ca="1" si="60"/>
        <v>#N/A</v>
      </c>
      <c r="AA294" s="85" t="e">
        <f ca="1"/>
        <v>#N/A</v>
      </c>
      <c r="AB294" s="57" t="e">
        <f t="shared" ca="1" si="63"/>
        <v>#N/A</v>
      </c>
      <c r="AC294" s="57" t="e">
        <f t="shared" ca="1" si="64"/>
        <v>#N/A</v>
      </c>
      <c r="AD294" s="57" t="e">
        <f t="shared" ca="1" si="65"/>
        <v>#N/A</v>
      </c>
      <c r="AE294" s="57" t="e">
        <f t="shared" ca="1" si="66"/>
        <v>#N/A</v>
      </c>
    </row>
    <row r="295" spans="18:31" x14ac:dyDescent="0.3">
      <c r="R295" s="85" t="e">
        <f ca="1"/>
        <v>#N/A</v>
      </c>
      <c r="S295" s="57" t="e">
        <f t="shared" ca="1" si="61"/>
        <v>#N/A</v>
      </c>
      <c r="T295" s="57" t="e">
        <f t="shared" ca="1" si="55"/>
        <v>#N/A</v>
      </c>
      <c r="U295" s="57" t="e">
        <f t="shared" ca="1" si="56"/>
        <v>#N/A</v>
      </c>
      <c r="V295" s="57" t="e">
        <f t="shared" ca="1" si="57"/>
        <v>#N/A</v>
      </c>
      <c r="W295" t="e">
        <f t="shared" ca="1" si="58"/>
        <v>#N/A</v>
      </c>
      <c r="X295" t="e">
        <f t="shared" ca="1" si="62"/>
        <v>#N/A</v>
      </c>
      <c r="Y295" t="e">
        <f t="shared" ca="1" si="59"/>
        <v>#N/A</v>
      </c>
      <c r="Z295" t="e">
        <f t="shared" ca="1" si="60"/>
        <v>#N/A</v>
      </c>
      <c r="AA295" s="85" t="e">
        <f ca="1"/>
        <v>#N/A</v>
      </c>
      <c r="AB295" s="57" t="e">
        <f t="shared" ca="1" si="63"/>
        <v>#N/A</v>
      </c>
      <c r="AC295" s="57" t="e">
        <f t="shared" ca="1" si="64"/>
        <v>#N/A</v>
      </c>
      <c r="AD295" s="57" t="e">
        <f t="shared" ca="1" si="65"/>
        <v>#N/A</v>
      </c>
      <c r="AE295" s="57" t="e">
        <f t="shared" ca="1" si="66"/>
        <v>#N/A</v>
      </c>
    </row>
    <row r="296" spans="18:31" x14ac:dyDescent="0.3">
      <c r="R296" s="85" t="e">
        <f ca="1"/>
        <v>#N/A</v>
      </c>
      <c r="S296" s="57" t="e">
        <f t="shared" ca="1" si="61"/>
        <v>#N/A</v>
      </c>
      <c r="T296" s="57" t="e">
        <f t="shared" ca="1" si="55"/>
        <v>#N/A</v>
      </c>
      <c r="U296" s="57" t="e">
        <f t="shared" ca="1" si="56"/>
        <v>#N/A</v>
      </c>
      <c r="V296" s="57" t="e">
        <f t="shared" ca="1" si="57"/>
        <v>#N/A</v>
      </c>
      <c r="W296" t="e">
        <f t="shared" ca="1" si="58"/>
        <v>#N/A</v>
      </c>
      <c r="X296" t="e">
        <f t="shared" ca="1" si="62"/>
        <v>#N/A</v>
      </c>
      <c r="Y296" t="e">
        <f t="shared" ca="1" si="59"/>
        <v>#N/A</v>
      </c>
      <c r="Z296" t="e">
        <f t="shared" ca="1" si="60"/>
        <v>#N/A</v>
      </c>
      <c r="AA296" s="85" t="e">
        <f ca="1"/>
        <v>#N/A</v>
      </c>
      <c r="AB296" s="57" t="e">
        <f t="shared" ca="1" si="63"/>
        <v>#N/A</v>
      </c>
      <c r="AC296" s="57" t="e">
        <f t="shared" ca="1" si="64"/>
        <v>#N/A</v>
      </c>
      <c r="AD296" s="57" t="e">
        <f t="shared" ca="1" si="65"/>
        <v>#N/A</v>
      </c>
      <c r="AE296" s="57" t="e">
        <f t="shared" ca="1" si="66"/>
        <v>#N/A</v>
      </c>
    </row>
    <row r="297" spans="18:31" x14ac:dyDescent="0.3">
      <c r="R297" s="85" t="e">
        <f ca="1"/>
        <v>#N/A</v>
      </c>
      <c r="S297" s="57" t="e">
        <f t="shared" ca="1" si="61"/>
        <v>#N/A</v>
      </c>
      <c r="T297" s="57" t="e">
        <f t="shared" ca="1" si="55"/>
        <v>#N/A</v>
      </c>
      <c r="U297" s="57" t="e">
        <f t="shared" ca="1" si="56"/>
        <v>#N/A</v>
      </c>
      <c r="V297" s="57" t="e">
        <f t="shared" ca="1" si="57"/>
        <v>#N/A</v>
      </c>
      <c r="W297" t="e">
        <f t="shared" ca="1" si="58"/>
        <v>#N/A</v>
      </c>
      <c r="X297" t="e">
        <f t="shared" ca="1" si="62"/>
        <v>#N/A</v>
      </c>
      <c r="Y297" t="e">
        <f t="shared" ca="1" si="59"/>
        <v>#N/A</v>
      </c>
      <c r="Z297" t="e">
        <f t="shared" ca="1" si="60"/>
        <v>#N/A</v>
      </c>
      <c r="AA297" s="85" t="e">
        <f ca="1"/>
        <v>#N/A</v>
      </c>
      <c r="AB297" s="57" t="e">
        <f t="shared" ca="1" si="63"/>
        <v>#N/A</v>
      </c>
      <c r="AC297" s="57" t="e">
        <f t="shared" ca="1" si="64"/>
        <v>#N/A</v>
      </c>
      <c r="AD297" s="57" t="e">
        <f t="shared" ca="1" si="65"/>
        <v>#N/A</v>
      </c>
      <c r="AE297" s="57" t="e">
        <f t="shared" ca="1" si="66"/>
        <v>#N/A</v>
      </c>
    </row>
    <row r="298" spans="18:31" x14ac:dyDescent="0.3">
      <c r="R298" s="85" t="e">
        <f ca="1"/>
        <v>#N/A</v>
      </c>
      <c r="S298" s="57" t="e">
        <f t="shared" ca="1" si="61"/>
        <v>#N/A</v>
      </c>
      <c r="T298" s="57" t="e">
        <f t="shared" ca="1" si="55"/>
        <v>#N/A</v>
      </c>
      <c r="U298" s="57" t="e">
        <f t="shared" ca="1" si="56"/>
        <v>#N/A</v>
      </c>
      <c r="V298" s="57" t="e">
        <f t="shared" ca="1" si="57"/>
        <v>#N/A</v>
      </c>
      <c r="W298" t="e">
        <f t="shared" ca="1" si="58"/>
        <v>#N/A</v>
      </c>
      <c r="X298" t="e">
        <f t="shared" ca="1" si="62"/>
        <v>#N/A</v>
      </c>
      <c r="Y298" t="e">
        <f t="shared" ca="1" si="59"/>
        <v>#N/A</v>
      </c>
      <c r="Z298" t="e">
        <f t="shared" ca="1" si="60"/>
        <v>#N/A</v>
      </c>
      <c r="AA298" s="85" t="e">
        <f ca="1"/>
        <v>#N/A</v>
      </c>
      <c r="AB298" s="57" t="e">
        <f t="shared" ca="1" si="63"/>
        <v>#N/A</v>
      </c>
      <c r="AC298" s="57" t="e">
        <f t="shared" ca="1" si="64"/>
        <v>#N/A</v>
      </c>
      <c r="AD298" s="57" t="e">
        <f t="shared" ca="1" si="65"/>
        <v>#N/A</v>
      </c>
      <c r="AE298" s="57" t="e">
        <f t="shared" ca="1" si="66"/>
        <v>#N/A</v>
      </c>
    </row>
    <row r="299" spans="18:31" x14ac:dyDescent="0.3">
      <c r="R299" s="85" t="e">
        <f ca="1"/>
        <v>#N/A</v>
      </c>
      <c r="S299" s="57" t="e">
        <f t="shared" ca="1" si="61"/>
        <v>#N/A</v>
      </c>
      <c r="T299" s="57" t="e">
        <f t="shared" ca="1" si="55"/>
        <v>#N/A</v>
      </c>
      <c r="U299" s="57" t="e">
        <f t="shared" ca="1" si="56"/>
        <v>#N/A</v>
      </c>
      <c r="V299" s="57" t="e">
        <f t="shared" ca="1" si="57"/>
        <v>#N/A</v>
      </c>
      <c r="W299" t="e">
        <f t="shared" ca="1" si="58"/>
        <v>#N/A</v>
      </c>
      <c r="X299" t="e">
        <f t="shared" ca="1" si="62"/>
        <v>#N/A</v>
      </c>
      <c r="Y299" t="e">
        <f t="shared" ca="1" si="59"/>
        <v>#N/A</v>
      </c>
      <c r="Z299" t="e">
        <f t="shared" ca="1" si="60"/>
        <v>#N/A</v>
      </c>
      <c r="AA299" s="85" t="e">
        <f ca="1"/>
        <v>#N/A</v>
      </c>
      <c r="AB299" s="57" t="e">
        <f t="shared" ca="1" si="63"/>
        <v>#N/A</v>
      </c>
      <c r="AC299" s="57" t="e">
        <f t="shared" ca="1" si="64"/>
        <v>#N/A</v>
      </c>
      <c r="AD299" s="57" t="e">
        <f t="shared" ca="1" si="65"/>
        <v>#N/A</v>
      </c>
      <c r="AE299" s="57" t="e">
        <f t="shared" ca="1" si="66"/>
        <v>#N/A</v>
      </c>
    </row>
    <row r="300" spans="18:31" x14ac:dyDescent="0.3">
      <c r="R300" s="85" t="e">
        <f ca="1"/>
        <v>#N/A</v>
      </c>
      <c r="S300" s="57" t="e">
        <f t="shared" ca="1" si="61"/>
        <v>#N/A</v>
      </c>
      <c r="T300" s="57" t="e">
        <f t="shared" ca="1" si="55"/>
        <v>#N/A</v>
      </c>
      <c r="U300" s="57" t="e">
        <f t="shared" ca="1" si="56"/>
        <v>#N/A</v>
      </c>
      <c r="V300" s="57" t="e">
        <f t="shared" ca="1" si="57"/>
        <v>#N/A</v>
      </c>
      <c r="W300" t="e">
        <f t="shared" ca="1" si="58"/>
        <v>#N/A</v>
      </c>
      <c r="X300" t="e">
        <f t="shared" ca="1" si="62"/>
        <v>#N/A</v>
      </c>
      <c r="Y300" t="e">
        <f t="shared" ca="1" si="59"/>
        <v>#N/A</v>
      </c>
      <c r="Z300" t="e">
        <f t="shared" ca="1" si="60"/>
        <v>#N/A</v>
      </c>
      <c r="AA300" s="85" t="e">
        <f ca="1"/>
        <v>#N/A</v>
      </c>
      <c r="AB300" s="57" t="e">
        <f t="shared" ca="1" si="63"/>
        <v>#N/A</v>
      </c>
      <c r="AC300" s="57" t="e">
        <f t="shared" ca="1" si="64"/>
        <v>#N/A</v>
      </c>
      <c r="AD300" s="57" t="e">
        <f t="shared" ca="1" si="65"/>
        <v>#N/A</v>
      </c>
      <c r="AE300" s="57" t="e">
        <f t="shared" ca="1" si="66"/>
        <v>#N/A</v>
      </c>
    </row>
    <row r="301" spans="18:31" x14ac:dyDescent="0.3">
      <c r="R301" s="85" t="e">
        <f ca="1"/>
        <v>#N/A</v>
      </c>
      <c r="S301" s="57" t="e">
        <f t="shared" ca="1" si="61"/>
        <v>#N/A</v>
      </c>
      <c r="T301" s="57" t="e">
        <f t="shared" ca="1" si="55"/>
        <v>#N/A</v>
      </c>
      <c r="U301" s="57" t="e">
        <f t="shared" ca="1" si="56"/>
        <v>#N/A</v>
      </c>
      <c r="V301" s="57" t="e">
        <f t="shared" ca="1" si="57"/>
        <v>#N/A</v>
      </c>
      <c r="W301" t="e">
        <f t="shared" ca="1" si="58"/>
        <v>#N/A</v>
      </c>
      <c r="X301" t="e">
        <f t="shared" ca="1" si="62"/>
        <v>#N/A</v>
      </c>
      <c r="Y301" t="e">
        <f t="shared" ca="1" si="59"/>
        <v>#N/A</v>
      </c>
      <c r="Z301" t="e">
        <f t="shared" ca="1" si="60"/>
        <v>#N/A</v>
      </c>
      <c r="AA301" s="85" t="e">
        <f ca="1"/>
        <v>#N/A</v>
      </c>
      <c r="AB301" s="57" t="e">
        <f t="shared" ca="1" si="63"/>
        <v>#N/A</v>
      </c>
      <c r="AC301" s="57" t="e">
        <f t="shared" ca="1" si="64"/>
        <v>#N/A</v>
      </c>
      <c r="AD301" s="57" t="e">
        <f t="shared" ca="1" si="65"/>
        <v>#N/A</v>
      </c>
      <c r="AE301" s="57" t="e">
        <f t="shared" ca="1" si="66"/>
        <v>#N/A</v>
      </c>
    </row>
    <row r="302" spans="18:31" x14ac:dyDescent="0.3">
      <c r="R302" s="85" t="e">
        <f ca="1"/>
        <v>#N/A</v>
      </c>
      <c r="S302" s="57" t="e">
        <f t="shared" ca="1" si="61"/>
        <v>#N/A</v>
      </c>
      <c r="T302" s="57" t="e">
        <f t="shared" ca="1" si="55"/>
        <v>#N/A</v>
      </c>
      <c r="U302" s="57" t="e">
        <f t="shared" ca="1" si="56"/>
        <v>#N/A</v>
      </c>
      <c r="V302" s="57" t="e">
        <f t="shared" ca="1" si="57"/>
        <v>#N/A</v>
      </c>
      <c r="W302" t="e">
        <f t="shared" ca="1" si="58"/>
        <v>#N/A</v>
      </c>
      <c r="X302" t="e">
        <f t="shared" ca="1" si="62"/>
        <v>#N/A</v>
      </c>
      <c r="Y302" t="e">
        <f t="shared" ca="1" si="59"/>
        <v>#N/A</v>
      </c>
      <c r="Z302" t="e">
        <f t="shared" ca="1" si="60"/>
        <v>#N/A</v>
      </c>
      <c r="AA302" s="85" t="e">
        <f ca="1"/>
        <v>#N/A</v>
      </c>
      <c r="AB302" s="57" t="e">
        <f t="shared" ca="1" si="63"/>
        <v>#N/A</v>
      </c>
      <c r="AC302" s="57" t="e">
        <f t="shared" ca="1" si="64"/>
        <v>#N/A</v>
      </c>
      <c r="AD302" s="57" t="e">
        <f t="shared" ca="1" si="65"/>
        <v>#N/A</v>
      </c>
      <c r="AE302" s="57" t="e">
        <f t="shared" ca="1" si="66"/>
        <v>#N/A</v>
      </c>
    </row>
    <row r="303" spans="18:31" x14ac:dyDescent="0.3">
      <c r="R303" s="85" t="e">
        <f ca="1"/>
        <v>#N/A</v>
      </c>
      <c r="S303" s="57" t="e">
        <f t="shared" ca="1" si="61"/>
        <v>#N/A</v>
      </c>
      <c r="T303" s="57" t="e">
        <f t="shared" ca="1" si="55"/>
        <v>#N/A</v>
      </c>
      <c r="U303" s="57" t="e">
        <f t="shared" ca="1" si="56"/>
        <v>#N/A</v>
      </c>
      <c r="V303" s="57" t="e">
        <f t="shared" ca="1" si="57"/>
        <v>#N/A</v>
      </c>
      <c r="W303" t="e">
        <f t="shared" ca="1" si="58"/>
        <v>#N/A</v>
      </c>
      <c r="X303" t="e">
        <f t="shared" ca="1" si="62"/>
        <v>#N/A</v>
      </c>
      <c r="Y303" t="e">
        <f t="shared" ca="1" si="59"/>
        <v>#N/A</v>
      </c>
      <c r="Z303" t="e">
        <f t="shared" ca="1" si="60"/>
        <v>#N/A</v>
      </c>
      <c r="AA303" s="85" t="e">
        <f ca="1"/>
        <v>#N/A</v>
      </c>
      <c r="AB303" s="57" t="e">
        <f t="shared" ca="1" si="63"/>
        <v>#N/A</v>
      </c>
      <c r="AC303" s="57" t="e">
        <f t="shared" ca="1" si="64"/>
        <v>#N/A</v>
      </c>
      <c r="AD303" s="57" t="e">
        <f t="shared" ca="1" si="65"/>
        <v>#N/A</v>
      </c>
      <c r="AE303" s="57" t="e">
        <f t="shared" ca="1" si="66"/>
        <v>#N/A</v>
      </c>
    </row>
    <row r="304" spans="18:31" x14ac:dyDescent="0.3">
      <c r="R304" s="85" t="e">
        <f ca="1"/>
        <v>#N/A</v>
      </c>
      <c r="S304" s="57" t="e">
        <f t="shared" ca="1" si="61"/>
        <v>#N/A</v>
      </c>
      <c r="T304" s="57" t="e">
        <f t="shared" ca="1" si="55"/>
        <v>#N/A</v>
      </c>
      <c r="U304" s="57" t="e">
        <f t="shared" ca="1" si="56"/>
        <v>#N/A</v>
      </c>
      <c r="V304" s="57" t="e">
        <f t="shared" ca="1" si="57"/>
        <v>#N/A</v>
      </c>
      <c r="W304" t="e">
        <f t="shared" ca="1" si="58"/>
        <v>#N/A</v>
      </c>
      <c r="X304" t="e">
        <f t="shared" ca="1" si="62"/>
        <v>#N/A</v>
      </c>
      <c r="Y304" t="e">
        <f t="shared" ca="1" si="59"/>
        <v>#N/A</v>
      </c>
      <c r="Z304" t="e">
        <f t="shared" ca="1" si="60"/>
        <v>#N/A</v>
      </c>
      <c r="AA304" s="85" t="e">
        <f ca="1"/>
        <v>#N/A</v>
      </c>
      <c r="AB304" s="57" t="e">
        <f t="shared" ca="1" si="63"/>
        <v>#N/A</v>
      </c>
      <c r="AC304" s="57" t="e">
        <f t="shared" ca="1" si="64"/>
        <v>#N/A</v>
      </c>
      <c r="AD304" s="57" t="e">
        <f t="shared" ca="1" si="65"/>
        <v>#N/A</v>
      </c>
      <c r="AE304" s="57" t="e">
        <f t="shared" ca="1" si="66"/>
        <v>#N/A</v>
      </c>
    </row>
    <row r="305" spans="18:31" x14ac:dyDescent="0.3">
      <c r="R305" s="85" t="e">
        <f ca="1"/>
        <v>#N/A</v>
      </c>
      <c r="S305" s="57" t="e">
        <f t="shared" ca="1" si="61"/>
        <v>#N/A</v>
      </c>
      <c r="T305" s="57" t="e">
        <f t="shared" ca="1" si="55"/>
        <v>#N/A</v>
      </c>
      <c r="U305" s="57" t="e">
        <f t="shared" ca="1" si="56"/>
        <v>#N/A</v>
      </c>
      <c r="V305" s="57" t="e">
        <f t="shared" ca="1" si="57"/>
        <v>#N/A</v>
      </c>
      <c r="W305" t="e">
        <f t="shared" ca="1" si="58"/>
        <v>#N/A</v>
      </c>
      <c r="X305" t="e">
        <f t="shared" ca="1" si="62"/>
        <v>#N/A</v>
      </c>
      <c r="Y305" t="e">
        <f t="shared" ca="1" si="59"/>
        <v>#N/A</v>
      </c>
      <c r="Z305" t="e">
        <f t="shared" ca="1" si="60"/>
        <v>#N/A</v>
      </c>
      <c r="AA305" s="85" t="e">
        <f ca="1"/>
        <v>#N/A</v>
      </c>
      <c r="AB305" s="57" t="e">
        <f t="shared" ca="1" si="63"/>
        <v>#N/A</v>
      </c>
      <c r="AC305" s="57" t="e">
        <f t="shared" ca="1" si="64"/>
        <v>#N/A</v>
      </c>
      <c r="AD305" s="57" t="e">
        <f t="shared" ca="1" si="65"/>
        <v>#N/A</v>
      </c>
      <c r="AE305" s="57" t="e">
        <f t="shared" ca="1" si="66"/>
        <v>#N/A</v>
      </c>
    </row>
    <row r="306" spans="18:31" x14ac:dyDescent="0.3">
      <c r="R306" s="85" t="e">
        <f ca="1"/>
        <v>#N/A</v>
      </c>
      <c r="S306" s="57" t="e">
        <f t="shared" ca="1" si="61"/>
        <v>#N/A</v>
      </c>
      <c r="T306" s="57" t="e">
        <f t="shared" ca="1" si="55"/>
        <v>#N/A</v>
      </c>
      <c r="U306" s="57" t="e">
        <f t="shared" ca="1" si="56"/>
        <v>#N/A</v>
      </c>
      <c r="V306" s="57" t="e">
        <f t="shared" ca="1" si="57"/>
        <v>#N/A</v>
      </c>
      <c r="W306" t="e">
        <f t="shared" ca="1" si="58"/>
        <v>#N/A</v>
      </c>
      <c r="X306" t="e">
        <f t="shared" ca="1" si="62"/>
        <v>#N/A</v>
      </c>
      <c r="Y306" t="e">
        <f t="shared" ca="1" si="59"/>
        <v>#N/A</v>
      </c>
      <c r="Z306" t="e">
        <f t="shared" ca="1" si="60"/>
        <v>#N/A</v>
      </c>
      <c r="AA306" s="85" t="e">
        <f ca="1"/>
        <v>#N/A</v>
      </c>
      <c r="AB306" s="57" t="e">
        <f t="shared" ca="1" si="63"/>
        <v>#N/A</v>
      </c>
      <c r="AC306" s="57" t="e">
        <f t="shared" ca="1" si="64"/>
        <v>#N/A</v>
      </c>
      <c r="AD306" s="57" t="e">
        <f t="shared" ca="1" si="65"/>
        <v>#N/A</v>
      </c>
      <c r="AE306" s="57" t="e">
        <f t="shared" ca="1" si="66"/>
        <v>#N/A</v>
      </c>
    </row>
    <row r="307" spans="18:31" x14ac:dyDescent="0.3">
      <c r="R307" s="85" t="e">
        <f ca="1"/>
        <v>#N/A</v>
      </c>
      <c r="S307" s="57" t="e">
        <f t="shared" ca="1" si="61"/>
        <v>#N/A</v>
      </c>
      <c r="T307" s="57" t="e">
        <f t="shared" ca="1" si="55"/>
        <v>#N/A</v>
      </c>
      <c r="U307" s="57" t="e">
        <f t="shared" ca="1" si="56"/>
        <v>#N/A</v>
      </c>
      <c r="V307" s="57" t="e">
        <f t="shared" ca="1" si="57"/>
        <v>#N/A</v>
      </c>
      <c r="W307" t="e">
        <f t="shared" ca="1" si="58"/>
        <v>#N/A</v>
      </c>
      <c r="X307" t="e">
        <f t="shared" ca="1" si="62"/>
        <v>#N/A</v>
      </c>
      <c r="Y307" t="e">
        <f t="shared" ca="1" si="59"/>
        <v>#N/A</v>
      </c>
      <c r="Z307" t="e">
        <f t="shared" ca="1" si="60"/>
        <v>#N/A</v>
      </c>
      <c r="AA307" s="85" t="e">
        <f ca="1"/>
        <v>#N/A</v>
      </c>
      <c r="AB307" s="57" t="e">
        <f t="shared" ca="1" si="63"/>
        <v>#N/A</v>
      </c>
      <c r="AC307" s="57" t="e">
        <f t="shared" ca="1" si="64"/>
        <v>#N/A</v>
      </c>
      <c r="AD307" s="57" t="e">
        <f t="shared" ca="1" si="65"/>
        <v>#N/A</v>
      </c>
      <c r="AE307" s="57" t="e">
        <f t="shared" ca="1" si="66"/>
        <v>#N/A</v>
      </c>
    </row>
    <row r="308" spans="18:31" x14ac:dyDescent="0.3">
      <c r="R308" s="85" t="e">
        <f ca="1"/>
        <v>#N/A</v>
      </c>
      <c r="S308" s="57" t="e">
        <f t="shared" ca="1" si="61"/>
        <v>#N/A</v>
      </c>
      <c r="T308" s="57" t="e">
        <f t="shared" ca="1" si="55"/>
        <v>#N/A</v>
      </c>
      <c r="U308" s="57" t="e">
        <f t="shared" ca="1" si="56"/>
        <v>#N/A</v>
      </c>
      <c r="V308" s="57" t="e">
        <f t="shared" ca="1" si="57"/>
        <v>#N/A</v>
      </c>
      <c r="W308" t="e">
        <f t="shared" ca="1" si="58"/>
        <v>#N/A</v>
      </c>
      <c r="X308" t="e">
        <f t="shared" ca="1" si="62"/>
        <v>#N/A</v>
      </c>
      <c r="Y308" t="e">
        <f t="shared" ca="1" si="59"/>
        <v>#N/A</v>
      </c>
      <c r="Z308" t="e">
        <f t="shared" ca="1" si="60"/>
        <v>#N/A</v>
      </c>
      <c r="AA308" s="85" t="e">
        <f ca="1"/>
        <v>#N/A</v>
      </c>
      <c r="AB308" s="57" t="e">
        <f t="shared" ca="1" si="63"/>
        <v>#N/A</v>
      </c>
      <c r="AC308" s="57" t="e">
        <f t="shared" ca="1" si="64"/>
        <v>#N/A</v>
      </c>
      <c r="AD308" s="57" t="e">
        <f t="shared" ca="1" si="65"/>
        <v>#N/A</v>
      </c>
      <c r="AE308" s="57" t="e">
        <f t="shared" ca="1" si="66"/>
        <v>#N/A</v>
      </c>
    </row>
    <row r="309" spans="18:31" x14ac:dyDescent="0.3">
      <c r="R309" s="85" t="e">
        <f ca="1"/>
        <v>#N/A</v>
      </c>
      <c r="S309" s="57" t="e">
        <f t="shared" ca="1" si="61"/>
        <v>#N/A</v>
      </c>
      <c r="T309" s="57" t="e">
        <f t="shared" ca="1" si="55"/>
        <v>#N/A</v>
      </c>
      <c r="U309" s="57" t="e">
        <f t="shared" ca="1" si="56"/>
        <v>#N/A</v>
      </c>
      <c r="V309" s="57" t="e">
        <f t="shared" ca="1" si="57"/>
        <v>#N/A</v>
      </c>
      <c r="W309" t="e">
        <f t="shared" ca="1" si="58"/>
        <v>#N/A</v>
      </c>
      <c r="X309" t="e">
        <f t="shared" ca="1" si="62"/>
        <v>#N/A</v>
      </c>
      <c r="Y309" t="e">
        <f t="shared" ca="1" si="59"/>
        <v>#N/A</v>
      </c>
      <c r="Z309" t="e">
        <f t="shared" ca="1" si="60"/>
        <v>#N/A</v>
      </c>
      <c r="AA309" s="85" t="e">
        <f ca="1"/>
        <v>#N/A</v>
      </c>
      <c r="AB309" s="57" t="e">
        <f t="shared" ca="1" si="63"/>
        <v>#N/A</v>
      </c>
      <c r="AC309" s="57" t="e">
        <f t="shared" ca="1" si="64"/>
        <v>#N/A</v>
      </c>
      <c r="AD309" s="57" t="e">
        <f t="shared" ca="1" si="65"/>
        <v>#N/A</v>
      </c>
      <c r="AE309" s="57" t="e">
        <f t="shared" ca="1" si="66"/>
        <v>#N/A</v>
      </c>
    </row>
    <row r="310" spans="18:31" x14ac:dyDescent="0.3">
      <c r="R310" s="85" t="e">
        <f ca="1"/>
        <v>#N/A</v>
      </c>
      <c r="S310" s="57" t="e">
        <f t="shared" ca="1" si="61"/>
        <v>#N/A</v>
      </c>
      <c r="T310" s="57" t="e">
        <f t="shared" ca="1" si="55"/>
        <v>#N/A</v>
      </c>
      <c r="U310" s="57" t="e">
        <f t="shared" ca="1" si="56"/>
        <v>#N/A</v>
      </c>
      <c r="V310" s="57" t="e">
        <f t="shared" ca="1" si="57"/>
        <v>#N/A</v>
      </c>
      <c r="W310" t="e">
        <f t="shared" ca="1" si="58"/>
        <v>#N/A</v>
      </c>
      <c r="X310" t="e">
        <f t="shared" ca="1" si="62"/>
        <v>#N/A</v>
      </c>
      <c r="Y310" t="e">
        <f t="shared" ca="1" si="59"/>
        <v>#N/A</v>
      </c>
      <c r="Z310" t="e">
        <f t="shared" ca="1" si="60"/>
        <v>#N/A</v>
      </c>
      <c r="AA310" s="85" t="e">
        <f ca="1"/>
        <v>#N/A</v>
      </c>
      <c r="AB310" s="57" t="e">
        <f t="shared" ca="1" si="63"/>
        <v>#N/A</v>
      </c>
      <c r="AC310" s="57" t="e">
        <f t="shared" ca="1" si="64"/>
        <v>#N/A</v>
      </c>
      <c r="AD310" s="57" t="e">
        <f t="shared" ca="1" si="65"/>
        <v>#N/A</v>
      </c>
      <c r="AE310" s="57" t="e">
        <f t="shared" ca="1" si="66"/>
        <v>#N/A</v>
      </c>
    </row>
    <row r="311" spans="18:31" x14ac:dyDescent="0.3">
      <c r="R311" s="85" t="e">
        <f ca="1"/>
        <v>#N/A</v>
      </c>
      <c r="S311" s="57" t="e">
        <f t="shared" ca="1" si="61"/>
        <v>#N/A</v>
      </c>
      <c r="T311" s="57" t="e">
        <f t="shared" ca="1" si="55"/>
        <v>#N/A</v>
      </c>
      <c r="U311" s="57" t="e">
        <f t="shared" ca="1" si="56"/>
        <v>#N/A</v>
      </c>
      <c r="V311" s="57" t="e">
        <f t="shared" ca="1" si="57"/>
        <v>#N/A</v>
      </c>
      <c r="W311" t="e">
        <f t="shared" ca="1" si="58"/>
        <v>#N/A</v>
      </c>
      <c r="X311" t="e">
        <f t="shared" ca="1" si="62"/>
        <v>#N/A</v>
      </c>
      <c r="Y311" t="e">
        <f t="shared" ca="1" si="59"/>
        <v>#N/A</v>
      </c>
      <c r="Z311" t="e">
        <f t="shared" ca="1" si="60"/>
        <v>#N/A</v>
      </c>
      <c r="AA311" s="85" t="e">
        <f ca="1"/>
        <v>#N/A</v>
      </c>
      <c r="AB311" s="57" t="e">
        <f t="shared" ca="1" si="63"/>
        <v>#N/A</v>
      </c>
      <c r="AC311" s="57" t="e">
        <f t="shared" ca="1" si="64"/>
        <v>#N/A</v>
      </c>
      <c r="AD311" s="57" t="e">
        <f t="shared" ca="1" si="65"/>
        <v>#N/A</v>
      </c>
      <c r="AE311" s="57" t="e">
        <f t="shared" ca="1" si="66"/>
        <v>#N/A</v>
      </c>
    </row>
    <row r="312" spans="18:31" x14ac:dyDescent="0.3">
      <c r="R312" s="85" t="e">
        <f ca="1"/>
        <v>#N/A</v>
      </c>
      <c r="S312" s="57" t="e">
        <f t="shared" ca="1" si="61"/>
        <v>#N/A</v>
      </c>
      <c r="T312" s="57" t="e">
        <f t="shared" ca="1" si="55"/>
        <v>#N/A</v>
      </c>
      <c r="U312" s="57" t="e">
        <f t="shared" ca="1" si="56"/>
        <v>#N/A</v>
      </c>
      <c r="V312" s="57" t="e">
        <f t="shared" ca="1" si="57"/>
        <v>#N/A</v>
      </c>
      <c r="W312" t="e">
        <f t="shared" ca="1" si="58"/>
        <v>#N/A</v>
      </c>
      <c r="X312" t="e">
        <f t="shared" ca="1" si="62"/>
        <v>#N/A</v>
      </c>
      <c r="Y312" t="e">
        <f t="shared" ca="1" si="59"/>
        <v>#N/A</v>
      </c>
      <c r="Z312" t="e">
        <f t="shared" ca="1" si="60"/>
        <v>#N/A</v>
      </c>
      <c r="AA312" s="85" t="e">
        <f ca="1"/>
        <v>#N/A</v>
      </c>
      <c r="AB312" s="57" t="e">
        <f t="shared" ca="1" si="63"/>
        <v>#N/A</v>
      </c>
      <c r="AC312" s="57" t="e">
        <f t="shared" ca="1" si="64"/>
        <v>#N/A</v>
      </c>
      <c r="AD312" s="57" t="e">
        <f t="shared" ca="1" si="65"/>
        <v>#N/A</v>
      </c>
      <c r="AE312" s="57" t="e">
        <f t="shared" ca="1" si="66"/>
        <v>#N/A</v>
      </c>
    </row>
    <row r="313" spans="18:31" x14ac:dyDescent="0.3">
      <c r="R313" s="85" t="e">
        <f ca="1"/>
        <v>#N/A</v>
      </c>
      <c r="S313" s="57" t="e">
        <f t="shared" ca="1" si="61"/>
        <v>#N/A</v>
      </c>
      <c r="T313" s="57" t="e">
        <f t="shared" ca="1" si="55"/>
        <v>#N/A</v>
      </c>
      <c r="U313" s="57" t="e">
        <f t="shared" ca="1" si="56"/>
        <v>#N/A</v>
      </c>
      <c r="V313" s="57" t="e">
        <f t="shared" ca="1" si="57"/>
        <v>#N/A</v>
      </c>
      <c r="W313" t="e">
        <f t="shared" ca="1" si="58"/>
        <v>#N/A</v>
      </c>
      <c r="X313" t="e">
        <f t="shared" ca="1" si="62"/>
        <v>#N/A</v>
      </c>
      <c r="Y313" t="e">
        <f t="shared" ca="1" si="59"/>
        <v>#N/A</v>
      </c>
      <c r="Z313" t="e">
        <f t="shared" ca="1" si="60"/>
        <v>#N/A</v>
      </c>
      <c r="AA313" s="85" t="e">
        <f ca="1"/>
        <v>#N/A</v>
      </c>
      <c r="AB313" s="57" t="e">
        <f t="shared" ca="1" si="63"/>
        <v>#N/A</v>
      </c>
      <c r="AC313" s="57" t="e">
        <f t="shared" ca="1" si="64"/>
        <v>#N/A</v>
      </c>
      <c r="AD313" s="57" t="e">
        <f t="shared" ca="1" si="65"/>
        <v>#N/A</v>
      </c>
      <c r="AE313" s="57" t="e">
        <f t="shared" ca="1" si="66"/>
        <v>#N/A</v>
      </c>
    </row>
    <row r="314" spans="18:31" x14ac:dyDescent="0.3">
      <c r="R314" s="85" t="e">
        <f ca="1"/>
        <v>#N/A</v>
      </c>
      <c r="S314" s="57" t="e">
        <f t="shared" ca="1" si="61"/>
        <v>#N/A</v>
      </c>
      <c r="T314" s="57" t="e">
        <f t="shared" ca="1" si="55"/>
        <v>#N/A</v>
      </c>
      <c r="U314" s="57" t="e">
        <f t="shared" ca="1" si="56"/>
        <v>#N/A</v>
      </c>
      <c r="V314" s="57" t="e">
        <f t="shared" ca="1" si="57"/>
        <v>#N/A</v>
      </c>
      <c r="W314" t="e">
        <f t="shared" ca="1" si="58"/>
        <v>#N/A</v>
      </c>
      <c r="X314" t="e">
        <f t="shared" ca="1" si="62"/>
        <v>#N/A</v>
      </c>
      <c r="Y314" t="e">
        <f t="shared" ca="1" si="59"/>
        <v>#N/A</v>
      </c>
      <c r="Z314" t="e">
        <f t="shared" ca="1" si="60"/>
        <v>#N/A</v>
      </c>
      <c r="AA314" s="85" t="e">
        <f ca="1"/>
        <v>#N/A</v>
      </c>
      <c r="AB314" s="57" t="e">
        <f t="shared" ca="1" si="63"/>
        <v>#N/A</v>
      </c>
      <c r="AC314" s="57" t="e">
        <f t="shared" ca="1" si="64"/>
        <v>#N/A</v>
      </c>
      <c r="AD314" s="57" t="e">
        <f t="shared" ca="1" si="65"/>
        <v>#N/A</v>
      </c>
      <c r="AE314" s="57" t="e">
        <f t="shared" ca="1" si="66"/>
        <v>#N/A</v>
      </c>
    </row>
    <row r="315" spans="18:31" x14ac:dyDescent="0.3">
      <c r="R315" s="85" t="e">
        <f ca="1"/>
        <v>#N/A</v>
      </c>
      <c r="S315" s="57" t="e">
        <f t="shared" ca="1" si="61"/>
        <v>#N/A</v>
      </c>
      <c r="T315" s="57" t="e">
        <f t="shared" ca="1" si="55"/>
        <v>#N/A</v>
      </c>
      <c r="U315" s="57" t="e">
        <f t="shared" ca="1" si="56"/>
        <v>#N/A</v>
      </c>
      <c r="V315" s="57" t="e">
        <f t="shared" ca="1" si="57"/>
        <v>#N/A</v>
      </c>
      <c r="W315" t="e">
        <f t="shared" ca="1" si="58"/>
        <v>#N/A</v>
      </c>
      <c r="X315" t="e">
        <f t="shared" ca="1" si="62"/>
        <v>#N/A</v>
      </c>
      <c r="Y315" t="e">
        <f t="shared" ca="1" si="59"/>
        <v>#N/A</v>
      </c>
      <c r="Z315" t="e">
        <f t="shared" ca="1" si="60"/>
        <v>#N/A</v>
      </c>
      <c r="AA315" s="85" t="e">
        <f ca="1"/>
        <v>#N/A</v>
      </c>
      <c r="AB315" s="57" t="e">
        <f t="shared" ca="1" si="63"/>
        <v>#N/A</v>
      </c>
      <c r="AC315" s="57" t="e">
        <f t="shared" ca="1" si="64"/>
        <v>#N/A</v>
      </c>
      <c r="AD315" s="57" t="e">
        <f t="shared" ca="1" si="65"/>
        <v>#N/A</v>
      </c>
      <c r="AE315" s="57" t="e">
        <f t="shared" ca="1" si="66"/>
        <v>#N/A</v>
      </c>
    </row>
    <row r="316" spans="18:31" x14ac:dyDescent="0.3">
      <c r="R316" s="85" t="e">
        <f ca="1"/>
        <v>#N/A</v>
      </c>
      <c r="S316" s="57" t="e">
        <f t="shared" ca="1" si="61"/>
        <v>#N/A</v>
      </c>
      <c r="T316" s="57" t="e">
        <f t="shared" ca="1" si="55"/>
        <v>#N/A</v>
      </c>
      <c r="U316" s="57" t="e">
        <f t="shared" ca="1" si="56"/>
        <v>#N/A</v>
      </c>
      <c r="V316" s="57" t="e">
        <f t="shared" ca="1" si="57"/>
        <v>#N/A</v>
      </c>
      <c r="W316" t="e">
        <f t="shared" ca="1" si="58"/>
        <v>#N/A</v>
      </c>
      <c r="X316" t="e">
        <f t="shared" ca="1" si="62"/>
        <v>#N/A</v>
      </c>
      <c r="Y316" t="e">
        <f t="shared" ca="1" si="59"/>
        <v>#N/A</v>
      </c>
      <c r="Z316" t="e">
        <f t="shared" ca="1" si="60"/>
        <v>#N/A</v>
      </c>
      <c r="AA316" s="85" t="e">
        <f ca="1"/>
        <v>#N/A</v>
      </c>
      <c r="AB316" s="57" t="e">
        <f t="shared" ca="1" si="63"/>
        <v>#N/A</v>
      </c>
      <c r="AC316" s="57" t="e">
        <f t="shared" ca="1" si="64"/>
        <v>#N/A</v>
      </c>
      <c r="AD316" s="57" t="e">
        <f t="shared" ca="1" si="65"/>
        <v>#N/A</v>
      </c>
      <c r="AE316" s="57" t="e">
        <f t="shared" ca="1" si="66"/>
        <v>#N/A</v>
      </c>
    </row>
    <row r="317" spans="18:31" x14ac:dyDescent="0.3">
      <c r="R317" s="85" t="e">
        <f ca="1"/>
        <v>#N/A</v>
      </c>
      <c r="S317" s="57" t="e">
        <f t="shared" ca="1" si="61"/>
        <v>#N/A</v>
      </c>
      <c r="T317" s="57" t="e">
        <f t="shared" ca="1" si="55"/>
        <v>#N/A</v>
      </c>
      <c r="U317" s="57" t="e">
        <f t="shared" ca="1" si="56"/>
        <v>#N/A</v>
      </c>
      <c r="V317" s="57" t="e">
        <f t="shared" ca="1" si="57"/>
        <v>#N/A</v>
      </c>
      <c r="W317" t="e">
        <f t="shared" ca="1" si="58"/>
        <v>#N/A</v>
      </c>
      <c r="X317" t="e">
        <f t="shared" ca="1" si="62"/>
        <v>#N/A</v>
      </c>
      <c r="Y317" t="e">
        <f t="shared" ca="1" si="59"/>
        <v>#N/A</v>
      </c>
      <c r="Z317" t="e">
        <f t="shared" ca="1" si="60"/>
        <v>#N/A</v>
      </c>
      <c r="AA317" s="85" t="e">
        <f ca="1"/>
        <v>#N/A</v>
      </c>
      <c r="AB317" s="57" t="e">
        <f t="shared" ca="1" si="63"/>
        <v>#N/A</v>
      </c>
      <c r="AC317" s="57" t="e">
        <f t="shared" ca="1" si="64"/>
        <v>#N/A</v>
      </c>
      <c r="AD317" s="57" t="e">
        <f t="shared" ca="1" si="65"/>
        <v>#N/A</v>
      </c>
      <c r="AE317" s="57" t="e">
        <f t="shared" ca="1" si="66"/>
        <v>#N/A</v>
      </c>
    </row>
    <row r="318" spans="18:31" x14ac:dyDescent="0.3">
      <c r="R318" s="85" t="e">
        <f ca="1"/>
        <v>#N/A</v>
      </c>
      <c r="S318" s="57" t="e">
        <f t="shared" ca="1" si="61"/>
        <v>#N/A</v>
      </c>
      <c r="T318" s="57" t="e">
        <f t="shared" ca="1" si="55"/>
        <v>#N/A</v>
      </c>
      <c r="U318" s="57" t="e">
        <f t="shared" ca="1" si="56"/>
        <v>#N/A</v>
      </c>
      <c r="V318" s="57" t="e">
        <f t="shared" ca="1" si="57"/>
        <v>#N/A</v>
      </c>
      <c r="W318" t="e">
        <f t="shared" ca="1" si="58"/>
        <v>#N/A</v>
      </c>
      <c r="X318" t="e">
        <f t="shared" ca="1" si="62"/>
        <v>#N/A</v>
      </c>
      <c r="Y318" t="e">
        <f t="shared" ca="1" si="59"/>
        <v>#N/A</v>
      </c>
      <c r="Z318" t="e">
        <f t="shared" ca="1" si="60"/>
        <v>#N/A</v>
      </c>
      <c r="AA318" s="85" t="e">
        <f ca="1"/>
        <v>#N/A</v>
      </c>
      <c r="AB318" s="57" t="e">
        <f t="shared" ca="1" si="63"/>
        <v>#N/A</v>
      </c>
      <c r="AC318" s="57" t="e">
        <f t="shared" ca="1" si="64"/>
        <v>#N/A</v>
      </c>
      <c r="AD318" s="57" t="e">
        <f t="shared" ca="1" si="65"/>
        <v>#N/A</v>
      </c>
      <c r="AE318" s="57" t="e">
        <f t="shared" ca="1" si="66"/>
        <v>#N/A</v>
      </c>
    </row>
    <row r="319" spans="18:31" x14ac:dyDescent="0.3">
      <c r="R319" s="85" t="e">
        <f ca="1"/>
        <v>#N/A</v>
      </c>
      <c r="S319" s="57" t="e">
        <f t="shared" ca="1" si="61"/>
        <v>#N/A</v>
      </c>
      <c r="T319" s="57" t="e">
        <f t="shared" ca="1" si="55"/>
        <v>#N/A</v>
      </c>
      <c r="U319" s="57" t="e">
        <f t="shared" ca="1" si="56"/>
        <v>#N/A</v>
      </c>
      <c r="V319" s="57" t="e">
        <f t="shared" ca="1" si="57"/>
        <v>#N/A</v>
      </c>
      <c r="W319" t="e">
        <f t="shared" ca="1" si="58"/>
        <v>#N/A</v>
      </c>
      <c r="X319" t="e">
        <f t="shared" ca="1" si="62"/>
        <v>#N/A</v>
      </c>
      <c r="Y319" t="e">
        <f t="shared" ca="1" si="59"/>
        <v>#N/A</v>
      </c>
      <c r="Z319" t="e">
        <f t="shared" ca="1" si="60"/>
        <v>#N/A</v>
      </c>
      <c r="AA319" s="85" t="e">
        <f ca="1"/>
        <v>#N/A</v>
      </c>
      <c r="AB319" s="57" t="e">
        <f t="shared" ca="1" si="63"/>
        <v>#N/A</v>
      </c>
      <c r="AC319" s="57" t="e">
        <f t="shared" ca="1" si="64"/>
        <v>#N/A</v>
      </c>
      <c r="AD319" s="57" t="e">
        <f t="shared" ca="1" si="65"/>
        <v>#N/A</v>
      </c>
      <c r="AE319" s="57" t="e">
        <f t="shared" ca="1" si="66"/>
        <v>#N/A</v>
      </c>
    </row>
    <row r="320" spans="18:31" x14ac:dyDescent="0.3">
      <c r="R320" s="85" t="e">
        <f ca="1"/>
        <v>#N/A</v>
      </c>
      <c r="S320" s="57" t="e">
        <f t="shared" ca="1" si="61"/>
        <v>#N/A</v>
      </c>
      <c r="T320" s="57" t="e">
        <f t="shared" ca="1" si="55"/>
        <v>#N/A</v>
      </c>
      <c r="U320" s="57" t="e">
        <f t="shared" ca="1" si="56"/>
        <v>#N/A</v>
      </c>
      <c r="V320" s="57" t="e">
        <f t="shared" ca="1" si="57"/>
        <v>#N/A</v>
      </c>
      <c r="W320" t="e">
        <f t="shared" ca="1" si="58"/>
        <v>#N/A</v>
      </c>
      <c r="X320" t="e">
        <f t="shared" ca="1" si="62"/>
        <v>#N/A</v>
      </c>
      <c r="Y320" t="e">
        <f t="shared" ca="1" si="59"/>
        <v>#N/A</v>
      </c>
      <c r="Z320" t="e">
        <f t="shared" ca="1" si="60"/>
        <v>#N/A</v>
      </c>
      <c r="AA320" s="85" t="e">
        <f ca="1"/>
        <v>#N/A</v>
      </c>
      <c r="AB320" s="57" t="e">
        <f t="shared" ca="1" si="63"/>
        <v>#N/A</v>
      </c>
      <c r="AC320" s="57" t="e">
        <f t="shared" ca="1" si="64"/>
        <v>#N/A</v>
      </c>
      <c r="AD320" s="57" t="e">
        <f t="shared" ca="1" si="65"/>
        <v>#N/A</v>
      </c>
      <c r="AE320" s="57" t="e">
        <f t="shared" ca="1" si="66"/>
        <v>#N/A</v>
      </c>
    </row>
    <row r="321" spans="18:31" x14ac:dyDescent="0.3">
      <c r="R321" s="85" t="e">
        <f ca="1"/>
        <v>#N/A</v>
      </c>
      <c r="S321" s="57" t="e">
        <f t="shared" ca="1" si="61"/>
        <v>#N/A</v>
      </c>
      <c r="T321" s="57" t="e">
        <f t="shared" ca="1" si="55"/>
        <v>#N/A</v>
      </c>
      <c r="U321" s="57" t="e">
        <f t="shared" ca="1" si="56"/>
        <v>#N/A</v>
      </c>
      <c r="V321" s="57" t="e">
        <f t="shared" ca="1" si="57"/>
        <v>#N/A</v>
      </c>
      <c r="W321" t="e">
        <f t="shared" ca="1" si="58"/>
        <v>#N/A</v>
      </c>
      <c r="X321" t="e">
        <f t="shared" ca="1" si="62"/>
        <v>#N/A</v>
      </c>
      <c r="Y321" t="e">
        <f t="shared" ca="1" si="59"/>
        <v>#N/A</v>
      </c>
      <c r="Z321" t="e">
        <f t="shared" ca="1" si="60"/>
        <v>#N/A</v>
      </c>
      <c r="AA321" s="85" t="e">
        <f ca="1"/>
        <v>#N/A</v>
      </c>
      <c r="AB321" s="57" t="e">
        <f t="shared" ca="1" si="63"/>
        <v>#N/A</v>
      </c>
      <c r="AC321" s="57" t="e">
        <f t="shared" ca="1" si="64"/>
        <v>#N/A</v>
      </c>
      <c r="AD321" s="57" t="e">
        <f t="shared" ca="1" si="65"/>
        <v>#N/A</v>
      </c>
      <c r="AE321" s="57" t="e">
        <f t="shared" ca="1" si="66"/>
        <v>#N/A</v>
      </c>
    </row>
    <row r="322" spans="18:31" x14ac:dyDescent="0.3">
      <c r="R322" s="85" t="e">
        <f ca="1"/>
        <v>#N/A</v>
      </c>
      <c r="S322" s="57" t="e">
        <f t="shared" ca="1" si="61"/>
        <v>#N/A</v>
      </c>
      <c r="T322" s="57" t="e">
        <f t="shared" ca="1" si="55"/>
        <v>#N/A</v>
      </c>
      <c r="U322" s="57" t="e">
        <f t="shared" ca="1" si="56"/>
        <v>#N/A</v>
      </c>
      <c r="V322" s="57" t="e">
        <f t="shared" ca="1" si="57"/>
        <v>#N/A</v>
      </c>
      <c r="W322" t="e">
        <f t="shared" ca="1" si="58"/>
        <v>#N/A</v>
      </c>
      <c r="X322" t="e">
        <f t="shared" ca="1" si="62"/>
        <v>#N/A</v>
      </c>
      <c r="Y322" t="e">
        <f t="shared" ca="1" si="59"/>
        <v>#N/A</v>
      </c>
      <c r="Z322" t="e">
        <f t="shared" ca="1" si="60"/>
        <v>#N/A</v>
      </c>
      <c r="AA322" s="85" t="e">
        <f ca="1"/>
        <v>#N/A</v>
      </c>
      <c r="AB322" s="57" t="e">
        <f t="shared" ca="1" si="63"/>
        <v>#N/A</v>
      </c>
      <c r="AC322" s="57" t="e">
        <f t="shared" ca="1" si="64"/>
        <v>#N/A</v>
      </c>
      <c r="AD322" s="57" t="e">
        <f t="shared" ca="1" si="65"/>
        <v>#N/A</v>
      </c>
      <c r="AE322" s="57" t="e">
        <f t="shared" ca="1" si="66"/>
        <v>#N/A</v>
      </c>
    </row>
    <row r="323" spans="18:31" x14ac:dyDescent="0.3">
      <c r="R323" s="85" t="e">
        <f ca="1"/>
        <v>#N/A</v>
      </c>
      <c r="S323" s="57" t="e">
        <f t="shared" ca="1" si="61"/>
        <v>#N/A</v>
      </c>
      <c r="T323" s="57" t="e">
        <f t="shared" ca="1" si="55"/>
        <v>#N/A</v>
      </c>
      <c r="U323" s="57" t="e">
        <f t="shared" ca="1" si="56"/>
        <v>#N/A</v>
      </c>
      <c r="V323" s="57" t="e">
        <f t="shared" ca="1" si="57"/>
        <v>#N/A</v>
      </c>
      <c r="W323" t="e">
        <f t="shared" ca="1" si="58"/>
        <v>#N/A</v>
      </c>
      <c r="X323" t="e">
        <f t="shared" ca="1" si="62"/>
        <v>#N/A</v>
      </c>
      <c r="Y323" t="e">
        <f t="shared" ca="1" si="59"/>
        <v>#N/A</v>
      </c>
      <c r="Z323" t="e">
        <f t="shared" ca="1" si="60"/>
        <v>#N/A</v>
      </c>
      <c r="AA323" s="85" t="e">
        <f ca="1"/>
        <v>#N/A</v>
      </c>
      <c r="AB323" s="57" t="e">
        <f t="shared" ca="1" si="63"/>
        <v>#N/A</v>
      </c>
      <c r="AC323" s="57" t="e">
        <f t="shared" ca="1" si="64"/>
        <v>#N/A</v>
      </c>
      <c r="AD323" s="57" t="e">
        <f t="shared" ca="1" si="65"/>
        <v>#N/A</v>
      </c>
      <c r="AE323" s="57" t="e">
        <f t="shared" ca="1" si="66"/>
        <v>#N/A</v>
      </c>
    </row>
    <row r="324" spans="18:31" x14ac:dyDescent="0.3">
      <c r="R324" s="85" t="e">
        <f ca="1"/>
        <v>#N/A</v>
      </c>
      <c r="S324" s="57" t="e">
        <f t="shared" ca="1" si="61"/>
        <v>#N/A</v>
      </c>
      <c r="T324" s="57" t="e">
        <f t="shared" ca="1" si="55"/>
        <v>#N/A</v>
      </c>
      <c r="U324" s="57" t="e">
        <f t="shared" ca="1" si="56"/>
        <v>#N/A</v>
      </c>
      <c r="V324" s="57" t="e">
        <f t="shared" ca="1" si="57"/>
        <v>#N/A</v>
      </c>
      <c r="W324" t="e">
        <f t="shared" ca="1" si="58"/>
        <v>#N/A</v>
      </c>
      <c r="X324" t="e">
        <f t="shared" ca="1" si="62"/>
        <v>#N/A</v>
      </c>
      <c r="Y324" t="e">
        <f t="shared" ca="1" si="59"/>
        <v>#N/A</v>
      </c>
      <c r="Z324" t="e">
        <f t="shared" ca="1" si="60"/>
        <v>#N/A</v>
      </c>
      <c r="AA324" s="85" t="e">
        <f ca="1"/>
        <v>#N/A</v>
      </c>
      <c r="AB324" s="57" t="e">
        <f t="shared" ca="1" si="63"/>
        <v>#N/A</v>
      </c>
      <c r="AC324" s="57" t="e">
        <f t="shared" ca="1" si="64"/>
        <v>#N/A</v>
      </c>
      <c r="AD324" s="57" t="e">
        <f t="shared" ca="1" si="65"/>
        <v>#N/A</v>
      </c>
      <c r="AE324" s="57" t="e">
        <f t="shared" ca="1" si="66"/>
        <v>#N/A</v>
      </c>
    </row>
    <row r="325" spans="18:31" x14ac:dyDescent="0.3">
      <c r="R325" s="85" t="e">
        <f ca="1"/>
        <v>#N/A</v>
      </c>
      <c r="S325" s="57" t="e">
        <f t="shared" ca="1" si="61"/>
        <v>#N/A</v>
      </c>
      <c r="T325" s="57" t="e">
        <f t="shared" ca="1" si="55"/>
        <v>#N/A</v>
      </c>
      <c r="U325" s="57" t="e">
        <f t="shared" ca="1" si="56"/>
        <v>#N/A</v>
      </c>
      <c r="V325" s="57" t="e">
        <f t="shared" ca="1" si="57"/>
        <v>#N/A</v>
      </c>
      <c r="W325" t="e">
        <f t="shared" ca="1" si="58"/>
        <v>#N/A</v>
      </c>
      <c r="X325" t="e">
        <f t="shared" ca="1" si="62"/>
        <v>#N/A</v>
      </c>
      <c r="Y325" t="e">
        <f t="shared" ca="1" si="59"/>
        <v>#N/A</v>
      </c>
      <c r="Z325" t="e">
        <f t="shared" ca="1" si="60"/>
        <v>#N/A</v>
      </c>
      <c r="AA325" s="85" t="e">
        <f ca="1"/>
        <v>#N/A</v>
      </c>
      <c r="AB325" s="57" t="e">
        <f t="shared" ca="1" si="63"/>
        <v>#N/A</v>
      </c>
      <c r="AC325" s="57" t="e">
        <f t="shared" ca="1" si="64"/>
        <v>#N/A</v>
      </c>
      <c r="AD325" s="57" t="e">
        <f t="shared" ca="1" si="65"/>
        <v>#N/A</v>
      </c>
      <c r="AE325" s="57" t="e">
        <f t="shared" ca="1" si="66"/>
        <v>#N/A</v>
      </c>
    </row>
    <row r="326" spans="18:31" x14ac:dyDescent="0.3">
      <c r="R326" s="85" t="e">
        <f ca="1"/>
        <v>#N/A</v>
      </c>
      <c r="S326" s="57" t="e">
        <f t="shared" ca="1" si="61"/>
        <v>#N/A</v>
      </c>
      <c r="T326" s="57" t="e">
        <f t="shared" ca="1" si="55"/>
        <v>#N/A</v>
      </c>
      <c r="U326" s="57" t="e">
        <f t="shared" ca="1" si="56"/>
        <v>#N/A</v>
      </c>
      <c r="V326" s="57" t="e">
        <f t="shared" ca="1" si="57"/>
        <v>#N/A</v>
      </c>
      <c r="W326" t="e">
        <f t="shared" ca="1" si="58"/>
        <v>#N/A</v>
      </c>
      <c r="X326" t="e">
        <f t="shared" ca="1" si="62"/>
        <v>#N/A</v>
      </c>
      <c r="Y326" t="e">
        <f t="shared" ca="1" si="59"/>
        <v>#N/A</v>
      </c>
      <c r="Z326" t="e">
        <f t="shared" ca="1" si="60"/>
        <v>#N/A</v>
      </c>
      <c r="AA326" s="85" t="e">
        <f ca="1"/>
        <v>#N/A</v>
      </c>
      <c r="AB326" s="57" t="e">
        <f t="shared" ca="1" si="63"/>
        <v>#N/A</v>
      </c>
      <c r="AC326" s="57" t="e">
        <f t="shared" ca="1" si="64"/>
        <v>#N/A</v>
      </c>
      <c r="AD326" s="57" t="e">
        <f t="shared" ca="1" si="65"/>
        <v>#N/A</v>
      </c>
      <c r="AE326" s="57" t="e">
        <f t="shared" ca="1" si="66"/>
        <v>#N/A</v>
      </c>
    </row>
    <row r="327" spans="18:31" x14ac:dyDescent="0.3">
      <c r="R327" s="85" t="e">
        <f ca="1"/>
        <v>#N/A</v>
      </c>
      <c r="S327" s="57" t="e">
        <f t="shared" ca="1" si="61"/>
        <v>#N/A</v>
      </c>
      <c r="T327" s="57" t="e">
        <f t="shared" ca="1" si="55"/>
        <v>#N/A</v>
      </c>
      <c r="U327" s="57" t="e">
        <f t="shared" ca="1" si="56"/>
        <v>#N/A</v>
      </c>
      <c r="V327" s="57" t="e">
        <f t="shared" ca="1" si="57"/>
        <v>#N/A</v>
      </c>
      <c r="W327" t="e">
        <f t="shared" ca="1" si="58"/>
        <v>#N/A</v>
      </c>
      <c r="X327" t="e">
        <f t="shared" ca="1" si="62"/>
        <v>#N/A</v>
      </c>
      <c r="Y327" t="e">
        <f t="shared" ca="1" si="59"/>
        <v>#N/A</v>
      </c>
      <c r="Z327" t="e">
        <f t="shared" ca="1" si="60"/>
        <v>#N/A</v>
      </c>
      <c r="AA327" s="85" t="e">
        <f ca="1"/>
        <v>#N/A</v>
      </c>
      <c r="AB327" s="57" t="e">
        <f t="shared" ca="1" si="63"/>
        <v>#N/A</v>
      </c>
      <c r="AC327" s="57" t="e">
        <f t="shared" ca="1" si="64"/>
        <v>#N/A</v>
      </c>
      <c r="AD327" s="57" t="e">
        <f t="shared" ca="1" si="65"/>
        <v>#N/A</v>
      </c>
      <c r="AE327" s="57" t="e">
        <f t="shared" ca="1" si="66"/>
        <v>#N/A</v>
      </c>
    </row>
    <row r="328" spans="18:31" x14ac:dyDescent="0.3">
      <c r="R328" s="85" t="e">
        <f ca="1"/>
        <v>#N/A</v>
      </c>
      <c r="S328" s="57" t="e">
        <f t="shared" ca="1" si="61"/>
        <v>#N/A</v>
      </c>
      <c r="T328" s="57" t="e">
        <f t="shared" ca="1" si="55"/>
        <v>#N/A</v>
      </c>
      <c r="U328" s="57" t="e">
        <f t="shared" ca="1" si="56"/>
        <v>#N/A</v>
      </c>
      <c r="V328" s="57" t="e">
        <f t="shared" ca="1" si="57"/>
        <v>#N/A</v>
      </c>
      <c r="W328" t="e">
        <f t="shared" ca="1" si="58"/>
        <v>#N/A</v>
      </c>
      <c r="X328" t="e">
        <f t="shared" ca="1" si="62"/>
        <v>#N/A</v>
      </c>
      <c r="Y328" t="e">
        <f t="shared" ca="1" si="59"/>
        <v>#N/A</v>
      </c>
      <c r="Z328" t="e">
        <f t="shared" ca="1" si="60"/>
        <v>#N/A</v>
      </c>
      <c r="AA328" s="85" t="e">
        <f ca="1"/>
        <v>#N/A</v>
      </c>
      <c r="AB328" s="57" t="e">
        <f t="shared" ca="1" si="63"/>
        <v>#N/A</v>
      </c>
      <c r="AC328" s="57" t="e">
        <f t="shared" ca="1" si="64"/>
        <v>#N/A</v>
      </c>
      <c r="AD328" s="57" t="e">
        <f t="shared" ca="1" si="65"/>
        <v>#N/A</v>
      </c>
      <c r="AE328" s="57" t="e">
        <f t="shared" ca="1" si="66"/>
        <v>#N/A</v>
      </c>
    </row>
    <row r="329" spans="18:31" x14ac:dyDescent="0.3">
      <c r="R329" s="85" t="e">
        <f ca="1"/>
        <v>#N/A</v>
      </c>
      <c r="S329" s="57" t="e">
        <f t="shared" ca="1" si="61"/>
        <v>#N/A</v>
      </c>
      <c r="T329" s="57" t="e">
        <f t="shared" ca="1" si="55"/>
        <v>#N/A</v>
      </c>
      <c r="U329" s="57" t="e">
        <f t="shared" ca="1" si="56"/>
        <v>#N/A</v>
      </c>
      <c r="V329" s="57" t="e">
        <f t="shared" ca="1" si="57"/>
        <v>#N/A</v>
      </c>
      <c r="W329" t="e">
        <f t="shared" ca="1" si="58"/>
        <v>#N/A</v>
      </c>
      <c r="X329" t="e">
        <f t="shared" ca="1" si="62"/>
        <v>#N/A</v>
      </c>
      <c r="Y329" t="e">
        <f t="shared" ca="1" si="59"/>
        <v>#N/A</v>
      </c>
      <c r="Z329" t="e">
        <f t="shared" ca="1" si="60"/>
        <v>#N/A</v>
      </c>
      <c r="AA329" s="85" t="e">
        <f ca="1"/>
        <v>#N/A</v>
      </c>
      <c r="AB329" s="57" t="e">
        <f t="shared" ca="1" si="63"/>
        <v>#N/A</v>
      </c>
      <c r="AC329" s="57" t="e">
        <f t="shared" ca="1" si="64"/>
        <v>#N/A</v>
      </c>
      <c r="AD329" s="57" t="e">
        <f t="shared" ca="1" si="65"/>
        <v>#N/A</v>
      </c>
      <c r="AE329" s="57" t="e">
        <f t="shared" ca="1" si="66"/>
        <v>#N/A</v>
      </c>
    </row>
    <row r="330" spans="18:31" x14ac:dyDescent="0.3">
      <c r="R330" s="85" t="e">
        <f ca="1"/>
        <v>#N/A</v>
      </c>
      <c r="S330" s="57" t="e">
        <f t="shared" ca="1" si="61"/>
        <v>#N/A</v>
      </c>
      <c r="T330" s="57" t="e">
        <f t="shared" ca="1" si="55"/>
        <v>#N/A</v>
      </c>
      <c r="U330" s="57" t="e">
        <f t="shared" ca="1" si="56"/>
        <v>#N/A</v>
      </c>
      <c r="V330" s="57" t="e">
        <f t="shared" ca="1" si="57"/>
        <v>#N/A</v>
      </c>
      <c r="W330" t="e">
        <f t="shared" ca="1" si="58"/>
        <v>#N/A</v>
      </c>
      <c r="X330" t="e">
        <f t="shared" ca="1" si="62"/>
        <v>#N/A</v>
      </c>
      <c r="Y330" t="e">
        <f t="shared" ca="1" si="59"/>
        <v>#N/A</v>
      </c>
      <c r="Z330" t="e">
        <f t="shared" ca="1" si="60"/>
        <v>#N/A</v>
      </c>
      <c r="AA330" s="85" t="e">
        <f ca="1"/>
        <v>#N/A</v>
      </c>
      <c r="AB330" s="57" t="e">
        <f t="shared" ca="1" si="63"/>
        <v>#N/A</v>
      </c>
      <c r="AC330" s="57" t="e">
        <f t="shared" ca="1" si="64"/>
        <v>#N/A</v>
      </c>
      <c r="AD330" s="57" t="e">
        <f t="shared" ca="1" si="65"/>
        <v>#N/A</v>
      </c>
      <c r="AE330" s="57" t="e">
        <f t="shared" ca="1" si="66"/>
        <v>#N/A</v>
      </c>
    </row>
    <row r="331" spans="18:31" x14ac:dyDescent="0.3">
      <c r="R331" s="85" t="e">
        <f ca="1"/>
        <v>#N/A</v>
      </c>
      <c r="S331" s="57" t="e">
        <f t="shared" ca="1" si="61"/>
        <v>#N/A</v>
      </c>
      <c r="T331" s="57" t="e">
        <f t="shared" ca="1" si="55"/>
        <v>#N/A</v>
      </c>
      <c r="U331" s="57" t="e">
        <f t="shared" ca="1" si="56"/>
        <v>#N/A</v>
      </c>
      <c r="V331" s="57" t="e">
        <f t="shared" ca="1" si="57"/>
        <v>#N/A</v>
      </c>
      <c r="W331" t="e">
        <f t="shared" ca="1" si="58"/>
        <v>#N/A</v>
      </c>
      <c r="X331" t="e">
        <f t="shared" ca="1" si="62"/>
        <v>#N/A</v>
      </c>
      <c r="Y331" t="e">
        <f t="shared" ca="1" si="59"/>
        <v>#N/A</v>
      </c>
      <c r="Z331" t="e">
        <f t="shared" ca="1" si="60"/>
        <v>#N/A</v>
      </c>
      <c r="AA331" s="85" t="e">
        <f ca="1"/>
        <v>#N/A</v>
      </c>
      <c r="AB331" s="57" t="e">
        <f t="shared" ca="1" si="63"/>
        <v>#N/A</v>
      </c>
      <c r="AC331" s="57" t="e">
        <f t="shared" ca="1" si="64"/>
        <v>#N/A</v>
      </c>
      <c r="AD331" s="57" t="e">
        <f t="shared" ca="1" si="65"/>
        <v>#N/A</v>
      </c>
      <c r="AE331" s="57" t="e">
        <f t="shared" ca="1" si="66"/>
        <v>#N/A</v>
      </c>
    </row>
    <row r="332" spans="18:31" x14ac:dyDescent="0.3">
      <c r="R332" s="85" t="e">
        <f ca="1"/>
        <v>#N/A</v>
      </c>
      <c r="S332" s="57" t="e">
        <f t="shared" ca="1" si="61"/>
        <v>#N/A</v>
      </c>
      <c r="T332" s="57" t="e">
        <f t="shared" ca="1" si="55"/>
        <v>#N/A</v>
      </c>
      <c r="U332" s="57" t="e">
        <f t="shared" ca="1" si="56"/>
        <v>#N/A</v>
      </c>
      <c r="V332" s="57" t="e">
        <f t="shared" ca="1" si="57"/>
        <v>#N/A</v>
      </c>
      <c r="W332" t="e">
        <f t="shared" ca="1" si="58"/>
        <v>#N/A</v>
      </c>
      <c r="X332" t="e">
        <f t="shared" ca="1" si="62"/>
        <v>#N/A</v>
      </c>
      <c r="Y332" t="e">
        <f t="shared" ca="1" si="59"/>
        <v>#N/A</v>
      </c>
      <c r="Z332" t="e">
        <f t="shared" ca="1" si="60"/>
        <v>#N/A</v>
      </c>
      <c r="AA332" s="85" t="e">
        <f ca="1"/>
        <v>#N/A</v>
      </c>
      <c r="AB332" s="57" t="e">
        <f t="shared" ca="1" si="63"/>
        <v>#N/A</v>
      </c>
      <c r="AC332" s="57" t="e">
        <f t="shared" ca="1" si="64"/>
        <v>#N/A</v>
      </c>
      <c r="AD332" s="57" t="e">
        <f t="shared" ca="1" si="65"/>
        <v>#N/A</v>
      </c>
      <c r="AE332" s="57" t="e">
        <f t="shared" ca="1" si="66"/>
        <v>#N/A</v>
      </c>
    </row>
    <row r="333" spans="18:31" x14ac:dyDescent="0.3">
      <c r="R333" s="85" t="e">
        <f ca="1"/>
        <v>#N/A</v>
      </c>
      <c r="S333" s="57" t="e">
        <f t="shared" ca="1" si="61"/>
        <v>#N/A</v>
      </c>
      <c r="T333" s="57" t="e">
        <f t="shared" ca="1" si="55"/>
        <v>#N/A</v>
      </c>
      <c r="U333" s="57" t="e">
        <f t="shared" ca="1" si="56"/>
        <v>#N/A</v>
      </c>
      <c r="V333" s="57" t="e">
        <f t="shared" ca="1" si="57"/>
        <v>#N/A</v>
      </c>
      <c r="W333" t="e">
        <f t="shared" ca="1" si="58"/>
        <v>#N/A</v>
      </c>
      <c r="X333" t="e">
        <f t="shared" ca="1" si="62"/>
        <v>#N/A</v>
      </c>
      <c r="Y333" t="e">
        <f t="shared" ca="1" si="59"/>
        <v>#N/A</v>
      </c>
      <c r="Z333" t="e">
        <f t="shared" ca="1" si="60"/>
        <v>#N/A</v>
      </c>
      <c r="AA333" s="85" t="e">
        <f ca="1"/>
        <v>#N/A</v>
      </c>
      <c r="AB333" s="57" t="e">
        <f t="shared" ca="1" si="63"/>
        <v>#N/A</v>
      </c>
      <c r="AC333" s="57" t="e">
        <f t="shared" ca="1" si="64"/>
        <v>#N/A</v>
      </c>
      <c r="AD333" s="57" t="e">
        <f t="shared" ca="1" si="65"/>
        <v>#N/A</v>
      </c>
      <c r="AE333" s="57" t="e">
        <f t="shared" ca="1" si="66"/>
        <v>#N/A</v>
      </c>
    </row>
    <row r="334" spans="18:31" x14ac:dyDescent="0.3">
      <c r="R334" s="85" t="e">
        <f ca="1"/>
        <v>#N/A</v>
      </c>
      <c r="S334" s="57" t="e">
        <f t="shared" ca="1" si="61"/>
        <v>#N/A</v>
      </c>
      <c r="T334" s="57" t="e">
        <f t="shared" ca="1" si="55"/>
        <v>#N/A</v>
      </c>
      <c r="U334" s="57" t="e">
        <f t="shared" ca="1" si="56"/>
        <v>#N/A</v>
      </c>
      <c r="V334" s="57" t="e">
        <f t="shared" ca="1" si="57"/>
        <v>#N/A</v>
      </c>
      <c r="W334" t="e">
        <f t="shared" ca="1" si="58"/>
        <v>#N/A</v>
      </c>
      <c r="X334" t="e">
        <f t="shared" ca="1" si="62"/>
        <v>#N/A</v>
      </c>
      <c r="Y334" t="e">
        <f t="shared" ca="1" si="59"/>
        <v>#N/A</v>
      </c>
      <c r="Z334" t="e">
        <f t="shared" ca="1" si="60"/>
        <v>#N/A</v>
      </c>
      <c r="AA334" s="85" t="e">
        <f ca="1"/>
        <v>#N/A</v>
      </c>
      <c r="AB334" s="57" t="e">
        <f t="shared" ca="1" si="63"/>
        <v>#N/A</v>
      </c>
      <c r="AC334" s="57" t="e">
        <f t="shared" ca="1" si="64"/>
        <v>#N/A</v>
      </c>
      <c r="AD334" s="57" t="e">
        <f t="shared" ca="1" si="65"/>
        <v>#N/A</v>
      </c>
      <c r="AE334" s="57" t="e">
        <f t="shared" ca="1" si="66"/>
        <v>#N/A</v>
      </c>
    </row>
    <row r="335" spans="18:31" x14ac:dyDescent="0.3">
      <c r="R335" s="85" t="e">
        <f ca="1"/>
        <v>#N/A</v>
      </c>
      <c r="S335" s="57" t="e">
        <f t="shared" ca="1" si="61"/>
        <v>#N/A</v>
      </c>
      <c r="T335" s="57" t="e">
        <f t="shared" ca="1" si="55"/>
        <v>#N/A</v>
      </c>
      <c r="U335" s="57" t="e">
        <f t="shared" ca="1" si="56"/>
        <v>#N/A</v>
      </c>
      <c r="V335" s="57" t="e">
        <f t="shared" ca="1" si="57"/>
        <v>#N/A</v>
      </c>
      <c r="W335" t="e">
        <f t="shared" ca="1" si="58"/>
        <v>#N/A</v>
      </c>
      <c r="X335" t="e">
        <f t="shared" ca="1" si="62"/>
        <v>#N/A</v>
      </c>
      <c r="Y335" t="e">
        <f t="shared" ca="1" si="59"/>
        <v>#N/A</v>
      </c>
      <c r="Z335" t="e">
        <f t="shared" ca="1" si="60"/>
        <v>#N/A</v>
      </c>
      <c r="AA335" s="85" t="e">
        <f ca="1"/>
        <v>#N/A</v>
      </c>
      <c r="AB335" s="57" t="e">
        <f t="shared" ca="1" si="63"/>
        <v>#N/A</v>
      </c>
      <c r="AC335" s="57" t="e">
        <f t="shared" ca="1" si="64"/>
        <v>#N/A</v>
      </c>
      <c r="AD335" s="57" t="e">
        <f t="shared" ca="1" si="65"/>
        <v>#N/A</v>
      </c>
      <c r="AE335" s="57" t="e">
        <f t="shared" ca="1" si="66"/>
        <v>#N/A</v>
      </c>
    </row>
    <row r="336" spans="18:31" x14ac:dyDescent="0.3">
      <c r="R336" s="85" t="e">
        <f ca="1"/>
        <v>#N/A</v>
      </c>
      <c r="S336" s="57" t="e">
        <f t="shared" ca="1" si="61"/>
        <v>#N/A</v>
      </c>
      <c r="T336" s="57" t="e">
        <f t="shared" ca="1" si="55"/>
        <v>#N/A</v>
      </c>
      <c r="U336" s="57" t="e">
        <f t="shared" ca="1" si="56"/>
        <v>#N/A</v>
      </c>
      <c r="V336" s="57" t="e">
        <f t="shared" ca="1" si="57"/>
        <v>#N/A</v>
      </c>
      <c r="W336" t="e">
        <f t="shared" ca="1" si="58"/>
        <v>#N/A</v>
      </c>
      <c r="X336" t="e">
        <f t="shared" ca="1" si="62"/>
        <v>#N/A</v>
      </c>
      <c r="Y336" t="e">
        <f t="shared" ca="1" si="59"/>
        <v>#N/A</v>
      </c>
      <c r="Z336" t="e">
        <f t="shared" ca="1" si="60"/>
        <v>#N/A</v>
      </c>
      <c r="AA336" s="85" t="e">
        <f ca="1"/>
        <v>#N/A</v>
      </c>
      <c r="AB336" s="57" t="e">
        <f t="shared" ca="1" si="63"/>
        <v>#N/A</v>
      </c>
      <c r="AC336" s="57" t="e">
        <f t="shared" ca="1" si="64"/>
        <v>#N/A</v>
      </c>
      <c r="AD336" s="57" t="e">
        <f t="shared" ca="1" si="65"/>
        <v>#N/A</v>
      </c>
      <c r="AE336" s="57" t="e">
        <f t="shared" ca="1" si="66"/>
        <v>#N/A</v>
      </c>
    </row>
    <row r="337" spans="18:31" x14ac:dyDescent="0.3">
      <c r="R337" s="85" t="e">
        <f ca="1"/>
        <v>#N/A</v>
      </c>
      <c r="S337" s="57" t="e">
        <f t="shared" ca="1" si="61"/>
        <v>#N/A</v>
      </c>
      <c r="T337" s="57" t="e">
        <f t="shared" ca="1" si="55"/>
        <v>#N/A</v>
      </c>
      <c r="U337" s="57" t="e">
        <f t="shared" ca="1" si="56"/>
        <v>#N/A</v>
      </c>
      <c r="V337" s="57" t="e">
        <f t="shared" ca="1" si="57"/>
        <v>#N/A</v>
      </c>
      <c r="W337" t="e">
        <f t="shared" ca="1" si="58"/>
        <v>#N/A</v>
      </c>
      <c r="X337" t="e">
        <f t="shared" ca="1" si="62"/>
        <v>#N/A</v>
      </c>
      <c r="Y337" t="e">
        <f t="shared" ca="1" si="59"/>
        <v>#N/A</v>
      </c>
      <c r="Z337" t="e">
        <f t="shared" ca="1" si="60"/>
        <v>#N/A</v>
      </c>
      <c r="AA337" s="85" t="e">
        <f ca="1"/>
        <v>#N/A</v>
      </c>
      <c r="AB337" s="57" t="e">
        <f t="shared" ca="1" si="63"/>
        <v>#N/A</v>
      </c>
      <c r="AC337" s="57" t="e">
        <f t="shared" ca="1" si="64"/>
        <v>#N/A</v>
      </c>
      <c r="AD337" s="57" t="e">
        <f t="shared" ca="1" si="65"/>
        <v>#N/A</v>
      </c>
      <c r="AE337" s="57" t="e">
        <f t="shared" ca="1" si="66"/>
        <v>#N/A</v>
      </c>
    </row>
    <row r="338" spans="18:31" x14ac:dyDescent="0.3">
      <c r="R338" s="85" t="e">
        <f ca="1"/>
        <v>#N/A</v>
      </c>
      <c r="S338" s="57" t="e">
        <f t="shared" ca="1" si="61"/>
        <v>#N/A</v>
      </c>
      <c r="T338" s="57" t="e">
        <f t="shared" ref="T338:T395" ca="1" si="67">VLOOKUP(S338,ModelOutputs,2,FALSE)</f>
        <v>#N/A</v>
      </c>
      <c r="U338" s="57" t="e">
        <f t="shared" ref="U338:U395" ca="1" si="68">VLOOKUP(S338,ModelOutputs,7,FALSE)</f>
        <v>#N/A</v>
      </c>
      <c r="V338" s="57" t="e">
        <f t="shared" ref="V338:V395" ca="1" si="69">VLOOKUP(S338,ModelOutputs,6,FALSE)</f>
        <v>#N/A</v>
      </c>
      <c r="W338" t="e">
        <f t="shared" ref="W338:W395" ca="1" si="70">VLOOKUP(S338,ModelOutputs,10,FALSE)*AWC</f>
        <v>#N/A</v>
      </c>
      <c r="X338" t="e">
        <f t="shared" ca="1" si="62"/>
        <v>#N/A</v>
      </c>
      <c r="Y338" t="e">
        <f t="shared" ref="Y338:Y395" ca="1" si="71">VLOOKUP(S338,ModelOutputs,12,FALSE)</f>
        <v>#N/A</v>
      </c>
      <c r="Z338" t="e">
        <f t="shared" ref="Z338:Z395" ca="1" si="72">VLOOKUP(S338,ModelOutputs,13,FALSE)</f>
        <v>#N/A</v>
      </c>
      <c r="AA338" s="85" t="e">
        <f ca="1"/>
        <v>#N/A</v>
      </c>
      <c r="AB338" s="57" t="e">
        <f t="shared" ca="1" si="63"/>
        <v>#N/A</v>
      </c>
      <c r="AC338" s="57" t="e">
        <f t="shared" ca="1" si="64"/>
        <v>#N/A</v>
      </c>
      <c r="AD338" s="57" t="e">
        <f t="shared" ca="1" si="65"/>
        <v>#N/A</v>
      </c>
      <c r="AE338" s="57" t="e">
        <f t="shared" ca="1" si="66"/>
        <v>#N/A</v>
      </c>
    </row>
    <row r="339" spans="18:31" x14ac:dyDescent="0.3">
      <c r="R339" s="85" t="e">
        <f ca="1"/>
        <v>#N/A</v>
      </c>
      <c r="S339" s="57" t="e">
        <f t="shared" ref="S339:S395" ca="1" si="73">IF(R339&gt;1,R339,"")</f>
        <v>#N/A</v>
      </c>
      <c r="T339" s="57" t="e">
        <f t="shared" ca="1" si="67"/>
        <v>#N/A</v>
      </c>
      <c r="U339" s="57" t="e">
        <f t="shared" ca="1" si="68"/>
        <v>#N/A</v>
      </c>
      <c r="V339" s="57" t="e">
        <f t="shared" ca="1" si="69"/>
        <v>#N/A</v>
      </c>
      <c r="W339" t="e">
        <f t="shared" ca="1" si="70"/>
        <v>#N/A</v>
      </c>
      <c r="X339" t="e">
        <f t="shared" ref="X339:X395" ca="1" si="74">VLOOKUP(S339,ModelOutputs,11,FALSE)+X338</f>
        <v>#N/A</v>
      </c>
      <c r="Y339" t="e">
        <f t="shared" ca="1" si="71"/>
        <v>#N/A</v>
      </c>
      <c r="Z339" t="e">
        <f t="shared" ca="1" si="72"/>
        <v>#N/A</v>
      </c>
      <c r="AA339" s="85" t="e">
        <f ca="1"/>
        <v>#N/A</v>
      </c>
      <c r="AB339" s="57" t="e">
        <f t="shared" ca="1" si="63"/>
        <v>#N/A</v>
      </c>
      <c r="AC339" s="57" t="e">
        <f t="shared" ca="1" si="64"/>
        <v>#N/A</v>
      </c>
      <c r="AD339" s="57" t="e">
        <f t="shared" ca="1" si="65"/>
        <v>#N/A</v>
      </c>
      <c r="AE339" s="57" t="e">
        <f t="shared" ca="1" si="66"/>
        <v>#N/A</v>
      </c>
    </row>
    <row r="340" spans="18:31" x14ac:dyDescent="0.3">
      <c r="R340" s="85" t="e">
        <f ca="1"/>
        <v>#N/A</v>
      </c>
      <c r="S340" s="57" t="e">
        <f t="shared" ca="1" si="73"/>
        <v>#N/A</v>
      </c>
      <c r="T340" s="57" t="e">
        <f t="shared" ca="1" si="67"/>
        <v>#N/A</v>
      </c>
      <c r="U340" s="57" t="e">
        <f t="shared" ca="1" si="68"/>
        <v>#N/A</v>
      </c>
      <c r="V340" s="57" t="e">
        <f t="shared" ca="1" si="69"/>
        <v>#N/A</v>
      </c>
      <c r="W340" t="e">
        <f t="shared" ca="1" si="70"/>
        <v>#N/A</v>
      </c>
      <c r="X340" t="e">
        <f t="shared" ca="1" si="74"/>
        <v>#N/A</v>
      </c>
      <c r="Y340" t="e">
        <f t="shared" ca="1" si="71"/>
        <v>#N/A</v>
      </c>
      <c r="Z340" t="e">
        <f t="shared" ca="1" si="72"/>
        <v>#N/A</v>
      </c>
      <c r="AA340" s="85" t="e">
        <f ca="1"/>
        <v>#N/A</v>
      </c>
      <c r="AB340" s="57" t="e">
        <f t="shared" ca="1" si="63"/>
        <v>#N/A</v>
      </c>
      <c r="AC340" s="57" t="e">
        <f t="shared" ca="1" si="64"/>
        <v>#N/A</v>
      </c>
      <c r="AD340" s="57" t="e">
        <f t="shared" ca="1" si="65"/>
        <v>#N/A</v>
      </c>
      <c r="AE340" s="57" t="e">
        <f t="shared" ca="1" si="66"/>
        <v>#N/A</v>
      </c>
    </row>
    <row r="341" spans="18:31" x14ac:dyDescent="0.3">
      <c r="R341" s="85" t="e">
        <f ca="1"/>
        <v>#N/A</v>
      </c>
      <c r="S341" s="57" t="e">
        <f t="shared" ca="1" si="73"/>
        <v>#N/A</v>
      </c>
      <c r="T341" s="57" t="e">
        <f t="shared" ca="1" si="67"/>
        <v>#N/A</v>
      </c>
      <c r="U341" s="57" t="e">
        <f t="shared" ca="1" si="68"/>
        <v>#N/A</v>
      </c>
      <c r="V341" s="57" t="e">
        <f t="shared" ca="1" si="69"/>
        <v>#N/A</v>
      </c>
      <c r="W341" t="e">
        <f t="shared" ca="1" si="70"/>
        <v>#N/A</v>
      </c>
      <c r="X341" t="e">
        <f t="shared" ca="1" si="74"/>
        <v>#N/A</v>
      </c>
      <c r="Y341" t="e">
        <f t="shared" ca="1" si="71"/>
        <v>#N/A</v>
      </c>
      <c r="Z341" t="e">
        <f t="shared" ca="1" si="72"/>
        <v>#N/A</v>
      </c>
      <c r="AA341" s="85" t="e">
        <f ca="1"/>
        <v>#N/A</v>
      </c>
      <c r="AB341" s="57" t="e">
        <f t="shared" ref="AB341:AB395" ca="1" si="75">IF(AA341&gt;1,AA341,"")</f>
        <v>#N/A</v>
      </c>
      <c r="AC341" s="57" t="e">
        <f t="shared" ref="AC341:AC395" ca="1" si="76">VLOOKUP(AB341,ModelOutputs,2,FALSE)</f>
        <v>#N/A</v>
      </c>
      <c r="AD341" s="57" t="e">
        <f t="shared" ref="AD341:AD395" ca="1" si="77">VLOOKUP(AB341,ModelOutputs,7,FALSE)</f>
        <v>#N/A</v>
      </c>
      <c r="AE341" s="57" t="e">
        <f t="shared" ref="AE341:AE395" ca="1" si="78">VLOOKUP(AB341,ModelOutputs,6,FALSE)</f>
        <v>#N/A</v>
      </c>
    </row>
    <row r="342" spans="18:31" x14ac:dyDescent="0.3">
      <c r="R342" s="85" t="e">
        <f ca="1"/>
        <v>#N/A</v>
      </c>
      <c r="S342" s="57" t="e">
        <f t="shared" ca="1" si="73"/>
        <v>#N/A</v>
      </c>
      <c r="T342" s="57" t="e">
        <f t="shared" ca="1" si="67"/>
        <v>#N/A</v>
      </c>
      <c r="U342" s="57" t="e">
        <f t="shared" ca="1" si="68"/>
        <v>#N/A</v>
      </c>
      <c r="V342" s="57" t="e">
        <f t="shared" ca="1" si="69"/>
        <v>#N/A</v>
      </c>
      <c r="W342" t="e">
        <f t="shared" ca="1" si="70"/>
        <v>#N/A</v>
      </c>
      <c r="X342" t="e">
        <f t="shared" ca="1" si="74"/>
        <v>#N/A</v>
      </c>
      <c r="Y342" t="e">
        <f t="shared" ca="1" si="71"/>
        <v>#N/A</v>
      </c>
      <c r="Z342" t="e">
        <f t="shared" ca="1" si="72"/>
        <v>#N/A</v>
      </c>
      <c r="AA342" s="85" t="e">
        <f ca="1"/>
        <v>#N/A</v>
      </c>
      <c r="AB342" s="57" t="e">
        <f t="shared" ca="1" si="75"/>
        <v>#N/A</v>
      </c>
      <c r="AC342" s="57" t="e">
        <f t="shared" ca="1" si="76"/>
        <v>#N/A</v>
      </c>
      <c r="AD342" s="57" t="e">
        <f t="shared" ca="1" si="77"/>
        <v>#N/A</v>
      </c>
      <c r="AE342" s="57" t="e">
        <f t="shared" ca="1" si="78"/>
        <v>#N/A</v>
      </c>
    </row>
    <row r="343" spans="18:31" x14ac:dyDescent="0.3">
      <c r="R343" s="85" t="e">
        <f ca="1"/>
        <v>#N/A</v>
      </c>
      <c r="S343" s="57" t="e">
        <f t="shared" ca="1" si="73"/>
        <v>#N/A</v>
      </c>
      <c r="T343" s="57" t="e">
        <f t="shared" ca="1" si="67"/>
        <v>#N/A</v>
      </c>
      <c r="U343" s="57" t="e">
        <f t="shared" ca="1" si="68"/>
        <v>#N/A</v>
      </c>
      <c r="V343" s="57" t="e">
        <f t="shared" ca="1" si="69"/>
        <v>#N/A</v>
      </c>
      <c r="W343" t="e">
        <f t="shared" ca="1" si="70"/>
        <v>#N/A</v>
      </c>
      <c r="X343" t="e">
        <f t="shared" ca="1" si="74"/>
        <v>#N/A</v>
      </c>
      <c r="Y343" t="e">
        <f t="shared" ca="1" si="71"/>
        <v>#N/A</v>
      </c>
      <c r="Z343" t="e">
        <f t="shared" ca="1" si="72"/>
        <v>#N/A</v>
      </c>
      <c r="AA343" s="85" t="e">
        <f ca="1"/>
        <v>#N/A</v>
      </c>
      <c r="AB343" s="57" t="e">
        <f t="shared" ca="1" si="75"/>
        <v>#N/A</v>
      </c>
      <c r="AC343" s="57" t="e">
        <f t="shared" ca="1" si="76"/>
        <v>#N/A</v>
      </c>
      <c r="AD343" s="57" t="e">
        <f t="shared" ca="1" si="77"/>
        <v>#N/A</v>
      </c>
      <c r="AE343" s="57" t="e">
        <f t="shared" ca="1" si="78"/>
        <v>#N/A</v>
      </c>
    </row>
    <row r="344" spans="18:31" x14ac:dyDescent="0.3">
      <c r="R344" s="85" t="e">
        <f ca="1"/>
        <v>#N/A</v>
      </c>
      <c r="S344" s="57" t="e">
        <f t="shared" ca="1" si="73"/>
        <v>#N/A</v>
      </c>
      <c r="T344" s="57" t="e">
        <f t="shared" ca="1" si="67"/>
        <v>#N/A</v>
      </c>
      <c r="U344" s="57" t="e">
        <f t="shared" ca="1" si="68"/>
        <v>#N/A</v>
      </c>
      <c r="V344" s="57" t="e">
        <f t="shared" ca="1" si="69"/>
        <v>#N/A</v>
      </c>
      <c r="W344" t="e">
        <f t="shared" ca="1" si="70"/>
        <v>#N/A</v>
      </c>
      <c r="X344" t="e">
        <f t="shared" ca="1" si="74"/>
        <v>#N/A</v>
      </c>
      <c r="Y344" t="e">
        <f t="shared" ca="1" si="71"/>
        <v>#N/A</v>
      </c>
      <c r="Z344" t="e">
        <f t="shared" ca="1" si="72"/>
        <v>#N/A</v>
      </c>
      <c r="AA344" s="85" t="e">
        <f ca="1"/>
        <v>#N/A</v>
      </c>
      <c r="AB344" s="57" t="e">
        <f t="shared" ca="1" si="75"/>
        <v>#N/A</v>
      </c>
      <c r="AC344" s="57" t="e">
        <f t="shared" ca="1" si="76"/>
        <v>#N/A</v>
      </c>
      <c r="AD344" s="57" t="e">
        <f t="shared" ca="1" si="77"/>
        <v>#N/A</v>
      </c>
      <c r="AE344" s="57" t="e">
        <f t="shared" ca="1" si="78"/>
        <v>#N/A</v>
      </c>
    </row>
    <row r="345" spans="18:31" x14ac:dyDescent="0.3">
      <c r="R345" s="85" t="e">
        <f ca="1"/>
        <v>#N/A</v>
      </c>
      <c r="S345" s="57" t="e">
        <f t="shared" ca="1" si="73"/>
        <v>#N/A</v>
      </c>
      <c r="T345" s="57" t="e">
        <f t="shared" ca="1" si="67"/>
        <v>#N/A</v>
      </c>
      <c r="U345" s="57" t="e">
        <f t="shared" ca="1" si="68"/>
        <v>#N/A</v>
      </c>
      <c r="V345" s="57" t="e">
        <f t="shared" ca="1" si="69"/>
        <v>#N/A</v>
      </c>
      <c r="W345" t="e">
        <f t="shared" ca="1" si="70"/>
        <v>#N/A</v>
      </c>
      <c r="X345" t="e">
        <f t="shared" ca="1" si="74"/>
        <v>#N/A</v>
      </c>
      <c r="Y345" t="e">
        <f t="shared" ca="1" si="71"/>
        <v>#N/A</v>
      </c>
      <c r="Z345" t="e">
        <f t="shared" ca="1" si="72"/>
        <v>#N/A</v>
      </c>
      <c r="AA345" s="85" t="e">
        <f ca="1"/>
        <v>#N/A</v>
      </c>
      <c r="AB345" s="57" t="e">
        <f t="shared" ca="1" si="75"/>
        <v>#N/A</v>
      </c>
      <c r="AC345" s="57" t="e">
        <f t="shared" ca="1" si="76"/>
        <v>#N/A</v>
      </c>
      <c r="AD345" s="57" t="e">
        <f t="shared" ca="1" si="77"/>
        <v>#N/A</v>
      </c>
      <c r="AE345" s="57" t="e">
        <f t="shared" ca="1" si="78"/>
        <v>#N/A</v>
      </c>
    </row>
    <row r="346" spans="18:31" x14ac:dyDescent="0.3">
      <c r="R346" s="85" t="e">
        <f ca="1"/>
        <v>#N/A</v>
      </c>
      <c r="S346" s="57" t="e">
        <f t="shared" ca="1" si="73"/>
        <v>#N/A</v>
      </c>
      <c r="T346" s="57" t="e">
        <f t="shared" ca="1" si="67"/>
        <v>#N/A</v>
      </c>
      <c r="U346" s="57" t="e">
        <f t="shared" ca="1" si="68"/>
        <v>#N/A</v>
      </c>
      <c r="V346" s="57" t="e">
        <f t="shared" ca="1" si="69"/>
        <v>#N/A</v>
      </c>
      <c r="W346" t="e">
        <f t="shared" ca="1" si="70"/>
        <v>#N/A</v>
      </c>
      <c r="X346" t="e">
        <f t="shared" ca="1" si="74"/>
        <v>#N/A</v>
      </c>
      <c r="Y346" t="e">
        <f t="shared" ca="1" si="71"/>
        <v>#N/A</v>
      </c>
      <c r="Z346" t="e">
        <f t="shared" ca="1" si="72"/>
        <v>#N/A</v>
      </c>
      <c r="AA346" s="85" t="e">
        <f ca="1"/>
        <v>#N/A</v>
      </c>
      <c r="AB346" s="57" t="e">
        <f t="shared" ca="1" si="75"/>
        <v>#N/A</v>
      </c>
      <c r="AC346" s="57" t="e">
        <f t="shared" ca="1" si="76"/>
        <v>#N/A</v>
      </c>
      <c r="AD346" s="57" t="e">
        <f t="shared" ca="1" si="77"/>
        <v>#N/A</v>
      </c>
      <c r="AE346" s="57" t="e">
        <f t="shared" ca="1" si="78"/>
        <v>#N/A</v>
      </c>
    </row>
    <row r="347" spans="18:31" x14ac:dyDescent="0.3">
      <c r="R347" s="85" t="e">
        <f ca="1"/>
        <v>#N/A</v>
      </c>
      <c r="S347" s="57" t="e">
        <f t="shared" ca="1" si="73"/>
        <v>#N/A</v>
      </c>
      <c r="T347" s="57" t="e">
        <f t="shared" ca="1" si="67"/>
        <v>#N/A</v>
      </c>
      <c r="U347" s="57" t="e">
        <f t="shared" ca="1" si="68"/>
        <v>#N/A</v>
      </c>
      <c r="V347" s="57" t="e">
        <f t="shared" ca="1" si="69"/>
        <v>#N/A</v>
      </c>
      <c r="W347" t="e">
        <f t="shared" ca="1" si="70"/>
        <v>#N/A</v>
      </c>
      <c r="X347" t="e">
        <f t="shared" ca="1" si="74"/>
        <v>#N/A</v>
      </c>
      <c r="Y347" t="e">
        <f t="shared" ca="1" si="71"/>
        <v>#N/A</v>
      </c>
      <c r="Z347" t="e">
        <f t="shared" ca="1" si="72"/>
        <v>#N/A</v>
      </c>
      <c r="AA347" s="85" t="e">
        <f ca="1"/>
        <v>#N/A</v>
      </c>
      <c r="AB347" s="57" t="e">
        <f t="shared" ca="1" si="75"/>
        <v>#N/A</v>
      </c>
      <c r="AC347" s="57" t="e">
        <f t="shared" ca="1" si="76"/>
        <v>#N/A</v>
      </c>
      <c r="AD347" s="57" t="e">
        <f t="shared" ca="1" si="77"/>
        <v>#N/A</v>
      </c>
      <c r="AE347" s="57" t="e">
        <f t="shared" ca="1" si="78"/>
        <v>#N/A</v>
      </c>
    </row>
    <row r="348" spans="18:31" x14ac:dyDescent="0.3">
      <c r="R348" s="85" t="e">
        <f ca="1"/>
        <v>#N/A</v>
      </c>
      <c r="S348" s="57" t="e">
        <f t="shared" ca="1" si="73"/>
        <v>#N/A</v>
      </c>
      <c r="T348" s="57" t="e">
        <f t="shared" ca="1" si="67"/>
        <v>#N/A</v>
      </c>
      <c r="U348" s="57" t="e">
        <f t="shared" ca="1" si="68"/>
        <v>#N/A</v>
      </c>
      <c r="V348" s="57" t="e">
        <f t="shared" ca="1" si="69"/>
        <v>#N/A</v>
      </c>
      <c r="W348" t="e">
        <f t="shared" ca="1" si="70"/>
        <v>#N/A</v>
      </c>
      <c r="X348" t="e">
        <f t="shared" ca="1" si="74"/>
        <v>#N/A</v>
      </c>
      <c r="Y348" t="e">
        <f t="shared" ca="1" si="71"/>
        <v>#N/A</v>
      </c>
      <c r="Z348" t="e">
        <f t="shared" ca="1" si="72"/>
        <v>#N/A</v>
      </c>
      <c r="AA348" s="85" t="e">
        <f ca="1"/>
        <v>#N/A</v>
      </c>
      <c r="AB348" s="57" t="e">
        <f t="shared" ca="1" si="75"/>
        <v>#N/A</v>
      </c>
      <c r="AC348" s="57" t="e">
        <f t="shared" ca="1" si="76"/>
        <v>#N/A</v>
      </c>
      <c r="AD348" s="57" t="e">
        <f t="shared" ca="1" si="77"/>
        <v>#N/A</v>
      </c>
      <c r="AE348" s="57" t="e">
        <f t="shared" ca="1" si="78"/>
        <v>#N/A</v>
      </c>
    </row>
    <row r="349" spans="18:31" x14ac:dyDescent="0.3">
      <c r="R349" s="85" t="e">
        <f ca="1"/>
        <v>#N/A</v>
      </c>
      <c r="S349" s="57" t="e">
        <f t="shared" ca="1" si="73"/>
        <v>#N/A</v>
      </c>
      <c r="T349" s="57" t="e">
        <f t="shared" ca="1" si="67"/>
        <v>#N/A</v>
      </c>
      <c r="U349" s="57" t="e">
        <f t="shared" ca="1" si="68"/>
        <v>#N/A</v>
      </c>
      <c r="V349" s="57" t="e">
        <f t="shared" ca="1" si="69"/>
        <v>#N/A</v>
      </c>
      <c r="W349" t="e">
        <f t="shared" ca="1" si="70"/>
        <v>#N/A</v>
      </c>
      <c r="X349" t="e">
        <f t="shared" ca="1" si="74"/>
        <v>#N/A</v>
      </c>
      <c r="Y349" t="e">
        <f t="shared" ca="1" si="71"/>
        <v>#N/A</v>
      </c>
      <c r="Z349" t="e">
        <f t="shared" ca="1" si="72"/>
        <v>#N/A</v>
      </c>
      <c r="AA349" s="85" t="e">
        <f ca="1"/>
        <v>#N/A</v>
      </c>
      <c r="AB349" s="57" t="e">
        <f t="shared" ca="1" si="75"/>
        <v>#N/A</v>
      </c>
      <c r="AC349" s="57" t="e">
        <f t="shared" ca="1" si="76"/>
        <v>#N/A</v>
      </c>
      <c r="AD349" s="57" t="e">
        <f t="shared" ca="1" si="77"/>
        <v>#N/A</v>
      </c>
      <c r="AE349" s="57" t="e">
        <f t="shared" ca="1" si="78"/>
        <v>#N/A</v>
      </c>
    </row>
    <row r="350" spans="18:31" x14ac:dyDescent="0.3">
      <c r="R350" s="85" t="e">
        <f ca="1"/>
        <v>#N/A</v>
      </c>
      <c r="S350" s="57" t="e">
        <f t="shared" ca="1" si="73"/>
        <v>#N/A</v>
      </c>
      <c r="T350" s="57" t="e">
        <f t="shared" ca="1" si="67"/>
        <v>#N/A</v>
      </c>
      <c r="U350" s="57" t="e">
        <f t="shared" ca="1" si="68"/>
        <v>#N/A</v>
      </c>
      <c r="V350" s="57" t="e">
        <f t="shared" ca="1" si="69"/>
        <v>#N/A</v>
      </c>
      <c r="W350" t="e">
        <f t="shared" ca="1" si="70"/>
        <v>#N/A</v>
      </c>
      <c r="X350" t="e">
        <f t="shared" ca="1" si="74"/>
        <v>#N/A</v>
      </c>
      <c r="Y350" t="e">
        <f t="shared" ca="1" si="71"/>
        <v>#N/A</v>
      </c>
      <c r="Z350" t="e">
        <f t="shared" ca="1" si="72"/>
        <v>#N/A</v>
      </c>
      <c r="AA350" s="85" t="e">
        <f ca="1"/>
        <v>#N/A</v>
      </c>
      <c r="AB350" s="57" t="e">
        <f t="shared" ca="1" si="75"/>
        <v>#N/A</v>
      </c>
      <c r="AC350" s="57" t="e">
        <f t="shared" ca="1" si="76"/>
        <v>#N/A</v>
      </c>
      <c r="AD350" s="57" t="e">
        <f t="shared" ca="1" si="77"/>
        <v>#N/A</v>
      </c>
      <c r="AE350" s="57" t="e">
        <f t="shared" ca="1" si="78"/>
        <v>#N/A</v>
      </c>
    </row>
    <row r="351" spans="18:31" x14ac:dyDescent="0.3">
      <c r="R351" s="85" t="e">
        <f ca="1"/>
        <v>#N/A</v>
      </c>
      <c r="S351" s="57" t="e">
        <f t="shared" ca="1" si="73"/>
        <v>#N/A</v>
      </c>
      <c r="T351" s="57" t="e">
        <f t="shared" ca="1" si="67"/>
        <v>#N/A</v>
      </c>
      <c r="U351" s="57" t="e">
        <f t="shared" ca="1" si="68"/>
        <v>#N/A</v>
      </c>
      <c r="V351" s="57" t="e">
        <f t="shared" ca="1" si="69"/>
        <v>#N/A</v>
      </c>
      <c r="W351" t="e">
        <f t="shared" ca="1" si="70"/>
        <v>#N/A</v>
      </c>
      <c r="X351" t="e">
        <f t="shared" ca="1" si="74"/>
        <v>#N/A</v>
      </c>
      <c r="Y351" t="e">
        <f t="shared" ca="1" si="71"/>
        <v>#N/A</v>
      </c>
      <c r="Z351" t="e">
        <f t="shared" ca="1" si="72"/>
        <v>#N/A</v>
      </c>
      <c r="AA351" s="85" t="e">
        <f ca="1"/>
        <v>#N/A</v>
      </c>
      <c r="AB351" s="57" t="e">
        <f t="shared" ca="1" si="75"/>
        <v>#N/A</v>
      </c>
      <c r="AC351" s="57" t="e">
        <f t="shared" ca="1" si="76"/>
        <v>#N/A</v>
      </c>
      <c r="AD351" s="57" t="e">
        <f t="shared" ca="1" si="77"/>
        <v>#N/A</v>
      </c>
      <c r="AE351" s="57" t="e">
        <f t="shared" ca="1" si="78"/>
        <v>#N/A</v>
      </c>
    </row>
    <row r="352" spans="18:31" x14ac:dyDescent="0.3">
      <c r="R352" s="85" t="e">
        <f ca="1"/>
        <v>#N/A</v>
      </c>
      <c r="S352" s="57" t="e">
        <f t="shared" ca="1" si="73"/>
        <v>#N/A</v>
      </c>
      <c r="T352" s="57" t="e">
        <f t="shared" ca="1" si="67"/>
        <v>#N/A</v>
      </c>
      <c r="U352" s="57" t="e">
        <f t="shared" ca="1" si="68"/>
        <v>#N/A</v>
      </c>
      <c r="V352" s="57" t="e">
        <f t="shared" ca="1" si="69"/>
        <v>#N/A</v>
      </c>
      <c r="W352" t="e">
        <f t="shared" ca="1" si="70"/>
        <v>#N/A</v>
      </c>
      <c r="X352" t="e">
        <f t="shared" ca="1" si="74"/>
        <v>#N/A</v>
      </c>
      <c r="Y352" t="e">
        <f t="shared" ca="1" si="71"/>
        <v>#N/A</v>
      </c>
      <c r="Z352" t="e">
        <f t="shared" ca="1" si="72"/>
        <v>#N/A</v>
      </c>
      <c r="AA352" s="85" t="e">
        <f ca="1"/>
        <v>#N/A</v>
      </c>
      <c r="AB352" s="57" t="e">
        <f t="shared" ca="1" si="75"/>
        <v>#N/A</v>
      </c>
      <c r="AC352" s="57" t="e">
        <f t="shared" ca="1" si="76"/>
        <v>#N/A</v>
      </c>
      <c r="AD352" s="57" t="e">
        <f t="shared" ca="1" si="77"/>
        <v>#N/A</v>
      </c>
      <c r="AE352" s="57" t="e">
        <f t="shared" ca="1" si="78"/>
        <v>#N/A</v>
      </c>
    </row>
    <row r="353" spans="18:31" x14ac:dyDescent="0.3">
      <c r="R353" s="85" t="e">
        <f ca="1"/>
        <v>#N/A</v>
      </c>
      <c r="S353" s="57" t="e">
        <f t="shared" ca="1" si="73"/>
        <v>#N/A</v>
      </c>
      <c r="T353" s="57" t="e">
        <f t="shared" ca="1" si="67"/>
        <v>#N/A</v>
      </c>
      <c r="U353" s="57" t="e">
        <f t="shared" ca="1" si="68"/>
        <v>#N/A</v>
      </c>
      <c r="V353" s="57" t="e">
        <f t="shared" ca="1" si="69"/>
        <v>#N/A</v>
      </c>
      <c r="W353" t="e">
        <f t="shared" ca="1" si="70"/>
        <v>#N/A</v>
      </c>
      <c r="X353" t="e">
        <f t="shared" ca="1" si="74"/>
        <v>#N/A</v>
      </c>
      <c r="Y353" t="e">
        <f t="shared" ca="1" si="71"/>
        <v>#N/A</v>
      </c>
      <c r="Z353" t="e">
        <f t="shared" ca="1" si="72"/>
        <v>#N/A</v>
      </c>
      <c r="AA353" s="85" t="e">
        <f ca="1"/>
        <v>#N/A</v>
      </c>
      <c r="AB353" s="57" t="e">
        <f t="shared" ca="1" si="75"/>
        <v>#N/A</v>
      </c>
      <c r="AC353" s="57" t="e">
        <f t="shared" ca="1" si="76"/>
        <v>#N/A</v>
      </c>
      <c r="AD353" s="57" t="e">
        <f t="shared" ca="1" si="77"/>
        <v>#N/A</v>
      </c>
      <c r="AE353" s="57" t="e">
        <f t="shared" ca="1" si="78"/>
        <v>#N/A</v>
      </c>
    </row>
    <row r="354" spans="18:31" x14ac:dyDescent="0.3">
      <c r="R354" s="85" t="e">
        <f ca="1"/>
        <v>#N/A</v>
      </c>
      <c r="S354" s="57" t="e">
        <f t="shared" ca="1" si="73"/>
        <v>#N/A</v>
      </c>
      <c r="T354" s="57" t="e">
        <f t="shared" ca="1" si="67"/>
        <v>#N/A</v>
      </c>
      <c r="U354" s="57" t="e">
        <f t="shared" ca="1" si="68"/>
        <v>#N/A</v>
      </c>
      <c r="V354" s="57" t="e">
        <f t="shared" ca="1" si="69"/>
        <v>#N/A</v>
      </c>
      <c r="W354" t="e">
        <f t="shared" ca="1" si="70"/>
        <v>#N/A</v>
      </c>
      <c r="X354" t="e">
        <f t="shared" ca="1" si="74"/>
        <v>#N/A</v>
      </c>
      <c r="Y354" t="e">
        <f t="shared" ca="1" si="71"/>
        <v>#N/A</v>
      </c>
      <c r="Z354" t="e">
        <f t="shared" ca="1" si="72"/>
        <v>#N/A</v>
      </c>
      <c r="AA354" s="85" t="e">
        <f ca="1"/>
        <v>#N/A</v>
      </c>
      <c r="AB354" s="57" t="e">
        <f t="shared" ca="1" si="75"/>
        <v>#N/A</v>
      </c>
      <c r="AC354" s="57" t="e">
        <f t="shared" ca="1" si="76"/>
        <v>#N/A</v>
      </c>
      <c r="AD354" s="57" t="e">
        <f t="shared" ca="1" si="77"/>
        <v>#N/A</v>
      </c>
      <c r="AE354" s="57" t="e">
        <f t="shared" ca="1" si="78"/>
        <v>#N/A</v>
      </c>
    </row>
    <row r="355" spans="18:31" x14ac:dyDescent="0.3">
      <c r="R355" s="85" t="e">
        <f ca="1"/>
        <v>#N/A</v>
      </c>
      <c r="S355" s="57" t="e">
        <f t="shared" ca="1" si="73"/>
        <v>#N/A</v>
      </c>
      <c r="T355" s="57" t="e">
        <f t="shared" ca="1" si="67"/>
        <v>#N/A</v>
      </c>
      <c r="U355" s="57" t="e">
        <f t="shared" ca="1" si="68"/>
        <v>#N/A</v>
      </c>
      <c r="V355" s="57" t="e">
        <f t="shared" ca="1" si="69"/>
        <v>#N/A</v>
      </c>
      <c r="W355" t="e">
        <f t="shared" ca="1" si="70"/>
        <v>#N/A</v>
      </c>
      <c r="X355" t="e">
        <f t="shared" ca="1" si="74"/>
        <v>#N/A</v>
      </c>
      <c r="Y355" t="e">
        <f t="shared" ca="1" si="71"/>
        <v>#N/A</v>
      </c>
      <c r="Z355" t="e">
        <f t="shared" ca="1" si="72"/>
        <v>#N/A</v>
      </c>
      <c r="AA355" s="85" t="e">
        <f ca="1"/>
        <v>#N/A</v>
      </c>
      <c r="AB355" s="57" t="e">
        <f t="shared" ca="1" si="75"/>
        <v>#N/A</v>
      </c>
      <c r="AC355" s="57" t="e">
        <f t="shared" ca="1" si="76"/>
        <v>#N/A</v>
      </c>
      <c r="AD355" s="57" t="e">
        <f t="shared" ca="1" si="77"/>
        <v>#N/A</v>
      </c>
      <c r="AE355" s="57" t="e">
        <f t="shared" ca="1" si="78"/>
        <v>#N/A</v>
      </c>
    </row>
    <row r="356" spans="18:31" x14ac:dyDescent="0.3">
      <c r="R356" s="85" t="e">
        <f ca="1"/>
        <v>#N/A</v>
      </c>
      <c r="S356" s="57" t="e">
        <f t="shared" ca="1" si="73"/>
        <v>#N/A</v>
      </c>
      <c r="T356" s="57" t="e">
        <f t="shared" ca="1" si="67"/>
        <v>#N/A</v>
      </c>
      <c r="U356" s="57" t="e">
        <f t="shared" ca="1" si="68"/>
        <v>#N/A</v>
      </c>
      <c r="V356" s="57" t="e">
        <f t="shared" ca="1" si="69"/>
        <v>#N/A</v>
      </c>
      <c r="W356" t="e">
        <f t="shared" ca="1" si="70"/>
        <v>#N/A</v>
      </c>
      <c r="X356" t="e">
        <f t="shared" ca="1" si="74"/>
        <v>#N/A</v>
      </c>
      <c r="Y356" t="e">
        <f t="shared" ca="1" si="71"/>
        <v>#N/A</v>
      </c>
      <c r="Z356" t="e">
        <f t="shared" ca="1" si="72"/>
        <v>#N/A</v>
      </c>
      <c r="AA356" s="85" t="e">
        <f ca="1"/>
        <v>#N/A</v>
      </c>
      <c r="AB356" s="57" t="e">
        <f t="shared" ca="1" si="75"/>
        <v>#N/A</v>
      </c>
      <c r="AC356" s="57" t="e">
        <f t="shared" ca="1" si="76"/>
        <v>#N/A</v>
      </c>
      <c r="AD356" s="57" t="e">
        <f t="shared" ca="1" si="77"/>
        <v>#N/A</v>
      </c>
      <c r="AE356" s="57" t="e">
        <f t="shared" ca="1" si="78"/>
        <v>#N/A</v>
      </c>
    </row>
    <row r="357" spans="18:31" x14ac:dyDescent="0.3">
      <c r="R357" s="85" t="e">
        <f ca="1"/>
        <v>#N/A</v>
      </c>
      <c r="S357" s="57" t="e">
        <f t="shared" ca="1" si="73"/>
        <v>#N/A</v>
      </c>
      <c r="T357" s="57" t="e">
        <f t="shared" ca="1" si="67"/>
        <v>#N/A</v>
      </c>
      <c r="U357" s="57" t="e">
        <f t="shared" ca="1" si="68"/>
        <v>#N/A</v>
      </c>
      <c r="V357" s="57" t="e">
        <f t="shared" ca="1" si="69"/>
        <v>#N/A</v>
      </c>
      <c r="W357" t="e">
        <f t="shared" ca="1" si="70"/>
        <v>#N/A</v>
      </c>
      <c r="X357" t="e">
        <f t="shared" ca="1" si="74"/>
        <v>#N/A</v>
      </c>
      <c r="Y357" t="e">
        <f t="shared" ca="1" si="71"/>
        <v>#N/A</v>
      </c>
      <c r="Z357" t="e">
        <f t="shared" ca="1" si="72"/>
        <v>#N/A</v>
      </c>
      <c r="AA357" s="85" t="e">
        <f ca="1"/>
        <v>#N/A</v>
      </c>
      <c r="AB357" s="57" t="e">
        <f t="shared" ca="1" si="75"/>
        <v>#N/A</v>
      </c>
      <c r="AC357" s="57" t="e">
        <f t="shared" ca="1" si="76"/>
        <v>#N/A</v>
      </c>
      <c r="AD357" s="57" t="e">
        <f t="shared" ca="1" si="77"/>
        <v>#N/A</v>
      </c>
      <c r="AE357" s="57" t="e">
        <f t="shared" ca="1" si="78"/>
        <v>#N/A</v>
      </c>
    </row>
    <row r="358" spans="18:31" x14ac:dyDescent="0.3">
      <c r="R358" s="85" t="e">
        <f ca="1"/>
        <v>#N/A</v>
      </c>
      <c r="S358" s="57" t="e">
        <f t="shared" ca="1" si="73"/>
        <v>#N/A</v>
      </c>
      <c r="T358" s="57" t="e">
        <f t="shared" ca="1" si="67"/>
        <v>#N/A</v>
      </c>
      <c r="U358" s="57" t="e">
        <f t="shared" ca="1" si="68"/>
        <v>#N/A</v>
      </c>
      <c r="V358" s="57" t="e">
        <f t="shared" ca="1" si="69"/>
        <v>#N/A</v>
      </c>
      <c r="W358" t="e">
        <f t="shared" ca="1" si="70"/>
        <v>#N/A</v>
      </c>
      <c r="X358" t="e">
        <f t="shared" ca="1" si="74"/>
        <v>#N/A</v>
      </c>
      <c r="Y358" t="e">
        <f t="shared" ca="1" si="71"/>
        <v>#N/A</v>
      </c>
      <c r="Z358" t="e">
        <f t="shared" ca="1" si="72"/>
        <v>#N/A</v>
      </c>
      <c r="AA358" s="85" t="e">
        <f ca="1"/>
        <v>#N/A</v>
      </c>
      <c r="AB358" s="57" t="e">
        <f t="shared" ca="1" si="75"/>
        <v>#N/A</v>
      </c>
      <c r="AC358" s="57" t="e">
        <f t="shared" ca="1" si="76"/>
        <v>#N/A</v>
      </c>
      <c r="AD358" s="57" t="e">
        <f t="shared" ca="1" si="77"/>
        <v>#N/A</v>
      </c>
      <c r="AE358" s="57" t="e">
        <f t="shared" ca="1" si="78"/>
        <v>#N/A</v>
      </c>
    </row>
    <row r="359" spans="18:31" x14ac:dyDescent="0.3">
      <c r="R359" s="85" t="e">
        <f ca="1"/>
        <v>#N/A</v>
      </c>
      <c r="S359" s="57" t="e">
        <f t="shared" ca="1" si="73"/>
        <v>#N/A</v>
      </c>
      <c r="T359" s="57" t="e">
        <f t="shared" ca="1" si="67"/>
        <v>#N/A</v>
      </c>
      <c r="U359" s="57" t="e">
        <f t="shared" ca="1" si="68"/>
        <v>#N/A</v>
      </c>
      <c r="V359" s="57" t="e">
        <f t="shared" ca="1" si="69"/>
        <v>#N/A</v>
      </c>
      <c r="W359" t="e">
        <f t="shared" ca="1" si="70"/>
        <v>#N/A</v>
      </c>
      <c r="X359" t="e">
        <f t="shared" ca="1" si="74"/>
        <v>#N/A</v>
      </c>
      <c r="Y359" t="e">
        <f t="shared" ca="1" si="71"/>
        <v>#N/A</v>
      </c>
      <c r="Z359" t="e">
        <f t="shared" ca="1" si="72"/>
        <v>#N/A</v>
      </c>
      <c r="AA359" s="85" t="e">
        <f ca="1"/>
        <v>#N/A</v>
      </c>
      <c r="AB359" s="57" t="e">
        <f t="shared" ca="1" si="75"/>
        <v>#N/A</v>
      </c>
      <c r="AC359" s="57" t="e">
        <f t="shared" ca="1" si="76"/>
        <v>#N/A</v>
      </c>
      <c r="AD359" s="57" t="e">
        <f t="shared" ca="1" si="77"/>
        <v>#N/A</v>
      </c>
      <c r="AE359" s="57" t="e">
        <f t="shared" ca="1" si="78"/>
        <v>#N/A</v>
      </c>
    </row>
    <row r="360" spans="18:31" x14ac:dyDescent="0.3">
      <c r="R360" s="85" t="e">
        <f ca="1"/>
        <v>#N/A</v>
      </c>
      <c r="S360" s="57" t="e">
        <f t="shared" ca="1" si="73"/>
        <v>#N/A</v>
      </c>
      <c r="T360" s="57" t="e">
        <f t="shared" ca="1" si="67"/>
        <v>#N/A</v>
      </c>
      <c r="U360" s="57" t="e">
        <f t="shared" ca="1" si="68"/>
        <v>#N/A</v>
      </c>
      <c r="V360" s="57" t="e">
        <f t="shared" ca="1" si="69"/>
        <v>#N/A</v>
      </c>
      <c r="W360" t="e">
        <f t="shared" ca="1" si="70"/>
        <v>#N/A</v>
      </c>
      <c r="X360" t="e">
        <f t="shared" ca="1" si="74"/>
        <v>#N/A</v>
      </c>
      <c r="Y360" t="e">
        <f t="shared" ca="1" si="71"/>
        <v>#N/A</v>
      </c>
      <c r="Z360" t="e">
        <f t="shared" ca="1" si="72"/>
        <v>#N/A</v>
      </c>
      <c r="AA360" s="85" t="e">
        <f ca="1"/>
        <v>#N/A</v>
      </c>
      <c r="AB360" s="57" t="e">
        <f t="shared" ca="1" si="75"/>
        <v>#N/A</v>
      </c>
      <c r="AC360" s="57" t="e">
        <f t="shared" ca="1" si="76"/>
        <v>#N/A</v>
      </c>
      <c r="AD360" s="57" t="e">
        <f t="shared" ca="1" si="77"/>
        <v>#N/A</v>
      </c>
      <c r="AE360" s="57" t="e">
        <f t="shared" ca="1" si="78"/>
        <v>#N/A</v>
      </c>
    </row>
    <row r="361" spans="18:31" x14ac:dyDescent="0.3">
      <c r="R361" s="85" t="e">
        <f ca="1"/>
        <v>#N/A</v>
      </c>
      <c r="S361" s="57" t="e">
        <f t="shared" ca="1" si="73"/>
        <v>#N/A</v>
      </c>
      <c r="T361" s="57" t="e">
        <f t="shared" ca="1" si="67"/>
        <v>#N/A</v>
      </c>
      <c r="U361" s="57" t="e">
        <f t="shared" ca="1" si="68"/>
        <v>#N/A</v>
      </c>
      <c r="V361" s="57" t="e">
        <f t="shared" ca="1" si="69"/>
        <v>#N/A</v>
      </c>
      <c r="W361" t="e">
        <f t="shared" ca="1" si="70"/>
        <v>#N/A</v>
      </c>
      <c r="X361" t="e">
        <f t="shared" ca="1" si="74"/>
        <v>#N/A</v>
      </c>
      <c r="Y361" t="e">
        <f t="shared" ca="1" si="71"/>
        <v>#N/A</v>
      </c>
      <c r="Z361" t="e">
        <f t="shared" ca="1" si="72"/>
        <v>#N/A</v>
      </c>
      <c r="AA361" s="85" t="e">
        <f ca="1"/>
        <v>#N/A</v>
      </c>
      <c r="AB361" s="57" t="e">
        <f t="shared" ca="1" si="75"/>
        <v>#N/A</v>
      </c>
      <c r="AC361" s="57" t="e">
        <f t="shared" ca="1" si="76"/>
        <v>#N/A</v>
      </c>
      <c r="AD361" s="57" t="e">
        <f t="shared" ca="1" si="77"/>
        <v>#N/A</v>
      </c>
      <c r="AE361" s="57" t="e">
        <f t="shared" ca="1" si="78"/>
        <v>#N/A</v>
      </c>
    </row>
    <row r="362" spans="18:31" x14ac:dyDescent="0.3">
      <c r="R362" s="85" t="e">
        <f ca="1"/>
        <v>#N/A</v>
      </c>
      <c r="S362" s="57" t="e">
        <f t="shared" ca="1" si="73"/>
        <v>#N/A</v>
      </c>
      <c r="T362" s="57" t="e">
        <f t="shared" ca="1" si="67"/>
        <v>#N/A</v>
      </c>
      <c r="U362" s="57" t="e">
        <f t="shared" ca="1" si="68"/>
        <v>#N/A</v>
      </c>
      <c r="V362" s="57" t="e">
        <f t="shared" ca="1" si="69"/>
        <v>#N/A</v>
      </c>
      <c r="W362" t="e">
        <f t="shared" ca="1" si="70"/>
        <v>#N/A</v>
      </c>
      <c r="X362" t="e">
        <f t="shared" ca="1" si="74"/>
        <v>#N/A</v>
      </c>
      <c r="Y362" t="e">
        <f t="shared" ca="1" si="71"/>
        <v>#N/A</v>
      </c>
      <c r="Z362" t="e">
        <f t="shared" ca="1" si="72"/>
        <v>#N/A</v>
      </c>
      <c r="AA362" s="85" t="e">
        <f ca="1"/>
        <v>#N/A</v>
      </c>
      <c r="AB362" s="57" t="e">
        <f t="shared" ca="1" si="75"/>
        <v>#N/A</v>
      </c>
      <c r="AC362" s="57" t="e">
        <f t="shared" ca="1" si="76"/>
        <v>#N/A</v>
      </c>
      <c r="AD362" s="57" t="e">
        <f t="shared" ca="1" si="77"/>
        <v>#N/A</v>
      </c>
      <c r="AE362" s="57" t="e">
        <f t="shared" ca="1" si="78"/>
        <v>#N/A</v>
      </c>
    </row>
    <row r="363" spans="18:31" x14ac:dyDescent="0.3">
      <c r="R363" s="85" t="e">
        <f ca="1"/>
        <v>#N/A</v>
      </c>
      <c r="S363" s="57" t="e">
        <f t="shared" ca="1" si="73"/>
        <v>#N/A</v>
      </c>
      <c r="T363" s="57" t="e">
        <f t="shared" ca="1" si="67"/>
        <v>#N/A</v>
      </c>
      <c r="U363" s="57" t="e">
        <f t="shared" ca="1" si="68"/>
        <v>#N/A</v>
      </c>
      <c r="V363" s="57" t="e">
        <f t="shared" ca="1" si="69"/>
        <v>#N/A</v>
      </c>
      <c r="W363" t="e">
        <f t="shared" ca="1" si="70"/>
        <v>#N/A</v>
      </c>
      <c r="X363" t="e">
        <f t="shared" ca="1" si="74"/>
        <v>#N/A</v>
      </c>
      <c r="Y363" t="e">
        <f t="shared" ca="1" si="71"/>
        <v>#N/A</v>
      </c>
      <c r="Z363" t="e">
        <f t="shared" ca="1" si="72"/>
        <v>#N/A</v>
      </c>
      <c r="AA363" s="85" t="e">
        <f ca="1"/>
        <v>#N/A</v>
      </c>
      <c r="AB363" s="57" t="e">
        <f t="shared" ca="1" si="75"/>
        <v>#N/A</v>
      </c>
      <c r="AC363" s="57" t="e">
        <f t="shared" ca="1" si="76"/>
        <v>#N/A</v>
      </c>
      <c r="AD363" s="57" t="e">
        <f t="shared" ca="1" si="77"/>
        <v>#N/A</v>
      </c>
      <c r="AE363" s="57" t="e">
        <f t="shared" ca="1" si="78"/>
        <v>#N/A</v>
      </c>
    </row>
    <row r="364" spans="18:31" x14ac:dyDescent="0.3">
      <c r="R364" s="85" t="e">
        <f ca="1"/>
        <v>#N/A</v>
      </c>
      <c r="S364" s="57" t="e">
        <f t="shared" ca="1" si="73"/>
        <v>#N/A</v>
      </c>
      <c r="T364" s="57" t="e">
        <f t="shared" ca="1" si="67"/>
        <v>#N/A</v>
      </c>
      <c r="U364" s="57" t="e">
        <f t="shared" ca="1" si="68"/>
        <v>#N/A</v>
      </c>
      <c r="V364" s="57" t="e">
        <f t="shared" ca="1" si="69"/>
        <v>#N/A</v>
      </c>
      <c r="W364" t="e">
        <f t="shared" ca="1" si="70"/>
        <v>#N/A</v>
      </c>
      <c r="X364" t="e">
        <f t="shared" ca="1" si="74"/>
        <v>#N/A</v>
      </c>
      <c r="Y364" t="e">
        <f t="shared" ca="1" si="71"/>
        <v>#N/A</v>
      </c>
      <c r="Z364" t="e">
        <f t="shared" ca="1" si="72"/>
        <v>#N/A</v>
      </c>
      <c r="AA364" s="85" t="e">
        <f ca="1"/>
        <v>#N/A</v>
      </c>
      <c r="AB364" s="57" t="e">
        <f t="shared" ca="1" si="75"/>
        <v>#N/A</v>
      </c>
      <c r="AC364" s="57" t="e">
        <f t="shared" ca="1" si="76"/>
        <v>#N/A</v>
      </c>
      <c r="AD364" s="57" t="e">
        <f t="shared" ca="1" si="77"/>
        <v>#N/A</v>
      </c>
      <c r="AE364" s="57" t="e">
        <f t="shared" ca="1" si="78"/>
        <v>#N/A</v>
      </c>
    </row>
    <row r="365" spans="18:31" x14ac:dyDescent="0.3">
      <c r="R365" s="85" t="e">
        <f ca="1"/>
        <v>#N/A</v>
      </c>
      <c r="S365" s="57" t="e">
        <f t="shared" ca="1" si="73"/>
        <v>#N/A</v>
      </c>
      <c r="T365" s="57" t="e">
        <f t="shared" ca="1" si="67"/>
        <v>#N/A</v>
      </c>
      <c r="U365" s="57" t="e">
        <f t="shared" ca="1" si="68"/>
        <v>#N/A</v>
      </c>
      <c r="V365" s="57" t="e">
        <f t="shared" ca="1" si="69"/>
        <v>#N/A</v>
      </c>
      <c r="W365" t="e">
        <f t="shared" ca="1" si="70"/>
        <v>#N/A</v>
      </c>
      <c r="X365" t="e">
        <f t="shared" ca="1" si="74"/>
        <v>#N/A</v>
      </c>
      <c r="Y365" t="e">
        <f t="shared" ca="1" si="71"/>
        <v>#N/A</v>
      </c>
      <c r="Z365" t="e">
        <f t="shared" ca="1" si="72"/>
        <v>#N/A</v>
      </c>
      <c r="AA365" s="85" t="e">
        <f ca="1"/>
        <v>#N/A</v>
      </c>
      <c r="AB365" s="57" t="e">
        <f t="shared" ca="1" si="75"/>
        <v>#N/A</v>
      </c>
      <c r="AC365" s="57" t="e">
        <f t="shared" ca="1" si="76"/>
        <v>#N/A</v>
      </c>
      <c r="AD365" s="57" t="e">
        <f t="shared" ca="1" si="77"/>
        <v>#N/A</v>
      </c>
      <c r="AE365" s="57" t="e">
        <f t="shared" ca="1" si="78"/>
        <v>#N/A</v>
      </c>
    </row>
    <row r="366" spans="18:31" x14ac:dyDescent="0.3">
      <c r="R366" s="85" t="e">
        <f ca="1"/>
        <v>#N/A</v>
      </c>
      <c r="S366" s="57" t="e">
        <f t="shared" ca="1" si="73"/>
        <v>#N/A</v>
      </c>
      <c r="T366" s="57" t="e">
        <f t="shared" ca="1" si="67"/>
        <v>#N/A</v>
      </c>
      <c r="U366" s="57" t="e">
        <f t="shared" ca="1" si="68"/>
        <v>#N/A</v>
      </c>
      <c r="V366" s="57" t="e">
        <f t="shared" ca="1" si="69"/>
        <v>#N/A</v>
      </c>
      <c r="W366" t="e">
        <f t="shared" ca="1" si="70"/>
        <v>#N/A</v>
      </c>
      <c r="X366" t="e">
        <f t="shared" ca="1" si="74"/>
        <v>#N/A</v>
      </c>
      <c r="Y366" t="e">
        <f t="shared" ca="1" si="71"/>
        <v>#N/A</v>
      </c>
      <c r="Z366" t="e">
        <f t="shared" ca="1" si="72"/>
        <v>#N/A</v>
      </c>
      <c r="AA366" s="85" t="e">
        <f ca="1"/>
        <v>#N/A</v>
      </c>
      <c r="AB366" s="57" t="e">
        <f t="shared" ca="1" si="75"/>
        <v>#N/A</v>
      </c>
      <c r="AC366" s="57" t="e">
        <f t="shared" ca="1" si="76"/>
        <v>#N/A</v>
      </c>
      <c r="AD366" s="57" t="e">
        <f t="shared" ca="1" si="77"/>
        <v>#N/A</v>
      </c>
      <c r="AE366" s="57" t="e">
        <f t="shared" ca="1" si="78"/>
        <v>#N/A</v>
      </c>
    </row>
    <row r="367" spans="18:31" x14ac:dyDescent="0.3">
      <c r="R367" s="85" t="e">
        <f ca="1"/>
        <v>#N/A</v>
      </c>
      <c r="S367" s="57" t="e">
        <f t="shared" ca="1" si="73"/>
        <v>#N/A</v>
      </c>
      <c r="T367" s="57" t="e">
        <f t="shared" ca="1" si="67"/>
        <v>#N/A</v>
      </c>
      <c r="U367" s="57" t="e">
        <f t="shared" ca="1" si="68"/>
        <v>#N/A</v>
      </c>
      <c r="V367" s="57" t="e">
        <f t="shared" ca="1" si="69"/>
        <v>#N/A</v>
      </c>
      <c r="W367" t="e">
        <f t="shared" ca="1" si="70"/>
        <v>#N/A</v>
      </c>
      <c r="X367" t="e">
        <f t="shared" ca="1" si="74"/>
        <v>#N/A</v>
      </c>
      <c r="Y367" t="e">
        <f t="shared" ca="1" si="71"/>
        <v>#N/A</v>
      </c>
      <c r="Z367" t="e">
        <f t="shared" ca="1" si="72"/>
        <v>#N/A</v>
      </c>
      <c r="AA367" s="85" t="e">
        <f ca="1"/>
        <v>#N/A</v>
      </c>
      <c r="AB367" s="57" t="e">
        <f t="shared" ca="1" si="75"/>
        <v>#N/A</v>
      </c>
      <c r="AC367" s="57" t="e">
        <f t="shared" ca="1" si="76"/>
        <v>#N/A</v>
      </c>
      <c r="AD367" s="57" t="e">
        <f t="shared" ca="1" si="77"/>
        <v>#N/A</v>
      </c>
      <c r="AE367" s="57" t="e">
        <f t="shared" ca="1" si="78"/>
        <v>#N/A</v>
      </c>
    </row>
    <row r="368" spans="18:31" x14ac:dyDescent="0.3">
      <c r="R368" s="85" t="e">
        <f ca="1"/>
        <v>#N/A</v>
      </c>
      <c r="S368" s="57" t="e">
        <f t="shared" ca="1" si="73"/>
        <v>#N/A</v>
      </c>
      <c r="T368" s="57" t="e">
        <f t="shared" ca="1" si="67"/>
        <v>#N/A</v>
      </c>
      <c r="U368" s="57" t="e">
        <f t="shared" ca="1" si="68"/>
        <v>#N/A</v>
      </c>
      <c r="V368" s="57" t="e">
        <f t="shared" ca="1" si="69"/>
        <v>#N/A</v>
      </c>
      <c r="W368" t="e">
        <f t="shared" ca="1" si="70"/>
        <v>#N/A</v>
      </c>
      <c r="X368" t="e">
        <f t="shared" ca="1" si="74"/>
        <v>#N/A</v>
      </c>
      <c r="Y368" t="e">
        <f t="shared" ca="1" si="71"/>
        <v>#N/A</v>
      </c>
      <c r="Z368" t="e">
        <f t="shared" ca="1" si="72"/>
        <v>#N/A</v>
      </c>
      <c r="AA368" s="85" t="e">
        <f ca="1"/>
        <v>#N/A</v>
      </c>
      <c r="AB368" s="57" t="e">
        <f t="shared" ca="1" si="75"/>
        <v>#N/A</v>
      </c>
      <c r="AC368" s="57" t="e">
        <f t="shared" ca="1" si="76"/>
        <v>#N/A</v>
      </c>
      <c r="AD368" s="57" t="e">
        <f t="shared" ca="1" si="77"/>
        <v>#N/A</v>
      </c>
      <c r="AE368" s="57" t="e">
        <f t="shared" ca="1" si="78"/>
        <v>#N/A</v>
      </c>
    </row>
    <row r="369" spans="18:31" x14ac:dyDescent="0.3">
      <c r="R369" s="85" t="e">
        <f ca="1"/>
        <v>#N/A</v>
      </c>
      <c r="S369" s="57" t="e">
        <f t="shared" ca="1" si="73"/>
        <v>#N/A</v>
      </c>
      <c r="T369" s="57" t="e">
        <f t="shared" ca="1" si="67"/>
        <v>#N/A</v>
      </c>
      <c r="U369" s="57" t="e">
        <f t="shared" ca="1" si="68"/>
        <v>#N/A</v>
      </c>
      <c r="V369" s="57" t="e">
        <f t="shared" ca="1" si="69"/>
        <v>#N/A</v>
      </c>
      <c r="W369" t="e">
        <f t="shared" ca="1" si="70"/>
        <v>#N/A</v>
      </c>
      <c r="X369" t="e">
        <f t="shared" ca="1" si="74"/>
        <v>#N/A</v>
      </c>
      <c r="Y369" t="e">
        <f t="shared" ca="1" si="71"/>
        <v>#N/A</v>
      </c>
      <c r="Z369" t="e">
        <f t="shared" ca="1" si="72"/>
        <v>#N/A</v>
      </c>
      <c r="AA369" s="85" t="e">
        <f ca="1"/>
        <v>#N/A</v>
      </c>
      <c r="AB369" s="57" t="e">
        <f t="shared" ca="1" si="75"/>
        <v>#N/A</v>
      </c>
      <c r="AC369" s="57" t="e">
        <f t="shared" ca="1" si="76"/>
        <v>#N/A</v>
      </c>
      <c r="AD369" s="57" t="e">
        <f t="shared" ca="1" si="77"/>
        <v>#N/A</v>
      </c>
      <c r="AE369" s="57" t="e">
        <f t="shared" ca="1" si="78"/>
        <v>#N/A</v>
      </c>
    </row>
    <row r="370" spans="18:31" x14ac:dyDescent="0.3">
      <c r="R370" s="85" t="e">
        <f ca="1"/>
        <v>#N/A</v>
      </c>
      <c r="S370" s="57" t="e">
        <f t="shared" ca="1" si="73"/>
        <v>#N/A</v>
      </c>
      <c r="T370" s="57" t="e">
        <f t="shared" ca="1" si="67"/>
        <v>#N/A</v>
      </c>
      <c r="U370" s="57" t="e">
        <f t="shared" ca="1" si="68"/>
        <v>#N/A</v>
      </c>
      <c r="V370" s="57" t="e">
        <f t="shared" ca="1" si="69"/>
        <v>#N/A</v>
      </c>
      <c r="W370" t="e">
        <f t="shared" ca="1" si="70"/>
        <v>#N/A</v>
      </c>
      <c r="X370" t="e">
        <f t="shared" ca="1" si="74"/>
        <v>#N/A</v>
      </c>
      <c r="Y370" t="e">
        <f t="shared" ca="1" si="71"/>
        <v>#N/A</v>
      </c>
      <c r="Z370" t="e">
        <f t="shared" ca="1" si="72"/>
        <v>#N/A</v>
      </c>
      <c r="AA370" s="85" t="e">
        <f ca="1"/>
        <v>#N/A</v>
      </c>
      <c r="AB370" s="57" t="e">
        <f t="shared" ca="1" si="75"/>
        <v>#N/A</v>
      </c>
      <c r="AC370" s="57" t="e">
        <f t="shared" ca="1" si="76"/>
        <v>#N/A</v>
      </c>
      <c r="AD370" s="57" t="e">
        <f t="shared" ca="1" si="77"/>
        <v>#N/A</v>
      </c>
      <c r="AE370" s="57" t="e">
        <f t="shared" ca="1" si="78"/>
        <v>#N/A</v>
      </c>
    </row>
    <row r="371" spans="18:31" x14ac:dyDescent="0.3">
      <c r="R371" s="85" t="e">
        <f ca="1"/>
        <v>#N/A</v>
      </c>
      <c r="S371" s="57" t="e">
        <f t="shared" ca="1" si="73"/>
        <v>#N/A</v>
      </c>
      <c r="T371" s="57" t="e">
        <f t="shared" ca="1" si="67"/>
        <v>#N/A</v>
      </c>
      <c r="U371" s="57" t="e">
        <f t="shared" ca="1" si="68"/>
        <v>#N/A</v>
      </c>
      <c r="V371" s="57" t="e">
        <f t="shared" ca="1" si="69"/>
        <v>#N/A</v>
      </c>
      <c r="W371" t="e">
        <f t="shared" ca="1" si="70"/>
        <v>#N/A</v>
      </c>
      <c r="X371" t="e">
        <f t="shared" ca="1" si="74"/>
        <v>#N/A</v>
      </c>
      <c r="Y371" t="e">
        <f t="shared" ca="1" si="71"/>
        <v>#N/A</v>
      </c>
      <c r="Z371" t="e">
        <f t="shared" ca="1" si="72"/>
        <v>#N/A</v>
      </c>
      <c r="AA371" s="85" t="e">
        <f ca="1"/>
        <v>#N/A</v>
      </c>
      <c r="AB371" s="57" t="e">
        <f t="shared" ca="1" si="75"/>
        <v>#N/A</v>
      </c>
      <c r="AC371" s="57" t="e">
        <f t="shared" ca="1" si="76"/>
        <v>#N/A</v>
      </c>
      <c r="AD371" s="57" t="e">
        <f t="shared" ca="1" si="77"/>
        <v>#N/A</v>
      </c>
      <c r="AE371" s="57" t="e">
        <f t="shared" ca="1" si="78"/>
        <v>#N/A</v>
      </c>
    </row>
    <row r="372" spans="18:31" x14ac:dyDescent="0.3">
      <c r="R372" s="85" t="e">
        <f ca="1"/>
        <v>#N/A</v>
      </c>
      <c r="S372" s="57" t="e">
        <f t="shared" ca="1" si="73"/>
        <v>#N/A</v>
      </c>
      <c r="T372" s="57" t="e">
        <f t="shared" ca="1" si="67"/>
        <v>#N/A</v>
      </c>
      <c r="U372" s="57" t="e">
        <f t="shared" ca="1" si="68"/>
        <v>#N/A</v>
      </c>
      <c r="V372" s="57" t="e">
        <f t="shared" ca="1" si="69"/>
        <v>#N/A</v>
      </c>
      <c r="W372" t="e">
        <f t="shared" ca="1" si="70"/>
        <v>#N/A</v>
      </c>
      <c r="X372" t="e">
        <f t="shared" ca="1" si="74"/>
        <v>#N/A</v>
      </c>
      <c r="Y372" t="e">
        <f t="shared" ca="1" si="71"/>
        <v>#N/A</v>
      </c>
      <c r="Z372" t="e">
        <f t="shared" ca="1" si="72"/>
        <v>#N/A</v>
      </c>
      <c r="AA372" s="85" t="e">
        <f ca="1"/>
        <v>#N/A</v>
      </c>
      <c r="AB372" s="57" t="e">
        <f t="shared" ca="1" si="75"/>
        <v>#N/A</v>
      </c>
      <c r="AC372" s="57" t="e">
        <f t="shared" ca="1" si="76"/>
        <v>#N/A</v>
      </c>
      <c r="AD372" s="57" t="e">
        <f t="shared" ca="1" si="77"/>
        <v>#N/A</v>
      </c>
      <c r="AE372" s="57" t="e">
        <f t="shared" ca="1" si="78"/>
        <v>#N/A</v>
      </c>
    </row>
    <row r="373" spans="18:31" x14ac:dyDescent="0.3">
      <c r="R373" s="85" t="e">
        <f ca="1"/>
        <v>#N/A</v>
      </c>
      <c r="S373" s="57" t="e">
        <f t="shared" ca="1" si="73"/>
        <v>#N/A</v>
      </c>
      <c r="T373" s="57" t="e">
        <f t="shared" ca="1" si="67"/>
        <v>#N/A</v>
      </c>
      <c r="U373" s="57" t="e">
        <f t="shared" ca="1" si="68"/>
        <v>#N/A</v>
      </c>
      <c r="V373" s="57" t="e">
        <f t="shared" ca="1" si="69"/>
        <v>#N/A</v>
      </c>
      <c r="W373" t="e">
        <f t="shared" ca="1" si="70"/>
        <v>#N/A</v>
      </c>
      <c r="X373" t="e">
        <f t="shared" ca="1" si="74"/>
        <v>#N/A</v>
      </c>
      <c r="Y373" t="e">
        <f t="shared" ca="1" si="71"/>
        <v>#N/A</v>
      </c>
      <c r="Z373" t="e">
        <f t="shared" ca="1" si="72"/>
        <v>#N/A</v>
      </c>
      <c r="AA373" s="85" t="e">
        <f ca="1"/>
        <v>#N/A</v>
      </c>
      <c r="AB373" s="57" t="e">
        <f t="shared" ca="1" si="75"/>
        <v>#N/A</v>
      </c>
      <c r="AC373" s="57" t="e">
        <f t="shared" ca="1" si="76"/>
        <v>#N/A</v>
      </c>
      <c r="AD373" s="57" t="e">
        <f t="shared" ca="1" si="77"/>
        <v>#N/A</v>
      </c>
      <c r="AE373" s="57" t="e">
        <f t="shared" ca="1" si="78"/>
        <v>#N/A</v>
      </c>
    </row>
    <row r="374" spans="18:31" x14ac:dyDescent="0.3">
      <c r="R374" s="85" t="e">
        <f ca="1"/>
        <v>#N/A</v>
      </c>
      <c r="S374" s="57" t="e">
        <f t="shared" ca="1" si="73"/>
        <v>#N/A</v>
      </c>
      <c r="T374" s="57" t="e">
        <f t="shared" ca="1" si="67"/>
        <v>#N/A</v>
      </c>
      <c r="U374" s="57" t="e">
        <f t="shared" ca="1" si="68"/>
        <v>#N/A</v>
      </c>
      <c r="V374" s="57" t="e">
        <f t="shared" ca="1" si="69"/>
        <v>#N/A</v>
      </c>
      <c r="W374" t="e">
        <f t="shared" ca="1" si="70"/>
        <v>#N/A</v>
      </c>
      <c r="X374" t="e">
        <f t="shared" ca="1" si="74"/>
        <v>#N/A</v>
      </c>
      <c r="Y374" t="e">
        <f t="shared" ca="1" si="71"/>
        <v>#N/A</v>
      </c>
      <c r="Z374" t="e">
        <f t="shared" ca="1" si="72"/>
        <v>#N/A</v>
      </c>
      <c r="AA374" s="85" t="e">
        <f ca="1"/>
        <v>#N/A</v>
      </c>
      <c r="AB374" s="57" t="e">
        <f t="shared" ca="1" si="75"/>
        <v>#N/A</v>
      </c>
      <c r="AC374" s="57" t="e">
        <f t="shared" ca="1" si="76"/>
        <v>#N/A</v>
      </c>
      <c r="AD374" s="57" t="e">
        <f t="shared" ca="1" si="77"/>
        <v>#N/A</v>
      </c>
      <c r="AE374" s="57" t="e">
        <f t="shared" ca="1" si="78"/>
        <v>#N/A</v>
      </c>
    </row>
    <row r="375" spans="18:31" x14ac:dyDescent="0.3">
      <c r="R375" s="85" t="e">
        <f ca="1"/>
        <v>#N/A</v>
      </c>
      <c r="S375" s="57" t="e">
        <f t="shared" ca="1" si="73"/>
        <v>#N/A</v>
      </c>
      <c r="T375" s="57" t="e">
        <f t="shared" ca="1" si="67"/>
        <v>#N/A</v>
      </c>
      <c r="U375" s="57" t="e">
        <f t="shared" ca="1" si="68"/>
        <v>#N/A</v>
      </c>
      <c r="V375" s="57" t="e">
        <f t="shared" ca="1" si="69"/>
        <v>#N/A</v>
      </c>
      <c r="W375" t="e">
        <f t="shared" ca="1" si="70"/>
        <v>#N/A</v>
      </c>
      <c r="X375" t="e">
        <f t="shared" ca="1" si="74"/>
        <v>#N/A</v>
      </c>
      <c r="Y375" t="e">
        <f t="shared" ca="1" si="71"/>
        <v>#N/A</v>
      </c>
      <c r="Z375" t="e">
        <f t="shared" ca="1" si="72"/>
        <v>#N/A</v>
      </c>
      <c r="AA375" s="85" t="e">
        <f ca="1"/>
        <v>#N/A</v>
      </c>
      <c r="AB375" s="57" t="e">
        <f t="shared" ca="1" si="75"/>
        <v>#N/A</v>
      </c>
      <c r="AC375" s="57" t="e">
        <f t="shared" ca="1" si="76"/>
        <v>#N/A</v>
      </c>
      <c r="AD375" s="57" t="e">
        <f t="shared" ca="1" si="77"/>
        <v>#N/A</v>
      </c>
      <c r="AE375" s="57" t="e">
        <f t="shared" ca="1" si="78"/>
        <v>#N/A</v>
      </c>
    </row>
    <row r="376" spans="18:31" x14ac:dyDescent="0.3">
      <c r="R376" s="85" t="e">
        <f ca="1"/>
        <v>#N/A</v>
      </c>
      <c r="S376" s="57" t="e">
        <f t="shared" ca="1" si="73"/>
        <v>#N/A</v>
      </c>
      <c r="T376" s="57" t="e">
        <f t="shared" ca="1" si="67"/>
        <v>#N/A</v>
      </c>
      <c r="U376" s="57" t="e">
        <f t="shared" ca="1" si="68"/>
        <v>#N/A</v>
      </c>
      <c r="V376" s="57" t="e">
        <f t="shared" ca="1" si="69"/>
        <v>#N/A</v>
      </c>
      <c r="W376" t="e">
        <f t="shared" ca="1" si="70"/>
        <v>#N/A</v>
      </c>
      <c r="X376" t="e">
        <f t="shared" ca="1" si="74"/>
        <v>#N/A</v>
      </c>
      <c r="Y376" t="e">
        <f t="shared" ca="1" si="71"/>
        <v>#N/A</v>
      </c>
      <c r="Z376" t="e">
        <f t="shared" ca="1" si="72"/>
        <v>#N/A</v>
      </c>
      <c r="AA376" s="85" t="e">
        <f ca="1"/>
        <v>#N/A</v>
      </c>
      <c r="AB376" s="57" t="e">
        <f t="shared" ca="1" si="75"/>
        <v>#N/A</v>
      </c>
      <c r="AC376" s="57" t="e">
        <f t="shared" ca="1" si="76"/>
        <v>#N/A</v>
      </c>
      <c r="AD376" s="57" t="e">
        <f t="shared" ca="1" si="77"/>
        <v>#N/A</v>
      </c>
      <c r="AE376" s="57" t="e">
        <f t="shared" ca="1" si="78"/>
        <v>#N/A</v>
      </c>
    </row>
    <row r="377" spans="18:31" x14ac:dyDescent="0.3">
      <c r="R377" s="85" t="e">
        <f ca="1"/>
        <v>#N/A</v>
      </c>
      <c r="S377" s="57" t="e">
        <f t="shared" ca="1" si="73"/>
        <v>#N/A</v>
      </c>
      <c r="T377" s="57" t="e">
        <f t="shared" ca="1" si="67"/>
        <v>#N/A</v>
      </c>
      <c r="U377" s="57" t="e">
        <f t="shared" ca="1" si="68"/>
        <v>#N/A</v>
      </c>
      <c r="V377" s="57" t="e">
        <f t="shared" ca="1" si="69"/>
        <v>#N/A</v>
      </c>
      <c r="W377" t="e">
        <f t="shared" ca="1" si="70"/>
        <v>#N/A</v>
      </c>
      <c r="X377" t="e">
        <f t="shared" ca="1" si="74"/>
        <v>#N/A</v>
      </c>
      <c r="Y377" t="e">
        <f t="shared" ca="1" si="71"/>
        <v>#N/A</v>
      </c>
      <c r="Z377" t="e">
        <f t="shared" ca="1" si="72"/>
        <v>#N/A</v>
      </c>
      <c r="AA377" s="85" t="e">
        <f ca="1"/>
        <v>#N/A</v>
      </c>
      <c r="AB377" s="57" t="e">
        <f t="shared" ca="1" si="75"/>
        <v>#N/A</v>
      </c>
      <c r="AC377" s="57" t="e">
        <f t="shared" ca="1" si="76"/>
        <v>#N/A</v>
      </c>
      <c r="AD377" s="57" t="e">
        <f t="shared" ca="1" si="77"/>
        <v>#N/A</v>
      </c>
      <c r="AE377" s="57" t="e">
        <f t="shared" ca="1" si="78"/>
        <v>#N/A</v>
      </c>
    </row>
    <row r="378" spans="18:31" x14ac:dyDescent="0.3">
      <c r="R378" s="85" t="e">
        <f ca="1"/>
        <v>#N/A</v>
      </c>
      <c r="S378" s="57" t="e">
        <f t="shared" ca="1" si="73"/>
        <v>#N/A</v>
      </c>
      <c r="T378" s="57" t="e">
        <f t="shared" ca="1" si="67"/>
        <v>#N/A</v>
      </c>
      <c r="U378" s="57" t="e">
        <f t="shared" ca="1" si="68"/>
        <v>#N/A</v>
      </c>
      <c r="V378" s="57" t="e">
        <f t="shared" ca="1" si="69"/>
        <v>#N/A</v>
      </c>
      <c r="W378" t="e">
        <f t="shared" ca="1" si="70"/>
        <v>#N/A</v>
      </c>
      <c r="X378" t="e">
        <f t="shared" ca="1" si="74"/>
        <v>#N/A</v>
      </c>
      <c r="Y378" t="e">
        <f t="shared" ca="1" si="71"/>
        <v>#N/A</v>
      </c>
      <c r="Z378" t="e">
        <f t="shared" ca="1" si="72"/>
        <v>#N/A</v>
      </c>
      <c r="AA378" s="85" t="e">
        <f ca="1"/>
        <v>#N/A</v>
      </c>
      <c r="AB378" s="57" t="e">
        <f t="shared" ca="1" si="75"/>
        <v>#N/A</v>
      </c>
      <c r="AC378" s="57" t="e">
        <f t="shared" ca="1" si="76"/>
        <v>#N/A</v>
      </c>
      <c r="AD378" s="57" t="e">
        <f t="shared" ca="1" si="77"/>
        <v>#N/A</v>
      </c>
      <c r="AE378" s="57" t="e">
        <f t="shared" ca="1" si="78"/>
        <v>#N/A</v>
      </c>
    </row>
    <row r="379" spans="18:31" x14ac:dyDescent="0.3">
      <c r="R379" s="85" t="e">
        <f ca="1"/>
        <v>#N/A</v>
      </c>
      <c r="S379" s="57" t="e">
        <f t="shared" ca="1" si="73"/>
        <v>#N/A</v>
      </c>
      <c r="T379" s="57" t="e">
        <f t="shared" ca="1" si="67"/>
        <v>#N/A</v>
      </c>
      <c r="U379" s="57" t="e">
        <f t="shared" ca="1" si="68"/>
        <v>#N/A</v>
      </c>
      <c r="V379" s="57" t="e">
        <f t="shared" ca="1" si="69"/>
        <v>#N/A</v>
      </c>
      <c r="W379" t="e">
        <f t="shared" ca="1" si="70"/>
        <v>#N/A</v>
      </c>
      <c r="X379" t="e">
        <f t="shared" ca="1" si="74"/>
        <v>#N/A</v>
      </c>
      <c r="Y379" t="e">
        <f t="shared" ca="1" si="71"/>
        <v>#N/A</v>
      </c>
      <c r="Z379" t="e">
        <f t="shared" ca="1" si="72"/>
        <v>#N/A</v>
      </c>
      <c r="AA379" s="85" t="e">
        <f ca="1"/>
        <v>#N/A</v>
      </c>
      <c r="AB379" s="57" t="e">
        <f t="shared" ca="1" si="75"/>
        <v>#N/A</v>
      </c>
      <c r="AC379" s="57" t="e">
        <f t="shared" ca="1" si="76"/>
        <v>#N/A</v>
      </c>
      <c r="AD379" s="57" t="e">
        <f t="shared" ca="1" si="77"/>
        <v>#N/A</v>
      </c>
      <c r="AE379" s="57" t="e">
        <f t="shared" ca="1" si="78"/>
        <v>#N/A</v>
      </c>
    </row>
    <row r="380" spans="18:31" x14ac:dyDescent="0.3">
      <c r="R380" s="85" t="e">
        <f ca="1"/>
        <v>#N/A</v>
      </c>
      <c r="S380" s="57" t="e">
        <f t="shared" ca="1" si="73"/>
        <v>#N/A</v>
      </c>
      <c r="T380" s="57" t="e">
        <f t="shared" ca="1" si="67"/>
        <v>#N/A</v>
      </c>
      <c r="U380" s="57" t="e">
        <f t="shared" ca="1" si="68"/>
        <v>#N/A</v>
      </c>
      <c r="V380" s="57" t="e">
        <f t="shared" ca="1" si="69"/>
        <v>#N/A</v>
      </c>
      <c r="W380" t="e">
        <f t="shared" ca="1" si="70"/>
        <v>#N/A</v>
      </c>
      <c r="X380" t="e">
        <f t="shared" ca="1" si="74"/>
        <v>#N/A</v>
      </c>
      <c r="Y380" t="e">
        <f t="shared" ca="1" si="71"/>
        <v>#N/A</v>
      </c>
      <c r="Z380" t="e">
        <f t="shared" ca="1" si="72"/>
        <v>#N/A</v>
      </c>
      <c r="AA380" s="85" t="e">
        <f ca="1"/>
        <v>#N/A</v>
      </c>
      <c r="AB380" s="57" t="e">
        <f t="shared" ca="1" si="75"/>
        <v>#N/A</v>
      </c>
      <c r="AC380" s="57" t="e">
        <f t="shared" ca="1" si="76"/>
        <v>#N/A</v>
      </c>
      <c r="AD380" s="57" t="e">
        <f t="shared" ca="1" si="77"/>
        <v>#N/A</v>
      </c>
      <c r="AE380" s="57" t="e">
        <f t="shared" ca="1" si="78"/>
        <v>#N/A</v>
      </c>
    </row>
    <row r="381" spans="18:31" x14ac:dyDescent="0.3">
      <c r="R381" s="85" t="e">
        <f ca="1"/>
        <v>#N/A</v>
      </c>
      <c r="S381" s="57" t="e">
        <f t="shared" ca="1" si="73"/>
        <v>#N/A</v>
      </c>
      <c r="T381" s="57" t="e">
        <f t="shared" ca="1" si="67"/>
        <v>#N/A</v>
      </c>
      <c r="U381" s="57" t="e">
        <f t="shared" ca="1" si="68"/>
        <v>#N/A</v>
      </c>
      <c r="V381" s="57" t="e">
        <f t="shared" ca="1" si="69"/>
        <v>#N/A</v>
      </c>
      <c r="W381" t="e">
        <f t="shared" ca="1" si="70"/>
        <v>#N/A</v>
      </c>
      <c r="X381" t="e">
        <f t="shared" ca="1" si="74"/>
        <v>#N/A</v>
      </c>
      <c r="Y381" t="e">
        <f t="shared" ca="1" si="71"/>
        <v>#N/A</v>
      </c>
      <c r="Z381" t="e">
        <f t="shared" ca="1" si="72"/>
        <v>#N/A</v>
      </c>
      <c r="AA381" s="85" t="e">
        <f ca="1"/>
        <v>#N/A</v>
      </c>
      <c r="AB381" s="57" t="e">
        <f t="shared" ca="1" si="75"/>
        <v>#N/A</v>
      </c>
      <c r="AC381" s="57" t="e">
        <f t="shared" ca="1" si="76"/>
        <v>#N/A</v>
      </c>
      <c r="AD381" s="57" t="e">
        <f t="shared" ca="1" si="77"/>
        <v>#N/A</v>
      </c>
      <c r="AE381" s="57" t="e">
        <f t="shared" ca="1" si="78"/>
        <v>#N/A</v>
      </c>
    </row>
    <row r="382" spans="18:31" x14ac:dyDescent="0.3">
      <c r="R382" s="85" t="e">
        <f ca="1"/>
        <v>#N/A</v>
      </c>
      <c r="S382" s="57" t="e">
        <f t="shared" ca="1" si="73"/>
        <v>#N/A</v>
      </c>
      <c r="T382" s="57" t="e">
        <f t="shared" ca="1" si="67"/>
        <v>#N/A</v>
      </c>
      <c r="U382" s="57" t="e">
        <f t="shared" ca="1" si="68"/>
        <v>#N/A</v>
      </c>
      <c r="V382" s="57" t="e">
        <f t="shared" ca="1" si="69"/>
        <v>#N/A</v>
      </c>
      <c r="W382" t="e">
        <f t="shared" ca="1" si="70"/>
        <v>#N/A</v>
      </c>
      <c r="X382" t="e">
        <f t="shared" ca="1" si="74"/>
        <v>#N/A</v>
      </c>
      <c r="Y382" t="e">
        <f t="shared" ca="1" si="71"/>
        <v>#N/A</v>
      </c>
      <c r="Z382" t="e">
        <f t="shared" ca="1" si="72"/>
        <v>#N/A</v>
      </c>
      <c r="AA382" s="85" t="e">
        <f ca="1"/>
        <v>#N/A</v>
      </c>
      <c r="AB382" s="57" t="e">
        <f t="shared" ca="1" si="75"/>
        <v>#N/A</v>
      </c>
      <c r="AC382" s="57" t="e">
        <f t="shared" ca="1" si="76"/>
        <v>#N/A</v>
      </c>
      <c r="AD382" s="57" t="e">
        <f t="shared" ca="1" si="77"/>
        <v>#N/A</v>
      </c>
      <c r="AE382" s="57" t="e">
        <f t="shared" ca="1" si="78"/>
        <v>#N/A</v>
      </c>
    </row>
    <row r="383" spans="18:31" x14ac:dyDescent="0.3">
      <c r="R383" s="85" t="e">
        <f ca="1"/>
        <v>#N/A</v>
      </c>
      <c r="S383" s="57" t="e">
        <f t="shared" ca="1" si="73"/>
        <v>#N/A</v>
      </c>
      <c r="T383" s="57" t="e">
        <f t="shared" ca="1" si="67"/>
        <v>#N/A</v>
      </c>
      <c r="U383" s="57" t="e">
        <f t="shared" ca="1" si="68"/>
        <v>#N/A</v>
      </c>
      <c r="V383" s="57" t="e">
        <f t="shared" ca="1" si="69"/>
        <v>#N/A</v>
      </c>
      <c r="W383" t="e">
        <f t="shared" ca="1" si="70"/>
        <v>#N/A</v>
      </c>
      <c r="X383" t="e">
        <f t="shared" ca="1" si="74"/>
        <v>#N/A</v>
      </c>
      <c r="Y383" t="e">
        <f t="shared" ca="1" si="71"/>
        <v>#N/A</v>
      </c>
      <c r="Z383" t="e">
        <f t="shared" ca="1" si="72"/>
        <v>#N/A</v>
      </c>
      <c r="AA383" s="85" t="e">
        <f ca="1"/>
        <v>#N/A</v>
      </c>
      <c r="AB383" s="57" t="e">
        <f t="shared" ca="1" si="75"/>
        <v>#N/A</v>
      </c>
      <c r="AC383" s="57" t="e">
        <f t="shared" ca="1" si="76"/>
        <v>#N/A</v>
      </c>
      <c r="AD383" s="57" t="e">
        <f t="shared" ca="1" si="77"/>
        <v>#N/A</v>
      </c>
      <c r="AE383" s="57" t="e">
        <f t="shared" ca="1" si="78"/>
        <v>#N/A</v>
      </c>
    </row>
    <row r="384" spans="18:31" x14ac:dyDescent="0.3">
      <c r="R384" s="85" t="e">
        <f ca="1"/>
        <v>#N/A</v>
      </c>
      <c r="S384" s="57" t="e">
        <f t="shared" ca="1" si="73"/>
        <v>#N/A</v>
      </c>
      <c r="T384" s="57" t="e">
        <f t="shared" ca="1" si="67"/>
        <v>#N/A</v>
      </c>
      <c r="U384" s="57" t="e">
        <f t="shared" ca="1" si="68"/>
        <v>#N/A</v>
      </c>
      <c r="V384" s="57" t="e">
        <f t="shared" ca="1" si="69"/>
        <v>#N/A</v>
      </c>
      <c r="W384" t="e">
        <f t="shared" ca="1" si="70"/>
        <v>#N/A</v>
      </c>
      <c r="X384" t="e">
        <f t="shared" ca="1" si="74"/>
        <v>#N/A</v>
      </c>
      <c r="Y384" t="e">
        <f t="shared" ca="1" si="71"/>
        <v>#N/A</v>
      </c>
      <c r="Z384" t="e">
        <f t="shared" ca="1" si="72"/>
        <v>#N/A</v>
      </c>
      <c r="AA384" s="85" t="e">
        <f ca="1"/>
        <v>#N/A</v>
      </c>
      <c r="AB384" s="57" t="e">
        <f t="shared" ca="1" si="75"/>
        <v>#N/A</v>
      </c>
      <c r="AC384" s="57" t="e">
        <f t="shared" ca="1" si="76"/>
        <v>#N/A</v>
      </c>
      <c r="AD384" s="57" t="e">
        <f t="shared" ca="1" si="77"/>
        <v>#N/A</v>
      </c>
      <c r="AE384" s="57" t="e">
        <f t="shared" ca="1" si="78"/>
        <v>#N/A</v>
      </c>
    </row>
    <row r="385" spans="18:31" x14ac:dyDescent="0.3">
      <c r="R385" s="85" t="e">
        <f ca="1"/>
        <v>#N/A</v>
      </c>
      <c r="S385" s="57" t="e">
        <f t="shared" ca="1" si="73"/>
        <v>#N/A</v>
      </c>
      <c r="T385" s="57" t="e">
        <f t="shared" ca="1" si="67"/>
        <v>#N/A</v>
      </c>
      <c r="U385" s="57" t="e">
        <f t="shared" ca="1" si="68"/>
        <v>#N/A</v>
      </c>
      <c r="V385" s="57" t="e">
        <f t="shared" ca="1" si="69"/>
        <v>#N/A</v>
      </c>
      <c r="W385" t="e">
        <f t="shared" ca="1" si="70"/>
        <v>#N/A</v>
      </c>
      <c r="X385" t="e">
        <f t="shared" ca="1" si="74"/>
        <v>#N/A</v>
      </c>
      <c r="Y385" t="e">
        <f t="shared" ca="1" si="71"/>
        <v>#N/A</v>
      </c>
      <c r="Z385" t="e">
        <f t="shared" ca="1" si="72"/>
        <v>#N/A</v>
      </c>
      <c r="AA385" s="85" t="e">
        <f ca="1"/>
        <v>#N/A</v>
      </c>
      <c r="AB385" s="57" t="e">
        <f t="shared" ca="1" si="75"/>
        <v>#N/A</v>
      </c>
      <c r="AC385" s="57" t="e">
        <f t="shared" ca="1" si="76"/>
        <v>#N/A</v>
      </c>
      <c r="AD385" s="57" t="e">
        <f t="shared" ca="1" si="77"/>
        <v>#N/A</v>
      </c>
      <c r="AE385" s="57" t="e">
        <f t="shared" ca="1" si="78"/>
        <v>#N/A</v>
      </c>
    </row>
    <row r="386" spans="18:31" x14ac:dyDescent="0.3">
      <c r="R386" s="85" t="e">
        <f ca="1"/>
        <v>#N/A</v>
      </c>
      <c r="S386" s="57" t="e">
        <f t="shared" ca="1" si="73"/>
        <v>#N/A</v>
      </c>
      <c r="T386" s="57" t="e">
        <f t="shared" ca="1" si="67"/>
        <v>#N/A</v>
      </c>
      <c r="U386" s="57" t="e">
        <f t="shared" ca="1" si="68"/>
        <v>#N/A</v>
      </c>
      <c r="V386" s="57" t="e">
        <f t="shared" ca="1" si="69"/>
        <v>#N/A</v>
      </c>
      <c r="W386" t="e">
        <f t="shared" ca="1" si="70"/>
        <v>#N/A</v>
      </c>
      <c r="X386" t="e">
        <f t="shared" ca="1" si="74"/>
        <v>#N/A</v>
      </c>
      <c r="Y386" t="e">
        <f t="shared" ca="1" si="71"/>
        <v>#N/A</v>
      </c>
      <c r="Z386" t="e">
        <f t="shared" ca="1" si="72"/>
        <v>#N/A</v>
      </c>
      <c r="AA386" s="85" t="e">
        <f ca="1"/>
        <v>#N/A</v>
      </c>
      <c r="AB386" s="57" t="e">
        <f t="shared" ca="1" si="75"/>
        <v>#N/A</v>
      </c>
      <c r="AC386" s="57" t="e">
        <f t="shared" ca="1" si="76"/>
        <v>#N/A</v>
      </c>
      <c r="AD386" s="57" t="e">
        <f t="shared" ca="1" si="77"/>
        <v>#N/A</v>
      </c>
      <c r="AE386" s="57" t="e">
        <f t="shared" ca="1" si="78"/>
        <v>#N/A</v>
      </c>
    </row>
    <row r="387" spans="18:31" x14ac:dyDescent="0.3">
      <c r="R387" s="85" t="e">
        <f ca="1"/>
        <v>#N/A</v>
      </c>
      <c r="S387" s="57" t="e">
        <f t="shared" ca="1" si="73"/>
        <v>#N/A</v>
      </c>
      <c r="T387" s="57" t="e">
        <f t="shared" ca="1" si="67"/>
        <v>#N/A</v>
      </c>
      <c r="U387" s="57" t="e">
        <f t="shared" ca="1" si="68"/>
        <v>#N/A</v>
      </c>
      <c r="V387" s="57" t="e">
        <f t="shared" ca="1" si="69"/>
        <v>#N/A</v>
      </c>
      <c r="W387" t="e">
        <f t="shared" ca="1" si="70"/>
        <v>#N/A</v>
      </c>
      <c r="X387" t="e">
        <f t="shared" ca="1" si="74"/>
        <v>#N/A</v>
      </c>
      <c r="Y387" t="e">
        <f t="shared" ca="1" si="71"/>
        <v>#N/A</v>
      </c>
      <c r="Z387" t="e">
        <f t="shared" ca="1" si="72"/>
        <v>#N/A</v>
      </c>
      <c r="AA387" s="85" t="e">
        <f ca="1"/>
        <v>#N/A</v>
      </c>
      <c r="AB387" s="57" t="e">
        <f t="shared" ca="1" si="75"/>
        <v>#N/A</v>
      </c>
      <c r="AC387" s="57" t="e">
        <f t="shared" ca="1" si="76"/>
        <v>#N/A</v>
      </c>
      <c r="AD387" s="57" t="e">
        <f t="shared" ca="1" si="77"/>
        <v>#N/A</v>
      </c>
      <c r="AE387" s="57" t="e">
        <f t="shared" ca="1" si="78"/>
        <v>#N/A</v>
      </c>
    </row>
    <row r="388" spans="18:31" x14ac:dyDescent="0.3">
      <c r="R388" s="85" t="e">
        <f ca="1"/>
        <v>#N/A</v>
      </c>
      <c r="S388" s="57" t="e">
        <f t="shared" ca="1" si="73"/>
        <v>#N/A</v>
      </c>
      <c r="T388" s="57" t="e">
        <f t="shared" ca="1" si="67"/>
        <v>#N/A</v>
      </c>
      <c r="U388" s="57" t="e">
        <f t="shared" ca="1" si="68"/>
        <v>#N/A</v>
      </c>
      <c r="V388" s="57" t="e">
        <f t="shared" ca="1" si="69"/>
        <v>#N/A</v>
      </c>
      <c r="W388" t="e">
        <f t="shared" ca="1" si="70"/>
        <v>#N/A</v>
      </c>
      <c r="X388" t="e">
        <f t="shared" ca="1" si="74"/>
        <v>#N/A</v>
      </c>
      <c r="Y388" t="e">
        <f t="shared" ca="1" si="71"/>
        <v>#N/A</v>
      </c>
      <c r="Z388" t="e">
        <f t="shared" ca="1" si="72"/>
        <v>#N/A</v>
      </c>
      <c r="AA388" s="85" t="e">
        <f ca="1"/>
        <v>#N/A</v>
      </c>
      <c r="AB388" s="57" t="e">
        <f t="shared" ca="1" si="75"/>
        <v>#N/A</v>
      </c>
      <c r="AC388" s="57" t="e">
        <f t="shared" ca="1" si="76"/>
        <v>#N/A</v>
      </c>
      <c r="AD388" s="57" t="e">
        <f t="shared" ca="1" si="77"/>
        <v>#N/A</v>
      </c>
      <c r="AE388" s="57" t="e">
        <f t="shared" ca="1" si="78"/>
        <v>#N/A</v>
      </c>
    </row>
    <row r="389" spans="18:31" x14ac:dyDescent="0.3">
      <c r="R389" s="85" t="e">
        <f ca="1"/>
        <v>#N/A</v>
      </c>
      <c r="S389" s="57" t="e">
        <f t="shared" ca="1" si="73"/>
        <v>#N/A</v>
      </c>
      <c r="T389" s="57" t="e">
        <f t="shared" ca="1" si="67"/>
        <v>#N/A</v>
      </c>
      <c r="U389" s="57" t="e">
        <f t="shared" ca="1" si="68"/>
        <v>#N/A</v>
      </c>
      <c r="V389" s="57" t="e">
        <f t="shared" ca="1" si="69"/>
        <v>#N/A</v>
      </c>
      <c r="W389" t="e">
        <f t="shared" ca="1" si="70"/>
        <v>#N/A</v>
      </c>
      <c r="X389" t="e">
        <f t="shared" ca="1" si="74"/>
        <v>#N/A</v>
      </c>
      <c r="Y389" t="e">
        <f t="shared" ca="1" si="71"/>
        <v>#N/A</v>
      </c>
      <c r="Z389" t="e">
        <f t="shared" ca="1" si="72"/>
        <v>#N/A</v>
      </c>
      <c r="AA389" s="85" t="e">
        <f ca="1"/>
        <v>#N/A</v>
      </c>
      <c r="AB389" s="57" t="e">
        <f t="shared" ca="1" si="75"/>
        <v>#N/A</v>
      </c>
      <c r="AC389" s="57" t="e">
        <f t="shared" ca="1" si="76"/>
        <v>#N/A</v>
      </c>
      <c r="AD389" s="57" t="e">
        <f t="shared" ca="1" si="77"/>
        <v>#N/A</v>
      </c>
      <c r="AE389" s="57" t="e">
        <f t="shared" ca="1" si="78"/>
        <v>#N/A</v>
      </c>
    </row>
    <row r="390" spans="18:31" x14ac:dyDescent="0.3">
      <c r="R390" s="85" t="e">
        <f ca="1"/>
        <v>#N/A</v>
      </c>
      <c r="S390" s="57" t="e">
        <f t="shared" ca="1" si="73"/>
        <v>#N/A</v>
      </c>
      <c r="T390" s="57" t="e">
        <f t="shared" ca="1" si="67"/>
        <v>#N/A</v>
      </c>
      <c r="U390" s="57" t="e">
        <f t="shared" ca="1" si="68"/>
        <v>#N/A</v>
      </c>
      <c r="V390" s="57" t="e">
        <f t="shared" ca="1" si="69"/>
        <v>#N/A</v>
      </c>
      <c r="W390" t="e">
        <f t="shared" ca="1" si="70"/>
        <v>#N/A</v>
      </c>
      <c r="X390" t="e">
        <f t="shared" ca="1" si="74"/>
        <v>#N/A</v>
      </c>
      <c r="Y390" t="e">
        <f t="shared" ca="1" si="71"/>
        <v>#N/A</v>
      </c>
      <c r="Z390" t="e">
        <f t="shared" ca="1" si="72"/>
        <v>#N/A</v>
      </c>
      <c r="AA390" s="85" t="e">
        <f ca="1"/>
        <v>#N/A</v>
      </c>
      <c r="AB390" s="57" t="e">
        <f t="shared" ca="1" si="75"/>
        <v>#N/A</v>
      </c>
      <c r="AC390" s="57" t="e">
        <f t="shared" ca="1" si="76"/>
        <v>#N/A</v>
      </c>
      <c r="AD390" s="57" t="e">
        <f t="shared" ca="1" si="77"/>
        <v>#N/A</v>
      </c>
      <c r="AE390" s="57" t="e">
        <f t="shared" ca="1" si="78"/>
        <v>#N/A</v>
      </c>
    </row>
    <row r="391" spans="18:31" x14ac:dyDescent="0.3">
      <c r="R391" s="85" t="e">
        <f ca="1"/>
        <v>#N/A</v>
      </c>
      <c r="S391" s="57" t="e">
        <f t="shared" ca="1" si="73"/>
        <v>#N/A</v>
      </c>
      <c r="T391" s="57" t="e">
        <f t="shared" ca="1" si="67"/>
        <v>#N/A</v>
      </c>
      <c r="U391" s="57" t="e">
        <f t="shared" ca="1" si="68"/>
        <v>#N/A</v>
      </c>
      <c r="V391" s="57" t="e">
        <f t="shared" ca="1" si="69"/>
        <v>#N/A</v>
      </c>
      <c r="W391" t="e">
        <f t="shared" ca="1" si="70"/>
        <v>#N/A</v>
      </c>
      <c r="X391" t="e">
        <f t="shared" ca="1" si="74"/>
        <v>#N/A</v>
      </c>
      <c r="Y391" t="e">
        <f t="shared" ca="1" si="71"/>
        <v>#N/A</v>
      </c>
      <c r="Z391" t="e">
        <f t="shared" ca="1" si="72"/>
        <v>#N/A</v>
      </c>
      <c r="AA391" s="85" t="e">
        <f ca="1"/>
        <v>#N/A</v>
      </c>
      <c r="AB391" s="57" t="e">
        <f t="shared" ca="1" si="75"/>
        <v>#N/A</v>
      </c>
      <c r="AC391" s="57" t="e">
        <f t="shared" ca="1" si="76"/>
        <v>#N/A</v>
      </c>
      <c r="AD391" s="57" t="e">
        <f t="shared" ca="1" si="77"/>
        <v>#N/A</v>
      </c>
      <c r="AE391" s="57" t="e">
        <f t="shared" ca="1" si="78"/>
        <v>#N/A</v>
      </c>
    </row>
    <row r="392" spans="18:31" x14ac:dyDescent="0.3">
      <c r="R392" s="85" t="e">
        <f ca="1"/>
        <v>#N/A</v>
      </c>
      <c r="S392" s="57" t="e">
        <f t="shared" ca="1" si="73"/>
        <v>#N/A</v>
      </c>
      <c r="T392" s="57" t="e">
        <f t="shared" ca="1" si="67"/>
        <v>#N/A</v>
      </c>
      <c r="U392" s="57" t="e">
        <f t="shared" ca="1" si="68"/>
        <v>#N/A</v>
      </c>
      <c r="V392" s="57" t="e">
        <f t="shared" ca="1" si="69"/>
        <v>#N/A</v>
      </c>
      <c r="W392" t="e">
        <f t="shared" ca="1" si="70"/>
        <v>#N/A</v>
      </c>
      <c r="X392" t="e">
        <f t="shared" ca="1" si="74"/>
        <v>#N/A</v>
      </c>
      <c r="Y392" t="e">
        <f t="shared" ca="1" si="71"/>
        <v>#N/A</v>
      </c>
      <c r="Z392" t="e">
        <f t="shared" ca="1" si="72"/>
        <v>#N/A</v>
      </c>
      <c r="AA392" s="85" t="e">
        <f ca="1"/>
        <v>#N/A</v>
      </c>
      <c r="AB392" s="57" t="e">
        <f t="shared" ca="1" si="75"/>
        <v>#N/A</v>
      </c>
      <c r="AC392" s="57" t="e">
        <f t="shared" ca="1" si="76"/>
        <v>#N/A</v>
      </c>
      <c r="AD392" s="57" t="e">
        <f t="shared" ca="1" si="77"/>
        <v>#N/A</v>
      </c>
      <c r="AE392" s="57" t="e">
        <f t="shared" ca="1" si="78"/>
        <v>#N/A</v>
      </c>
    </row>
    <row r="393" spans="18:31" x14ac:dyDescent="0.3">
      <c r="R393" s="85" t="e">
        <f ca="1"/>
        <v>#N/A</v>
      </c>
      <c r="S393" s="57" t="e">
        <f t="shared" ca="1" si="73"/>
        <v>#N/A</v>
      </c>
      <c r="T393" s="57" t="e">
        <f t="shared" ca="1" si="67"/>
        <v>#N/A</v>
      </c>
      <c r="U393" s="57" t="e">
        <f t="shared" ca="1" si="68"/>
        <v>#N/A</v>
      </c>
      <c r="V393" s="57" t="e">
        <f t="shared" ca="1" si="69"/>
        <v>#N/A</v>
      </c>
      <c r="W393" t="e">
        <f t="shared" ca="1" si="70"/>
        <v>#N/A</v>
      </c>
      <c r="X393" t="e">
        <f t="shared" ca="1" si="74"/>
        <v>#N/A</v>
      </c>
      <c r="Y393" t="e">
        <f t="shared" ca="1" si="71"/>
        <v>#N/A</v>
      </c>
      <c r="Z393" t="e">
        <f t="shared" ca="1" si="72"/>
        <v>#N/A</v>
      </c>
      <c r="AA393" s="85" t="e">
        <f ca="1"/>
        <v>#N/A</v>
      </c>
      <c r="AB393" s="57" t="e">
        <f t="shared" ca="1" si="75"/>
        <v>#N/A</v>
      </c>
      <c r="AC393" s="57" t="e">
        <f t="shared" ca="1" si="76"/>
        <v>#N/A</v>
      </c>
      <c r="AD393" s="57" t="e">
        <f t="shared" ca="1" si="77"/>
        <v>#N/A</v>
      </c>
      <c r="AE393" s="57" t="e">
        <f t="shared" ca="1" si="78"/>
        <v>#N/A</v>
      </c>
    </row>
    <row r="394" spans="18:31" x14ac:dyDescent="0.3">
      <c r="R394" s="85" t="e">
        <f ca="1"/>
        <v>#N/A</v>
      </c>
      <c r="S394" s="57" t="e">
        <f t="shared" ca="1" si="73"/>
        <v>#N/A</v>
      </c>
      <c r="T394" s="57" t="e">
        <f t="shared" ca="1" si="67"/>
        <v>#N/A</v>
      </c>
      <c r="U394" s="57" t="e">
        <f t="shared" ca="1" si="68"/>
        <v>#N/A</v>
      </c>
      <c r="V394" s="57" t="e">
        <f t="shared" ca="1" si="69"/>
        <v>#N/A</v>
      </c>
      <c r="W394" t="e">
        <f t="shared" ca="1" si="70"/>
        <v>#N/A</v>
      </c>
      <c r="X394" t="e">
        <f t="shared" ca="1" si="74"/>
        <v>#N/A</v>
      </c>
      <c r="Y394" t="e">
        <f t="shared" ca="1" si="71"/>
        <v>#N/A</v>
      </c>
      <c r="Z394" t="e">
        <f t="shared" ca="1" si="72"/>
        <v>#N/A</v>
      </c>
      <c r="AA394" s="85" t="e">
        <f ca="1"/>
        <v>#N/A</v>
      </c>
      <c r="AB394" s="57" t="e">
        <f t="shared" ca="1" si="75"/>
        <v>#N/A</v>
      </c>
      <c r="AC394" s="57" t="e">
        <f t="shared" ca="1" si="76"/>
        <v>#N/A</v>
      </c>
      <c r="AD394" s="57" t="e">
        <f t="shared" ca="1" si="77"/>
        <v>#N/A</v>
      </c>
      <c r="AE394" s="57" t="e">
        <f t="shared" ca="1" si="78"/>
        <v>#N/A</v>
      </c>
    </row>
    <row r="395" spans="18:31" x14ac:dyDescent="0.3">
      <c r="R395" s="85" t="e">
        <f ca="1"/>
        <v>#N/A</v>
      </c>
      <c r="S395" s="57" t="e">
        <f t="shared" ca="1" si="73"/>
        <v>#N/A</v>
      </c>
      <c r="T395" s="57" t="e">
        <f t="shared" ca="1" si="67"/>
        <v>#N/A</v>
      </c>
      <c r="U395" s="57" t="e">
        <f t="shared" ca="1" si="68"/>
        <v>#N/A</v>
      </c>
      <c r="V395" s="57" t="e">
        <f t="shared" ca="1" si="69"/>
        <v>#N/A</v>
      </c>
      <c r="W395" t="e">
        <f t="shared" ca="1" si="70"/>
        <v>#N/A</v>
      </c>
      <c r="X395" t="e">
        <f t="shared" ca="1" si="74"/>
        <v>#N/A</v>
      </c>
      <c r="Y395" t="e">
        <f t="shared" ca="1" si="71"/>
        <v>#N/A</v>
      </c>
      <c r="Z395" t="e">
        <f t="shared" ca="1" si="72"/>
        <v>#N/A</v>
      </c>
      <c r="AA395" s="85" t="e">
        <f ca="1"/>
        <v>#N/A</v>
      </c>
      <c r="AB395" s="57" t="e">
        <f t="shared" ca="1" si="75"/>
        <v>#N/A</v>
      </c>
      <c r="AC395" s="57" t="e">
        <f t="shared" ca="1" si="76"/>
        <v>#N/A</v>
      </c>
      <c r="AD395" s="57" t="e">
        <f t="shared" ca="1" si="77"/>
        <v>#N/A</v>
      </c>
      <c r="AE395" s="57" t="e">
        <f t="shared" ca="1" si="78"/>
        <v>#N/A</v>
      </c>
    </row>
    <row r="396" spans="18:31" x14ac:dyDescent="0.3">
      <c r="R396" s="57" t="e">
        <f ca="1"/>
        <v>#N/A</v>
      </c>
      <c r="S396" s="57" t="e">
        <f t="shared" ref="S396:S459" ca="1" si="79">IF(R396&gt;1,R396,"")</f>
        <v>#N/A</v>
      </c>
      <c r="T396" s="57" t="e">
        <f t="shared" ref="T396:T459" ca="1" si="80">VLOOKUP(S396,ModelOutputs,2,FALSE)</f>
        <v>#N/A</v>
      </c>
      <c r="U396" s="57" t="e">
        <f t="shared" ref="U396:U459" ca="1" si="81">VLOOKUP(S396,ModelOutputs,7,FALSE)</f>
        <v>#N/A</v>
      </c>
      <c r="V396" s="57" t="e">
        <f t="shared" ref="V396:V459" ca="1" si="82">VLOOKUP(S396,ModelOutputs,6,FALSE)</f>
        <v>#N/A</v>
      </c>
      <c r="W396" t="e">
        <f t="shared" ref="W396:W459" ca="1" si="83">VLOOKUP(S396,ModelOutputs,10,FALSE)*AWC</f>
        <v>#N/A</v>
      </c>
      <c r="X396" t="e">
        <f t="shared" ref="X396:X459" ca="1" si="84">VLOOKUP(S396,ModelOutputs,11,FALSE)+X395</f>
        <v>#N/A</v>
      </c>
      <c r="Y396" t="e">
        <f t="shared" ref="Y396:Y459" ca="1" si="85">VLOOKUP(S396,ModelOutputs,12,FALSE)</f>
        <v>#N/A</v>
      </c>
      <c r="Z396" t="e">
        <f t="shared" ref="Z396:Z459" ca="1" si="86">VLOOKUP(S396,ModelOutputs,13,FALSE)</f>
        <v>#N/A</v>
      </c>
      <c r="AA396" s="85" t="e">
        <f ca="1"/>
        <v>#N/A</v>
      </c>
      <c r="AB396" s="57" t="e">
        <f t="shared" ref="AB396:AB459" ca="1" si="87">IF(AA396&gt;1,AA396,"")</f>
        <v>#N/A</v>
      </c>
      <c r="AC396" s="57" t="e">
        <f t="shared" ref="AC396:AC459" ca="1" si="88">VLOOKUP(AB396,ModelOutputs,2,FALSE)</f>
        <v>#N/A</v>
      </c>
      <c r="AD396" s="57" t="e">
        <f t="shared" ref="AD396:AD459" ca="1" si="89">VLOOKUP(AB396,ModelOutputs,7,FALSE)</f>
        <v>#N/A</v>
      </c>
      <c r="AE396" s="57" t="e">
        <f t="shared" ref="AE396:AE459" ca="1" si="90">VLOOKUP(AB396,ModelOutputs,6,FALSE)</f>
        <v>#N/A</v>
      </c>
    </row>
    <row r="397" spans="18:31" x14ac:dyDescent="0.3">
      <c r="R397" s="57" t="e">
        <f ca="1"/>
        <v>#N/A</v>
      </c>
      <c r="S397" s="57" t="e">
        <f t="shared" ca="1" si="79"/>
        <v>#N/A</v>
      </c>
      <c r="T397" s="57" t="e">
        <f t="shared" ca="1" si="80"/>
        <v>#N/A</v>
      </c>
      <c r="U397" s="57" t="e">
        <f t="shared" ca="1" si="81"/>
        <v>#N/A</v>
      </c>
      <c r="V397" s="57" t="e">
        <f t="shared" ca="1" si="82"/>
        <v>#N/A</v>
      </c>
      <c r="W397" t="e">
        <f t="shared" ca="1" si="83"/>
        <v>#N/A</v>
      </c>
      <c r="X397" t="e">
        <f t="shared" ca="1" si="84"/>
        <v>#N/A</v>
      </c>
      <c r="Y397" t="e">
        <f t="shared" ca="1" si="85"/>
        <v>#N/A</v>
      </c>
      <c r="Z397" t="e">
        <f t="shared" ca="1" si="86"/>
        <v>#N/A</v>
      </c>
      <c r="AA397" s="85" t="e">
        <f ca="1"/>
        <v>#N/A</v>
      </c>
      <c r="AB397" s="57" t="e">
        <f t="shared" ca="1" si="87"/>
        <v>#N/A</v>
      </c>
      <c r="AC397" s="57" t="e">
        <f t="shared" ca="1" si="88"/>
        <v>#N/A</v>
      </c>
      <c r="AD397" s="57" t="e">
        <f t="shared" ca="1" si="89"/>
        <v>#N/A</v>
      </c>
      <c r="AE397" s="57" t="e">
        <f t="shared" ca="1" si="90"/>
        <v>#N/A</v>
      </c>
    </row>
    <row r="398" spans="18:31" x14ac:dyDescent="0.3">
      <c r="R398" s="57" t="e">
        <f ca="1"/>
        <v>#N/A</v>
      </c>
      <c r="S398" s="57" t="e">
        <f t="shared" ca="1" si="79"/>
        <v>#N/A</v>
      </c>
      <c r="T398" s="57" t="e">
        <f t="shared" ca="1" si="80"/>
        <v>#N/A</v>
      </c>
      <c r="U398" s="57" t="e">
        <f t="shared" ca="1" si="81"/>
        <v>#N/A</v>
      </c>
      <c r="V398" s="57" t="e">
        <f t="shared" ca="1" si="82"/>
        <v>#N/A</v>
      </c>
      <c r="W398" t="e">
        <f t="shared" ca="1" si="83"/>
        <v>#N/A</v>
      </c>
      <c r="X398" t="e">
        <f t="shared" ca="1" si="84"/>
        <v>#N/A</v>
      </c>
      <c r="Y398" t="e">
        <f t="shared" ca="1" si="85"/>
        <v>#N/A</v>
      </c>
      <c r="Z398" t="e">
        <f t="shared" ca="1" si="86"/>
        <v>#N/A</v>
      </c>
      <c r="AA398" s="85" t="e">
        <f ca="1"/>
        <v>#N/A</v>
      </c>
      <c r="AB398" s="57" t="e">
        <f t="shared" ca="1" si="87"/>
        <v>#N/A</v>
      </c>
      <c r="AC398" s="57" t="e">
        <f t="shared" ca="1" si="88"/>
        <v>#N/A</v>
      </c>
      <c r="AD398" s="57" t="e">
        <f t="shared" ca="1" si="89"/>
        <v>#N/A</v>
      </c>
      <c r="AE398" s="57" t="e">
        <f t="shared" ca="1" si="90"/>
        <v>#N/A</v>
      </c>
    </row>
    <row r="399" spans="18:31" x14ac:dyDescent="0.3">
      <c r="R399" s="57" t="e">
        <f ca="1"/>
        <v>#N/A</v>
      </c>
      <c r="S399" s="57" t="e">
        <f t="shared" ca="1" si="79"/>
        <v>#N/A</v>
      </c>
      <c r="T399" s="57" t="e">
        <f t="shared" ca="1" si="80"/>
        <v>#N/A</v>
      </c>
      <c r="U399" s="57" t="e">
        <f t="shared" ca="1" si="81"/>
        <v>#N/A</v>
      </c>
      <c r="V399" s="57" t="e">
        <f t="shared" ca="1" si="82"/>
        <v>#N/A</v>
      </c>
      <c r="W399" t="e">
        <f t="shared" ca="1" si="83"/>
        <v>#N/A</v>
      </c>
      <c r="X399" t="e">
        <f t="shared" ca="1" si="84"/>
        <v>#N/A</v>
      </c>
      <c r="Y399" t="e">
        <f t="shared" ca="1" si="85"/>
        <v>#N/A</v>
      </c>
      <c r="Z399" t="e">
        <f t="shared" ca="1" si="86"/>
        <v>#N/A</v>
      </c>
      <c r="AA399" s="85" t="e">
        <f ca="1"/>
        <v>#N/A</v>
      </c>
      <c r="AB399" s="57" t="e">
        <f t="shared" ca="1" si="87"/>
        <v>#N/A</v>
      </c>
      <c r="AC399" s="57" t="e">
        <f t="shared" ca="1" si="88"/>
        <v>#N/A</v>
      </c>
      <c r="AD399" s="57" t="e">
        <f t="shared" ca="1" si="89"/>
        <v>#N/A</v>
      </c>
      <c r="AE399" s="57" t="e">
        <f t="shared" ca="1" si="90"/>
        <v>#N/A</v>
      </c>
    </row>
    <row r="400" spans="18:31" x14ac:dyDescent="0.3">
      <c r="R400" s="57" t="e">
        <f ca="1"/>
        <v>#N/A</v>
      </c>
      <c r="S400" s="57" t="e">
        <f t="shared" ca="1" si="79"/>
        <v>#N/A</v>
      </c>
      <c r="T400" s="57" t="e">
        <f t="shared" ca="1" si="80"/>
        <v>#N/A</v>
      </c>
      <c r="U400" s="57" t="e">
        <f t="shared" ca="1" si="81"/>
        <v>#N/A</v>
      </c>
      <c r="V400" s="57" t="e">
        <f t="shared" ca="1" si="82"/>
        <v>#N/A</v>
      </c>
      <c r="W400" t="e">
        <f t="shared" ca="1" si="83"/>
        <v>#N/A</v>
      </c>
      <c r="X400" t="e">
        <f t="shared" ca="1" si="84"/>
        <v>#N/A</v>
      </c>
      <c r="Y400" t="e">
        <f t="shared" ca="1" si="85"/>
        <v>#N/A</v>
      </c>
      <c r="Z400" t="e">
        <f t="shared" ca="1" si="86"/>
        <v>#N/A</v>
      </c>
      <c r="AA400" s="85" t="e">
        <f ca="1"/>
        <v>#N/A</v>
      </c>
      <c r="AB400" s="57" t="e">
        <f t="shared" ca="1" si="87"/>
        <v>#N/A</v>
      </c>
      <c r="AC400" s="57" t="e">
        <f t="shared" ca="1" si="88"/>
        <v>#N/A</v>
      </c>
      <c r="AD400" s="57" t="e">
        <f t="shared" ca="1" si="89"/>
        <v>#N/A</v>
      </c>
      <c r="AE400" s="57" t="e">
        <f t="shared" ca="1" si="90"/>
        <v>#N/A</v>
      </c>
    </row>
    <row r="401" spans="18:31" x14ac:dyDescent="0.3">
      <c r="R401" s="57" t="e">
        <f ca="1"/>
        <v>#N/A</v>
      </c>
      <c r="S401" s="57" t="e">
        <f t="shared" ca="1" si="79"/>
        <v>#N/A</v>
      </c>
      <c r="T401" s="57" t="e">
        <f t="shared" ca="1" si="80"/>
        <v>#N/A</v>
      </c>
      <c r="U401" s="57" t="e">
        <f t="shared" ca="1" si="81"/>
        <v>#N/A</v>
      </c>
      <c r="V401" s="57" t="e">
        <f t="shared" ca="1" si="82"/>
        <v>#N/A</v>
      </c>
      <c r="W401" t="e">
        <f t="shared" ca="1" si="83"/>
        <v>#N/A</v>
      </c>
      <c r="X401" t="e">
        <f t="shared" ca="1" si="84"/>
        <v>#N/A</v>
      </c>
      <c r="Y401" t="e">
        <f t="shared" ca="1" si="85"/>
        <v>#N/A</v>
      </c>
      <c r="Z401" t="e">
        <f t="shared" ca="1" si="86"/>
        <v>#N/A</v>
      </c>
      <c r="AA401" s="85" t="e">
        <f ca="1"/>
        <v>#N/A</v>
      </c>
      <c r="AB401" s="57" t="e">
        <f t="shared" ca="1" si="87"/>
        <v>#N/A</v>
      </c>
      <c r="AC401" s="57" t="e">
        <f t="shared" ca="1" si="88"/>
        <v>#N/A</v>
      </c>
      <c r="AD401" s="57" t="e">
        <f t="shared" ca="1" si="89"/>
        <v>#N/A</v>
      </c>
      <c r="AE401" s="57" t="e">
        <f t="shared" ca="1" si="90"/>
        <v>#N/A</v>
      </c>
    </row>
    <row r="402" spans="18:31" x14ac:dyDescent="0.3">
      <c r="R402" s="57" t="e">
        <f ca="1"/>
        <v>#N/A</v>
      </c>
      <c r="S402" s="57" t="e">
        <f t="shared" ca="1" si="79"/>
        <v>#N/A</v>
      </c>
      <c r="T402" s="57" t="e">
        <f t="shared" ca="1" si="80"/>
        <v>#N/A</v>
      </c>
      <c r="U402" s="57" t="e">
        <f t="shared" ca="1" si="81"/>
        <v>#N/A</v>
      </c>
      <c r="V402" s="57" t="e">
        <f t="shared" ca="1" si="82"/>
        <v>#N/A</v>
      </c>
      <c r="W402" t="e">
        <f t="shared" ca="1" si="83"/>
        <v>#N/A</v>
      </c>
      <c r="X402" t="e">
        <f t="shared" ca="1" si="84"/>
        <v>#N/A</v>
      </c>
      <c r="Y402" t="e">
        <f t="shared" ca="1" si="85"/>
        <v>#N/A</v>
      </c>
      <c r="Z402" t="e">
        <f t="shared" ca="1" si="86"/>
        <v>#N/A</v>
      </c>
      <c r="AA402" s="85" t="e">
        <f ca="1"/>
        <v>#N/A</v>
      </c>
      <c r="AB402" s="57" t="e">
        <f t="shared" ca="1" si="87"/>
        <v>#N/A</v>
      </c>
      <c r="AC402" s="57" t="e">
        <f t="shared" ca="1" si="88"/>
        <v>#N/A</v>
      </c>
      <c r="AD402" s="57" t="e">
        <f t="shared" ca="1" si="89"/>
        <v>#N/A</v>
      </c>
      <c r="AE402" s="57" t="e">
        <f t="shared" ca="1" si="90"/>
        <v>#N/A</v>
      </c>
    </row>
    <row r="403" spans="18:31" x14ac:dyDescent="0.3">
      <c r="R403" s="57" t="e">
        <f ca="1"/>
        <v>#N/A</v>
      </c>
      <c r="S403" s="57" t="e">
        <f t="shared" ca="1" si="79"/>
        <v>#N/A</v>
      </c>
      <c r="T403" s="57" t="e">
        <f t="shared" ca="1" si="80"/>
        <v>#N/A</v>
      </c>
      <c r="U403" s="57" t="e">
        <f t="shared" ca="1" si="81"/>
        <v>#N/A</v>
      </c>
      <c r="V403" s="57" t="e">
        <f t="shared" ca="1" si="82"/>
        <v>#N/A</v>
      </c>
      <c r="W403" t="e">
        <f t="shared" ca="1" si="83"/>
        <v>#N/A</v>
      </c>
      <c r="X403" t="e">
        <f t="shared" ca="1" si="84"/>
        <v>#N/A</v>
      </c>
      <c r="Y403" t="e">
        <f t="shared" ca="1" si="85"/>
        <v>#N/A</v>
      </c>
      <c r="Z403" t="e">
        <f t="shared" ca="1" si="86"/>
        <v>#N/A</v>
      </c>
      <c r="AA403" s="85" t="e">
        <f ca="1"/>
        <v>#N/A</v>
      </c>
      <c r="AB403" s="57" t="e">
        <f t="shared" ca="1" si="87"/>
        <v>#N/A</v>
      </c>
      <c r="AC403" s="57" t="e">
        <f t="shared" ca="1" si="88"/>
        <v>#N/A</v>
      </c>
      <c r="AD403" s="57" t="e">
        <f t="shared" ca="1" si="89"/>
        <v>#N/A</v>
      </c>
      <c r="AE403" s="57" t="e">
        <f t="shared" ca="1" si="90"/>
        <v>#N/A</v>
      </c>
    </row>
    <row r="404" spans="18:31" x14ac:dyDescent="0.3">
      <c r="R404" s="57" t="e">
        <f ca="1"/>
        <v>#N/A</v>
      </c>
      <c r="S404" s="57" t="e">
        <f t="shared" ca="1" si="79"/>
        <v>#N/A</v>
      </c>
      <c r="T404" s="57" t="e">
        <f t="shared" ca="1" si="80"/>
        <v>#N/A</v>
      </c>
      <c r="U404" s="57" t="e">
        <f t="shared" ca="1" si="81"/>
        <v>#N/A</v>
      </c>
      <c r="V404" s="57" t="e">
        <f t="shared" ca="1" si="82"/>
        <v>#N/A</v>
      </c>
      <c r="W404" t="e">
        <f t="shared" ca="1" si="83"/>
        <v>#N/A</v>
      </c>
      <c r="X404" t="e">
        <f t="shared" ca="1" si="84"/>
        <v>#N/A</v>
      </c>
      <c r="Y404" t="e">
        <f t="shared" ca="1" si="85"/>
        <v>#N/A</v>
      </c>
      <c r="Z404" t="e">
        <f t="shared" ca="1" si="86"/>
        <v>#N/A</v>
      </c>
      <c r="AA404" s="85" t="e">
        <f ca="1"/>
        <v>#N/A</v>
      </c>
      <c r="AB404" s="57" t="e">
        <f t="shared" ca="1" si="87"/>
        <v>#N/A</v>
      </c>
      <c r="AC404" s="57" t="e">
        <f t="shared" ca="1" si="88"/>
        <v>#N/A</v>
      </c>
      <c r="AD404" s="57" t="e">
        <f t="shared" ca="1" si="89"/>
        <v>#N/A</v>
      </c>
      <c r="AE404" s="57" t="e">
        <f t="shared" ca="1" si="90"/>
        <v>#N/A</v>
      </c>
    </row>
    <row r="405" spans="18:31" x14ac:dyDescent="0.3">
      <c r="R405" s="57" t="e">
        <f ca="1"/>
        <v>#N/A</v>
      </c>
      <c r="S405" s="57" t="e">
        <f t="shared" ca="1" si="79"/>
        <v>#N/A</v>
      </c>
      <c r="T405" s="57" t="e">
        <f t="shared" ca="1" si="80"/>
        <v>#N/A</v>
      </c>
      <c r="U405" s="57" t="e">
        <f t="shared" ca="1" si="81"/>
        <v>#N/A</v>
      </c>
      <c r="V405" s="57" t="e">
        <f t="shared" ca="1" si="82"/>
        <v>#N/A</v>
      </c>
      <c r="W405" t="e">
        <f t="shared" ca="1" si="83"/>
        <v>#N/A</v>
      </c>
      <c r="X405" t="e">
        <f t="shared" ca="1" si="84"/>
        <v>#N/A</v>
      </c>
      <c r="Y405" t="e">
        <f t="shared" ca="1" si="85"/>
        <v>#N/A</v>
      </c>
      <c r="Z405" t="e">
        <f t="shared" ca="1" si="86"/>
        <v>#N/A</v>
      </c>
      <c r="AA405" s="85" t="e">
        <f ca="1"/>
        <v>#N/A</v>
      </c>
      <c r="AB405" s="57" t="e">
        <f t="shared" ca="1" si="87"/>
        <v>#N/A</v>
      </c>
      <c r="AC405" s="57" t="e">
        <f t="shared" ca="1" si="88"/>
        <v>#N/A</v>
      </c>
      <c r="AD405" s="57" t="e">
        <f t="shared" ca="1" si="89"/>
        <v>#N/A</v>
      </c>
      <c r="AE405" s="57" t="e">
        <f t="shared" ca="1" si="90"/>
        <v>#N/A</v>
      </c>
    </row>
    <row r="406" spans="18:31" x14ac:dyDescent="0.3">
      <c r="R406" s="57" t="e">
        <f ca="1"/>
        <v>#N/A</v>
      </c>
      <c r="S406" s="57" t="e">
        <f t="shared" ca="1" si="79"/>
        <v>#N/A</v>
      </c>
      <c r="T406" s="57" t="e">
        <f t="shared" ca="1" si="80"/>
        <v>#N/A</v>
      </c>
      <c r="U406" s="57" t="e">
        <f t="shared" ca="1" si="81"/>
        <v>#N/A</v>
      </c>
      <c r="V406" s="57" t="e">
        <f t="shared" ca="1" si="82"/>
        <v>#N/A</v>
      </c>
      <c r="W406" t="e">
        <f t="shared" ca="1" si="83"/>
        <v>#N/A</v>
      </c>
      <c r="X406" t="e">
        <f t="shared" ca="1" si="84"/>
        <v>#N/A</v>
      </c>
      <c r="Y406" t="e">
        <f t="shared" ca="1" si="85"/>
        <v>#N/A</v>
      </c>
      <c r="Z406" t="e">
        <f t="shared" ca="1" si="86"/>
        <v>#N/A</v>
      </c>
      <c r="AA406" s="85" t="e">
        <f ca="1"/>
        <v>#N/A</v>
      </c>
      <c r="AB406" s="57" t="e">
        <f t="shared" ca="1" si="87"/>
        <v>#N/A</v>
      </c>
      <c r="AC406" s="57" t="e">
        <f t="shared" ca="1" si="88"/>
        <v>#N/A</v>
      </c>
      <c r="AD406" s="57" t="e">
        <f t="shared" ca="1" si="89"/>
        <v>#N/A</v>
      </c>
      <c r="AE406" s="57" t="e">
        <f t="shared" ca="1" si="90"/>
        <v>#N/A</v>
      </c>
    </row>
    <row r="407" spans="18:31" x14ac:dyDescent="0.3">
      <c r="R407" s="57" t="e">
        <f ca="1"/>
        <v>#N/A</v>
      </c>
      <c r="S407" s="57" t="e">
        <f t="shared" ca="1" si="79"/>
        <v>#N/A</v>
      </c>
      <c r="T407" s="57" t="e">
        <f t="shared" ca="1" si="80"/>
        <v>#N/A</v>
      </c>
      <c r="U407" s="57" t="e">
        <f t="shared" ca="1" si="81"/>
        <v>#N/A</v>
      </c>
      <c r="V407" s="57" t="e">
        <f t="shared" ca="1" si="82"/>
        <v>#N/A</v>
      </c>
      <c r="W407" t="e">
        <f t="shared" ca="1" si="83"/>
        <v>#N/A</v>
      </c>
      <c r="X407" t="e">
        <f t="shared" ca="1" si="84"/>
        <v>#N/A</v>
      </c>
      <c r="Y407" t="e">
        <f t="shared" ca="1" si="85"/>
        <v>#N/A</v>
      </c>
      <c r="Z407" t="e">
        <f t="shared" ca="1" si="86"/>
        <v>#N/A</v>
      </c>
      <c r="AA407" s="85" t="e">
        <f ca="1"/>
        <v>#N/A</v>
      </c>
      <c r="AB407" s="57" t="e">
        <f t="shared" ca="1" si="87"/>
        <v>#N/A</v>
      </c>
      <c r="AC407" s="57" t="e">
        <f t="shared" ca="1" si="88"/>
        <v>#N/A</v>
      </c>
      <c r="AD407" s="57" t="e">
        <f t="shared" ca="1" si="89"/>
        <v>#N/A</v>
      </c>
      <c r="AE407" s="57" t="e">
        <f t="shared" ca="1" si="90"/>
        <v>#N/A</v>
      </c>
    </row>
    <row r="408" spans="18:31" x14ac:dyDescent="0.3">
      <c r="R408" s="57" t="e">
        <f ca="1"/>
        <v>#N/A</v>
      </c>
      <c r="S408" s="57" t="e">
        <f t="shared" ca="1" si="79"/>
        <v>#N/A</v>
      </c>
      <c r="T408" s="57" t="e">
        <f t="shared" ca="1" si="80"/>
        <v>#N/A</v>
      </c>
      <c r="U408" s="57" t="e">
        <f t="shared" ca="1" si="81"/>
        <v>#N/A</v>
      </c>
      <c r="V408" s="57" t="e">
        <f t="shared" ca="1" si="82"/>
        <v>#N/A</v>
      </c>
      <c r="W408" t="e">
        <f t="shared" ca="1" si="83"/>
        <v>#N/A</v>
      </c>
      <c r="X408" t="e">
        <f t="shared" ca="1" si="84"/>
        <v>#N/A</v>
      </c>
      <c r="Y408" t="e">
        <f t="shared" ca="1" si="85"/>
        <v>#N/A</v>
      </c>
      <c r="Z408" t="e">
        <f t="shared" ca="1" si="86"/>
        <v>#N/A</v>
      </c>
      <c r="AA408" s="85" t="e">
        <f ca="1"/>
        <v>#N/A</v>
      </c>
      <c r="AB408" s="57" t="e">
        <f t="shared" ca="1" si="87"/>
        <v>#N/A</v>
      </c>
      <c r="AC408" s="57" t="e">
        <f t="shared" ca="1" si="88"/>
        <v>#N/A</v>
      </c>
      <c r="AD408" s="57" t="e">
        <f t="shared" ca="1" si="89"/>
        <v>#N/A</v>
      </c>
      <c r="AE408" s="57" t="e">
        <f t="shared" ca="1" si="90"/>
        <v>#N/A</v>
      </c>
    </row>
    <row r="409" spans="18:31" x14ac:dyDescent="0.3">
      <c r="R409" s="57" t="e">
        <f ca="1"/>
        <v>#N/A</v>
      </c>
      <c r="S409" s="57" t="e">
        <f t="shared" ca="1" si="79"/>
        <v>#N/A</v>
      </c>
      <c r="T409" s="57" t="e">
        <f t="shared" ca="1" si="80"/>
        <v>#N/A</v>
      </c>
      <c r="U409" s="57" t="e">
        <f t="shared" ca="1" si="81"/>
        <v>#N/A</v>
      </c>
      <c r="V409" s="57" t="e">
        <f t="shared" ca="1" si="82"/>
        <v>#N/A</v>
      </c>
      <c r="W409" t="e">
        <f t="shared" ca="1" si="83"/>
        <v>#N/A</v>
      </c>
      <c r="X409" t="e">
        <f t="shared" ca="1" si="84"/>
        <v>#N/A</v>
      </c>
      <c r="Y409" t="e">
        <f t="shared" ca="1" si="85"/>
        <v>#N/A</v>
      </c>
      <c r="Z409" t="e">
        <f t="shared" ca="1" si="86"/>
        <v>#N/A</v>
      </c>
      <c r="AA409" s="85" t="e">
        <f ca="1"/>
        <v>#N/A</v>
      </c>
      <c r="AB409" s="57" t="e">
        <f t="shared" ca="1" si="87"/>
        <v>#N/A</v>
      </c>
      <c r="AC409" s="57" t="e">
        <f t="shared" ca="1" si="88"/>
        <v>#N/A</v>
      </c>
      <c r="AD409" s="57" t="e">
        <f t="shared" ca="1" si="89"/>
        <v>#N/A</v>
      </c>
      <c r="AE409" s="57" t="e">
        <f t="shared" ca="1" si="90"/>
        <v>#N/A</v>
      </c>
    </row>
    <row r="410" spans="18:31" x14ac:dyDescent="0.3">
      <c r="R410" s="57" t="e">
        <f ca="1"/>
        <v>#N/A</v>
      </c>
      <c r="S410" s="57" t="e">
        <f t="shared" ca="1" si="79"/>
        <v>#N/A</v>
      </c>
      <c r="T410" s="57" t="e">
        <f t="shared" ca="1" si="80"/>
        <v>#N/A</v>
      </c>
      <c r="U410" s="57" t="e">
        <f t="shared" ca="1" si="81"/>
        <v>#N/A</v>
      </c>
      <c r="V410" s="57" t="e">
        <f t="shared" ca="1" si="82"/>
        <v>#N/A</v>
      </c>
      <c r="W410" t="e">
        <f t="shared" ca="1" si="83"/>
        <v>#N/A</v>
      </c>
      <c r="X410" t="e">
        <f t="shared" ca="1" si="84"/>
        <v>#N/A</v>
      </c>
      <c r="Y410" t="e">
        <f t="shared" ca="1" si="85"/>
        <v>#N/A</v>
      </c>
      <c r="Z410" t="e">
        <f t="shared" ca="1" si="86"/>
        <v>#N/A</v>
      </c>
      <c r="AA410" s="85" t="e">
        <f ca="1"/>
        <v>#N/A</v>
      </c>
      <c r="AB410" s="57" t="e">
        <f t="shared" ca="1" si="87"/>
        <v>#N/A</v>
      </c>
      <c r="AC410" s="57" t="e">
        <f t="shared" ca="1" si="88"/>
        <v>#N/A</v>
      </c>
      <c r="AD410" s="57" t="e">
        <f t="shared" ca="1" si="89"/>
        <v>#N/A</v>
      </c>
      <c r="AE410" s="57" t="e">
        <f t="shared" ca="1" si="90"/>
        <v>#N/A</v>
      </c>
    </row>
    <row r="411" spans="18:31" x14ac:dyDescent="0.3">
      <c r="R411" s="57" t="e">
        <f ca="1"/>
        <v>#N/A</v>
      </c>
      <c r="S411" s="57" t="e">
        <f t="shared" ca="1" si="79"/>
        <v>#N/A</v>
      </c>
      <c r="T411" s="57" t="e">
        <f t="shared" ca="1" si="80"/>
        <v>#N/A</v>
      </c>
      <c r="U411" s="57" t="e">
        <f t="shared" ca="1" si="81"/>
        <v>#N/A</v>
      </c>
      <c r="V411" s="57" t="e">
        <f t="shared" ca="1" si="82"/>
        <v>#N/A</v>
      </c>
      <c r="W411" t="e">
        <f t="shared" ca="1" si="83"/>
        <v>#N/A</v>
      </c>
      <c r="X411" t="e">
        <f t="shared" ca="1" si="84"/>
        <v>#N/A</v>
      </c>
      <c r="Y411" t="e">
        <f t="shared" ca="1" si="85"/>
        <v>#N/A</v>
      </c>
      <c r="Z411" t="e">
        <f t="shared" ca="1" si="86"/>
        <v>#N/A</v>
      </c>
      <c r="AA411" s="85" t="e">
        <f ca="1"/>
        <v>#N/A</v>
      </c>
      <c r="AB411" s="57" t="e">
        <f t="shared" ca="1" si="87"/>
        <v>#N/A</v>
      </c>
      <c r="AC411" s="57" t="e">
        <f t="shared" ca="1" si="88"/>
        <v>#N/A</v>
      </c>
      <c r="AD411" s="57" t="e">
        <f t="shared" ca="1" si="89"/>
        <v>#N/A</v>
      </c>
      <c r="AE411" s="57" t="e">
        <f t="shared" ca="1" si="90"/>
        <v>#N/A</v>
      </c>
    </row>
    <row r="412" spans="18:31" x14ac:dyDescent="0.3">
      <c r="R412" s="57" t="e">
        <f ca="1"/>
        <v>#N/A</v>
      </c>
      <c r="S412" s="57" t="e">
        <f t="shared" ca="1" si="79"/>
        <v>#N/A</v>
      </c>
      <c r="T412" s="57" t="e">
        <f t="shared" ca="1" si="80"/>
        <v>#N/A</v>
      </c>
      <c r="U412" s="57" t="e">
        <f t="shared" ca="1" si="81"/>
        <v>#N/A</v>
      </c>
      <c r="V412" s="57" t="e">
        <f t="shared" ca="1" si="82"/>
        <v>#N/A</v>
      </c>
      <c r="W412" t="e">
        <f t="shared" ca="1" si="83"/>
        <v>#N/A</v>
      </c>
      <c r="X412" t="e">
        <f t="shared" ca="1" si="84"/>
        <v>#N/A</v>
      </c>
      <c r="Y412" t="e">
        <f t="shared" ca="1" si="85"/>
        <v>#N/A</v>
      </c>
      <c r="Z412" t="e">
        <f t="shared" ca="1" si="86"/>
        <v>#N/A</v>
      </c>
      <c r="AA412" s="85" t="e">
        <f ca="1"/>
        <v>#N/A</v>
      </c>
      <c r="AB412" s="57" t="e">
        <f t="shared" ca="1" si="87"/>
        <v>#N/A</v>
      </c>
      <c r="AC412" s="57" t="e">
        <f t="shared" ca="1" si="88"/>
        <v>#N/A</v>
      </c>
      <c r="AD412" s="57" t="e">
        <f t="shared" ca="1" si="89"/>
        <v>#N/A</v>
      </c>
      <c r="AE412" s="57" t="e">
        <f t="shared" ca="1" si="90"/>
        <v>#N/A</v>
      </c>
    </row>
    <row r="413" spans="18:31" x14ac:dyDescent="0.3">
      <c r="R413" s="57" t="e">
        <f ca="1"/>
        <v>#N/A</v>
      </c>
      <c r="S413" s="57" t="e">
        <f t="shared" ca="1" si="79"/>
        <v>#N/A</v>
      </c>
      <c r="T413" s="57" t="e">
        <f t="shared" ca="1" si="80"/>
        <v>#N/A</v>
      </c>
      <c r="U413" s="57" t="e">
        <f t="shared" ca="1" si="81"/>
        <v>#N/A</v>
      </c>
      <c r="V413" s="57" t="e">
        <f t="shared" ca="1" si="82"/>
        <v>#N/A</v>
      </c>
      <c r="W413" t="e">
        <f t="shared" ca="1" si="83"/>
        <v>#N/A</v>
      </c>
      <c r="X413" t="e">
        <f t="shared" ca="1" si="84"/>
        <v>#N/A</v>
      </c>
      <c r="Y413" t="e">
        <f t="shared" ca="1" si="85"/>
        <v>#N/A</v>
      </c>
      <c r="Z413" t="e">
        <f t="shared" ca="1" si="86"/>
        <v>#N/A</v>
      </c>
      <c r="AA413" s="85" t="e">
        <f ca="1"/>
        <v>#N/A</v>
      </c>
      <c r="AB413" s="57" t="e">
        <f t="shared" ca="1" si="87"/>
        <v>#N/A</v>
      </c>
      <c r="AC413" s="57" t="e">
        <f t="shared" ca="1" si="88"/>
        <v>#N/A</v>
      </c>
      <c r="AD413" s="57" t="e">
        <f t="shared" ca="1" si="89"/>
        <v>#N/A</v>
      </c>
      <c r="AE413" s="57" t="e">
        <f t="shared" ca="1" si="90"/>
        <v>#N/A</v>
      </c>
    </row>
    <row r="414" spans="18:31" x14ac:dyDescent="0.3">
      <c r="R414" s="57" t="e">
        <f ca="1"/>
        <v>#N/A</v>
      </c>
      <c r="S414" s="57" t="e">
        <f t="shared" ca="1" si="79"/>
        <v>#N/A</v>
      </c>
      <c r="T414" s="57" t="e">
        <f t="shared" ca="1" si="80"/>
        <v>#N/A</v>
      </c>
      <c r="U414" s="57" t="e">
        <f t="shared" ca="1" si="81"/>
        <v>#N/A</v>
      </c>
      <c r="V414" s="57" t="e">
        <f t="shared" ca="1" si="82"/>
        <v>#N/A</v>
      </c>
      <c r="W414" t="e">
        <f t="shared" ca="1" si="83"/>
        <v>#N/A</v>
      </c>
      <c r="X414" t="e">
        <f t="shared" ca="1" si="84"/>
        <v>#N/A</v>
      </c>
      <c r="Y414" t="e">
        <f t="shared" ca="1" si="85"/>
        <v>#N/A</v>
      </c>
      <c r="Z414" t="e">
        <f t="shared" ca="1" si="86"/>
        <v>#N/A</v>
      </c>
      <c r="AA414" s="85" t="e">
        <f ca="1"/>
        <v>#N/A</v>
      </c>
      <c r="AB414" s="57" t="e">
        <f t="shared" ca="1" si="87"/>
        <v>#N/A</v>
      </c>
      <c r="AC414" s="57" t="e">
        <f t="shared" ca="1" si="88"/>
        <v>#N/A</v>
      </c>
      <c r="AD414" s="57" t="e">
        <f t="shared" ca="1" si="89"/>
        <v>#N/A</v>
      </c>
      <c r="AE414" s="57" t="e">
        <f t="shared" ca="1" si="90"/>
        <v>#N/A</v>
      </c>
    </row>
    <row r="415" spans="18:31" x14ac:dyDescent="0.3">
      <c r="R415" s="57" t="e">
        <f ca="1"/>
        <v>#N/A</v>
      </c>
      <c r="S415" s="57" t="e">
        <f t="shared" ca="1" si="79"/>
        <v>#N/A</v>
      </c>
      <c r="T415" s="57" t="e">
        <f t="shared" ca="1" si="80"/>
        <v>#N/A</v>
      </c>
      <c r="U415" s="57" t="e">
        <f t="shared" ca="1" si="81"/>
        <v>#N/A</v>
      </c>
      <c r="V415" s="57" t="e">
        <f t="shared" ca="1" si="82"/>
        <v>#N/A</v>
      </c>
      <c r="W415" t="e">
        <f t="shared" ca="1" si="83"/>
        <v>#N/A</v>
      </c>
      <c r="X415" t="e">
        <f t="shared" ca="1" si="84"/>
        <v>#N/A</v>
      </c>
      <c r="Y415" t="e">
        <f t="shared" ca="1" si="85"/>
        <v>#N/A</v>
      </c>
      <c r="Z415" t="e">
        <f t="shared" ca="1" si="86"/>
        <v>#N/A</v>
      </c>
      <c r="AA415" s="85" t="e">
        <f ca="1"/>
        <v>#N/A</v>
      </c>
      <c r="AB415" s="57" t="e">
        <f t="shared" ca="1" si="87"/>
        <v>#N/A</v>
      </c>
      <c r="AC415" s="57" t="e">
        <f t="shared" ca="1" si="88"/>
        <v>#N/A</v>
      </c>
      <c r="AD415" s="57" t="e">
        <f t="shared" ca="1" si="89"/>
        <v>#N/A</v>
      </c>
      <c r="AE415" s="57" t="e">
        <f t="shared" ca="1" si="90"/>
        <v>#N/A</v>
      </c>
    </row>
    <row r="416" spans="18:31" x14ac:dyDescent="0.3">
      <c r="R416" s="57" t="e">
        <f ca="1"/>
        <v>#N/A</v>
      </c>
      <c r="S416" s="57" t="e">
        <f t="shared" ca="1" si="79"/>
        <v>#N/A</v>
      </c>
      <c r="T416" s="57" t="e">
        <f t="shared" ca="1" si="80"/>
        <v>#N/A</v>
      </c>
      <c r="U416" s="57" t="e">
        <f t="shared" ca="1" si="81"/>
        <v>#N/A</v>
      </c>
      <c r="V416" s="57" t="e">
        <f t="shared" ca="1" si="82"/>
        <v>#N/A</v>
      </c>
      <c r="W416" t="e">
        <f t="shared" ca="1" si="83"/>
        <v>#N/A</v>
      </c>
      <c r="X416" t="e">
        <f t="shared" ca="1" si="84"/>
        <v>#N/A</v>
      </c>
      <c r="Y416" t="e">
        <f t="shared" ca="1" si="85"/>
        <v>#N/A</v>
      </c>
      <c r="Z416" t="e">
        <f t="shared" ca="1" si="86"/>
        <v>#N/A</v>
      </c>
      <c r="AA416" s="85" t="e">
        <f ca="1"/>
        <v>#N/A</v>
      </c>
      <c r="AB416" s="57" t="e">
        <f t="shared" ca="1" si="87"/>
        <v>#N/A</v>
      </c>
      <c r="AC416" s="57" t="e">
        <f t="shared" ca="1" si="88"/>
        <v>#N/A</v>
      </c>
      <c r="AD416" s="57" t="e">
        <f t="shared" ca="1" si="89"/>
        <v>#N/A</v>
      </c>
      <c r="AE416" s="57" t="e">
        <f t="shared" ca="1" si="90"/>
        <v>#N/A</v>
      </c>
    </row>
    <row r="417" spans="18:31" x14ac:dyDescent="0.3">
      <c r="R417" s="57" t="e">
        <f ca="1"/>
        <v>#N/A</v>
      </c>
      <c r="S417" s="57" t="e">
        <f t="shared" ca="1" si="79"/>
        <v>#N/A</v>
      </c>
      <c r="T417" s="57" t="e">
        <f t="shared" ca="1" si="80"/>
        <v>#N/A</v>
      </c>
      <c r="U417" s="57" t="e">
        <f t="shared" ca="1" si="81"/>
        <v>#N/A</v>
      </c>
      <c r="V417" s="57" t="e">
        <f t="shared" ca="1" si="82"/>
        <v>#N/A</v>
      </c>
      <c r="W417" t="e">
        <f t="shared" ca="1" si="83"/>
        <v>#N/A</v>
      </c>
      <c r="X417" t="e">
        <f t="shared" ca="1" si="84"/>
        <v>#N/A</v>
      </c>
      <c r="Y417" t="e">
        <f t="shared" ca="1" si="85"/>
        <v>#N/A</v>
      </c>
      <c r="Z417" t="e">
        <f t="shared" ca="1" si="86"/>
        <v>#N/A</v>
      </c>
      <c r="AA417" s="85" t="e">
        <f ca="1"/>
        <v>#N/A</v>
      </c>
      <c r="AB417" s="57" t="e">
        <f t="shared" ca="1" si="87"/>
        <v>#N/A</v>
      </c>
      <c r="AC417" s="57" t="e">
        <f t="shared" ca="1" si="88"/>
        <v>#N/A</v>
      </c>
      <c r="AD417" s="57" t="e">
        <f t="shared" ca="1" si="89"/>
        <v>#N/A</v>
      </c>
      <c r="AE417" s="57" t="e">
        <f t="shared" ca="1" si="90"/>
        <v>#N/A</v>
      </c>
    </row>
    <row r="418" spans="18:31" x14ac:dyDescent="0.3">
      <c r="R418" s="57" t="e">
        <f ca="1"/>
        <v>#N/A</v>
      </c>
      <c r="S418" s="57" t="e">
        <f t="shared" ca="1" si="79"/>
        <v>#N/A</v>
      </c>
      <c r="T418" s="57" t="e">
        <f t="shared" ca="1" si="80"/>
        <v>#N/A</v>
      </c>
      <c r="U418" s="57" t="e">
        <f t="shared" ca="1" si="81"/>
        <v>#N/A</v>
      </c>
      <c r="V418" s="57" t="e">
        <f t="shared" ca="1" si="82"/>
        <v>#N/A</v>
      </c>
      <c r="W418" t="e">
        <f t="shared" ca="1" si="83"/>
        <v>#N/A</v>
      </c>
      <c r="X418" t="e">
        <f t="shared" ca="1" si="84"/>
        <v>#N/A</v>
      </c>
      <c r="Y418" t="e">
        <f t="shared" ca="1" si="85"/>
        <v>#N/A</v>
      </c>
      <c r="Z418" t="e">
        <f t="shared" ca="1" si="86"/>
        <v>#N/A</v>
      </c>
      <c r="AA418" s="85" t="e">
        <f ca="1"/>
        <v>#N/A</v>
      </c>
      <c r="AB418" s="57" t="e">
        <f t="shared" ca="1" si="87"/>
        <v>#N/A</v>
      </c>
      <c r="AC418" s="57" t="e">
        <f t="shared" ca="1" si="88"/>
        <v>#N/A</v>
      </c>
      <c r="AD418" s="57" t="e">
        <f t="shared" ca="1" si="89"/>
        <v>#N/A</v>
      </c>
      <c r="AE418" s="57" t="e">
        <f t="shared" ca="1" si="90"/>
        <v>#N/A</v>
      </c>
    </row>
    <row r="419" spans="18:31" x14ac:dyDescent="0.3">
      <c r="R419" s="57" t="e">
        <f ca="1"/>
        <v>#N/A</v>
      </c>
      <c r="S419" s="57" t="e">
        <f t="shared" ca="1" si="79"/>
        <v>#N/A</v>
      </c>
      <c r="T419" s="57" t="e">
        <f t="shared" ca="1" si="80"/>
        <v>#N/A</v>
      </c>
      <c r="U419" s="57" t="e">
        <f t="shared" ca="1" si="81"/>
        <v>#N/A</v>
      </c>
      <c r="V419" s="57" t="e">
        <f t="shared" ca="1" si="82"/>
        <v>#N/A</v>
      </c>
      <c r="W419" t="e">
        <f t="shared" ca="1" si="83"/>
        <v>#N/A</v>
      </c>
      <c r="X419" t="e">
        <f t="shared" ca="1" si="84"/>
        <v>#N/A</v>
      </c>
      <c r="Y419" t="e">
        <f t="shared" ca="1" si="85"/>
        <v>#N/A</v>
      </c>
      <c r="Z419" t="e">
        <f t="shared" ca="1" si="86"/>
        <v>#N/A</v>
      </c>
      <c r="AA419" s="85" t="e">
        <f ca="1"/>
        <v>#N/A</v>
      </c>
      <c r="AB419" s="57" t="e">
        <f t="shared" ca="1" si="87"/>
        <v>#N/A</v>
      </c>
      <c r="AC419" s="57" t="e">
        <f t="shared" ca="1" si="88"/>
        <v>#N/A</v>
      </c>
      <c r="AD419" s="57" t="e">
        <f t="shared" ca="1" si="89"/>
        <v>#N/A</v>
      </c>
      <c r="AE419" s="57" t="e">
        <f t="shared" ca="1" si="90"/>
        <v>#N/A</v>
      </c>
    </row>
    <row r="420" spans="18:31" x14ac:dyDescent="0.3">
      <c r="R420" s="57" t="e">
        <f ca="1"/>
        <v>#N/A</v>
      </c>
      <c r="S420" s="57" t="e">
        <f t="shared" ca="1" si="79"/>
        <v>#N/A</v>
      </c>
      <c r="T420" s="57" t="e">
        <f t="shared" ca="1" si="80"/>
        <v>#N/A</v>
      </c>
      <c r="U420" s="57" t="e">
        <f t="shared" ca="1" si="81"/>
        <v>#N/A</v>
      </c>
      <c r="V420" s="57" t="e">
        <f t="shared" ca="1" si="82"/>
        <v>#N/A</v>
      </c>
      <c r="W420" t="e">
        <f t="shared" ca="1" si="83"/>
        <v>#N/A</v>
      </c>
      <c r="X420" t="e">
        <f t="shared" ca="1" si="84"/>
        <v>#N/A</v>
      </c>
      <c r="Y420" t="e">
        <f t="shared" ca="1" si="85"/>
        <v>#N/A</v>
      </c>
      <c r="Z420" t="e">
        <f t="shared" ca="1" si="86"/>
        <v>#N/A</v>
      </c>
      <c r="AA420" s="85" t="e">
        <f ca="1"/>
        <v>#N/A</v>
      </c>
      <c r="AB420" s="57" t="e">
        <f t="shared" ca="1" si="87"/>
        <v>#N/A</v>
      </c>
      <c r="AC420" s="57" t="e">
        <f t="shared" ca="1" si="88"/>
        <v>#N/A</v>
      </c>
      <c r="AD420" s="57" t="e">
        <f t="shared" ca="1" si="89"/>
        <v>#N/A</v>
      </c>
      <c r="AE420" s="57" t="e">
        <f t="shared" ca="1" si="90"/>
        <v>#N/A</v>
      </c>
    </row>
    <row r="421" spans="18:31" x14ac:dyDescent="0.3">
      <c r="R421" s="57" t="e">
        <f ca="1"/>
        <v>#N/A</v>
      </c>
      <c r="S421" s="57" t="e">
        <f t="shared" ca="1" si="79"/>
        <v>#N/A</v>
      </c>
      <c r="T421" s="57" t="e">
        <f t="shared" ca="1" si="80"/>
        <v>#N/A</v>
      </c>
      <c r="U421" s="57" t="e">
        <f t="shared" ca="1" si="81"/>
        <v>#N/A</v>
      </c>
      <c r="V421" s="57" t="e">
        <f t="shared" ca="1" si="82"/>
        <v>#N/A</v>
      </c>
      <c r="W421" t="e">
        <f t="shared" ca="1" si="83"/>
        <v>#N/A</v>
      </c>
      <c r="X421" t="e">
        <f t="shared" ca="1" si="84"/>
        <v>#N/A</v>
      </c>
      <c r="Y421" t="e">
        <f t="shared" ca="1" si="85"/>
        <v>#N/A</v>
      </c>
      <c r="Z421" t="e">
        <f t="shared" ca="1" si="86"/>
        <v>#N/A</v>
      </c>
      <c r="AA421" s="85" t="e">
        <f ca="1"/>
        <v>#N/A</v>
      </c>
      <c r="AB421" s="57" t="e">
        <f t="shared" ca="1" si="87"/>
        <v>#N/A</v>
      </c>
      <c r="AC421" s="57" t="e">
        <f t="shared" ca="1" si="88"/>
        <v>#N/A</v>
      </c>
      <c r="AD421" s="57" t="e">
        <f t="shared" ca="1" si="89"/>
        <v>#N/A</v>
      </c>
      <c r="AE421" s="57" t="e">
        <f t="shared" ca="1" si="90"/>
        <v>#N/A</v>
      </c>
    </row>
    <row r="422" spans="18:31" x14ac:dyDescent="0.3">
      <c r="R422" s="57" t="e">
        <f ca="1"/>
        <v>#N/A</v>
      </c>
      <c r="S422" s="57" t="e">
        <f t="shared" ca="1" si="79"/>
        <v>#N/A</v>
      </c>
      <c r="T422" s="57" t="e">
        <f t="shared" ca="1" si="80"/>
        <v>#N/A</v>
      </c>
      <c r="U422" s="57" t="e">
        <f t="shared" ca="1" si="81"/>
        <v>#N/A</v>
      </c>
      <c r="V422" s="57" t="e">
        <f t="shared" ca="1" si="82"/>
        <v>#N/A</v>
      </c>
      <c r="W422" t="e">
        <f t="shared" ca="1" si="83"/>
        <v>#N/A</v>
      </c>
      <c r="X422" t="e">
        <f t="shared" ca="1" si="84"/>
        <v>#N/A</v>
      </c>
      <c r="Y422" t="e">
        <f t="shared" ca="1" si="85"/>
        <v>#N/A</v>
      </c>
      <c r="Z422" t="e">
        <f t="shared" ca="1" si="86"/>
        <v>#N/A</v>
      </c>
      <c r="AA422" s="85" t="e">
        <f ca="1"/>
        <v>#N/A</v>
      </c>
      <c r="AB422" s="57" t="e">
        <f t="shared" ca="1" si="87"/>
        <v>#N/A</v>
      </c>
      <c r="AC422" s="57" t="e">
        <f t="shared" ca="1" si="88"/>
        <v>#N/A</v>
      </c>
      <c r="AD422" s="57" t="e">
        <f t="shared" ca="1" si="89"/>
        <v>#N/A</v>
      </c>
      <c r="AE422" s="57" t="e">
        <f t="shared" ca="1" si="90"/>
        <v>#N/A</v>
      </c>
    </row>
    <row r="423" spans="18:31" x14ac:dyDescent="0.3">
      <c r="R423" s="57" t="e">
        <f ca="1"/>
        <v>#N/A</v>
      </c>
      <c r="S423" s="57" t="e">
        <f t="shared" ca="1" si="79"/>
        <v>#N/A</v>
      </c>
      <c r="T423" s="57" t="e">
        <f t="shared" ca="1" si="80"/>
        <v>#N/A</v>
      </c>
      <c r="U423" s="57" t="e">
        <f t="shared" ca="1" si="81"/>
        <v>#N/A</v>
      </c>
      <c r="V423" s="57" t="e">
        <f t="shared" ca="1" si="82"/>
        <v>#N/A</v>
      </c>
      <c r="W423" t="e">
        <f t="shared" ca="1" si="83"/>
        <v>#N/A</v>
      </c>
      <c r="X423" t="e">
        <f t="shared" ca="1" si="84"/>
        <v>#N/A</v>
      </c>
      <c r="Y423" t="e">
        <f t="shared" ca="1" si="85"/>
        <v>#N/A</v>
      </c>
      <c r="Z423" t="e">
        <f t="shared" ca="1" si="86"/>
        <v>#N/A</v>
      </c>
      <c r="AA423" s="85" t="e">
        <f ca="1"/>
        <v>#N/A</v>
      </c>
      <c r="AB423" s="57" t="e">
        <f t="shared" ca="1" si="87"/>
        <v>#N/A</v>
      </c>
      <c r="AC423" s="57" t="e">
        <f t="shared" ca="1" si="88"/>
        <v>#N/A</v>
      </c>
      <c r="AD423" s="57" t="e">
        <f t="shared" ca="1" si="89"/>
        <v>#N/A</v>
      </c>
      <c r="AE423" s="57" t="e">
        <f t="shared" ca="1" si="90"/>
        <v>#N/A</v>
      </c>
    </row>
    <row r="424" spans="18:31" x14ac:dyDescent="0.3">
      <c r="R424" s="57" t="e">
        <f ca="1"/>
        <v>#N/A</v>
      </c>
      <c r="S424" s="57" t="e">
        <f t="shared" ca="1" si="79"/>
        <v>#N/A</v>
      </c>
      <c r="T424" s="57" t="e">
        <f t="shared" ca="1" si="80"/>
        <v>#N/A</v>
      </c>
      <c r="U424" s="57" t="e">
        <f t="shared" ca="1" si="81"/>
        <v>#N/A</v>
      </c>
      <c r="V424" s="57" t="e">
        <f t="shared" ca="1" si="82"/>
        <v>#N/A</v>
      </c>
      <c r="W424" t="e">
        <f t="shared" ca="1" si="83"/>
        <v>#N/A</v>
      </c>
      <c r="X424" t="e">
        <f t="shared" ca="1" si="84"/>
        <v>#N/A</v>
      </c>
      <c r="Y424" t="e">
        <f t="shared" ca="1" si="85"/>
        <v>#N/A</v>
      </c>
      <c r="Z424" t="e">
        <f t="shared" ca="1" si="86"/>
        <v>#N/A</v>
      </c>
      <c r="AA424" s="85" t="e">
        <f ca="1"/>
        <v>#N/A</v>
      </c>
      <c r="AB424" s="57" t="e">
        <f t="shared" ca="1" si="87"/>
        <v>#N/A</v>
      </c>
      <c r="AC424" s="57" t="e">
        <f t="shared" ca="1" si="88"/>
        <v>#N/A</v>
      </c>
      <c r="AD424" s="57" t="e">
        <f t="shared" ca="1" si="89"/>
        <v>#N/A</v>
      </c>
      <c r="AE424" s="57" t="e">
        <f t="shared" ca="1" si="90"/>
        <v>#N/A</v>
      </c>
    </row>
    <row r="425" spans="18:31" x14ac:dyDescent="0.3">
      <c r="R425" s="57" t="e">
        <f ca="1"/>
        <v>#N/A</v>
      </c>
      <c r="S425" s="57" t="e">
        <f t="shared" ca="1" si="79"/>
        <v>#N/A</v>
      </c>
      <c r="T425" s="57" t="e">
        <f t="shared" ca="1" si="80"/>
        <v>#N/A</v>
      </c>
      <c r="U425" s="57" t="e">
        <f t="shared" ca="1" si="81"/>
        <v>#N/A</v>
      </c>
      <c r="V425" s="57" t="e">
        <f t="shared" ca="1" si="82"/>
        <v>#N/A</v>
      </c>
      <c r="W425" t="e">
        <f t="shared" ca="1" si="83"/>
        <v>#N/A</v>
      </c>
      <c r="X425" t="e">
        <f t="shared" ca="1" si="84"/>
        <v>#N/A</v>
      </c>
      <c r="Y425" t="e">
        <f t="shared" ca="1" si="85"/>
        <v>#N/A</v>
      </c>
      <c r="Z425" t="e">
        <f t="shared" ca="1" si="86"/>
        <v>#N/A</v>
      </c>
      <c r="AA425" s="85" t="e">
        <f ca="1"/>
        <v>#N/A</v>
      </c>
      <c r="AB425" s="57" t="e">
        <f t="shared" ca="1" si="87"/>
        <v>#N/A</v>
      </c>
      <c r="AC425" s="57" t="e">
        <f t="shared" ca="1" si="88"/>
        <v>#N/A</v>
      </c>
      <c r="AD425" s="57" t="e">
        <f t="shared" ca="1" si="89"/>
        <v>#N/A</v>
      </c>
      <c r="AE425" s="57" t="e">
        <f t="shared" ca="1" si="90"/>
        <v>#N/A</v>
      </c>
    </row>
    <row r="426" spans="18:31" x14ac:dyDescent="0.3">
      <c r="R426" s="57" t="e">
        <f ca="1"/>
        <v>#N/A</v>
      </c>
      <c r="S426" s="57" t="e">
        <f t="shared" ca="1" si="79"/>
        <v>#N/A</v>
      </c>
      <c r="T426" s="57" t="e">
        <f t="shared" ca="1" si="80"/>
        <v>#N/A</v>
      </c>
      <c r="U426" s="57" t="e">
        <f t="shared" ca="1" si="81"/>
        <v>#N/A</v>
      </c>
      <c r="V426" s="57" t="e">
        <f t="shared" ca="1" si="82"/>
        <v>#N/A</v>
      </c>
      <c r="W426" t="e">
        <f t="shared" ca="1" si="83"/>
        <v>#N/A</v>
      </c>
      <c r="X426" t="e">
        <f t="shared" ca="1" si="84"/>
        <v>#N/A</v>
      </c>
      <c r="Y426" t="e">
        <f t="shared" ca="1" si="85"/>
        <v>#N/A</v>
      </c>
      <c r="Z426" t="e">
        <f t="shared" ca="1" si="86"/>
        <v>#N/A</v>
      </c>
      <c r="AA426" s="85" t="e">
        <f ca="1"/>
        <v>#N/A</v>
      </c>
      <c r="AB426" s="57" t="e">
        <f t="shared" ca="1" si="87"/>
        <v>#N/A</v>
      </c>
      <c r="AC426" s="57" t="e">
        <f t="shared" ca="1" si="88"/>
        <v>#N/A</v>
      </c>
      <c r="AD426" s="57" t="e">
        <f t="shared" ca="1" si="89"/>
        <v>#N/A</v>
      </c>
      <c r="AE426" s="57" t="e">
        <f t="shared" ca="1" si="90"/>
        <v>#N/A</v>
      </c>
    </row>
    <row r="427" spans="18:31" x14ac:dyDescent="0.3">
      <c r="R427" s="57" t="e">
        <f ca="1"/>
        <v>#N/A</v>
      </c>
      <c r="S427" s="57" t="e">
        <f t="shared" ca="1" si="79"/>
        <v>#N/A</v>
      </c>
      <c r="T427" s="57" t="e">
        <f t="shared" ca="1" si="80"/>
        <v>#N/A</v>
      </c>
      <c r="U427" s="57" t="e">
        <f t="shared" ca="1" si="81"/>
        <v>#N/A</v>
      </c>
      <c r="V427" s="57" t="e">
        <f t="shared" ca="1" si="82"/>
        <v>#N/A</v>
      </c>
      <c r="W427" t="e">
        <f t="shared" ca="1" si="83"/>
        <v>#N/A</v>
      </c>
      <c r="X427" t="e">
        <f t="shared" ca="1" si="84"/>
        <v>#N/A</v>
      </c>
      <c r="Y427" t="e">
        <f t="shared" ca="1" si="85"/>
        <v>#N/A</v>
      </c>
      <c r="Z427" t="e">
        <f t="shared" ca="1" si="86"/>
        <v>#N/A</v>
      </c>
      <c r="AA427" s="85" t="e">
        <f ca="1"/>
        <v>#N/A</v>
      </c>
      <c r="AB427" s="57" t="e">
        <f t="shared" ca="1" si="87"/>
        <v>#N/A</v>
      </c>
      <c r="AC427" s="57" t="e">
        <f t="shared" ca="1" si="88"/>
        <v>#N/A</v>
      </c>
      <c r="AD427" s="57" t="e">
        <f t="shared" ca="1" si="89"/>
        <v>#N/A</v>
      </c>
      <c r="AE427" s="57" t="e">
        <f t="shared" ca="1" si="90"/>
        <v>#N/A</v>
      </c>
    </row>
    <row r="428" spans="18:31" x14ac:dyDescent="0.3">
      <c r="R428" s="57" t="e">
        <f ca="1"/>
        <v>#N/A</v>
      </c>
      <c r="S428" s="57" t="e">
        <f t="shared" ca="1" si="79"/>
        <v>#N/A</v>
      </c>
      <c r="T428" s="57" t="e">
        <f t="shared" ca="1" si="80"/>
        <v>#N/A</v>
      </c>
      <c r="U428" s="57" t="e">
        <f t="shared" ca="1" si="81"/>
        <v>#N/A</v>
      </c>
      <c r="V428" s="57" t="e">
        <f t="shared" ca="1" si="82"/>
        <v>#N/A</v>
      </c>
      <c r="W428" t="e">
        <f t="shared" ca="1" si="83"/>
        <v>#N/A</v>
      </c>
      <c r="X428" t="e">
        <f t="shared" ca="1" si="84"/>
        <v>#N/A</v>
      </c>
      <c r="Y428" t="e">
        <f t="shared" ca="1" si="85"/>
        <v>#N/A</v>
      </c>
      <c r="Z428" t="e">
        <f t="shared" ca="1" si="86"/>
        <v>#N/A</v>
      </c>
      <c r="AA428" s="85" t="e">
        <f ca="1"/>
        <v>#N/A</v>
      </c>
      <c r="AB428" s="57" t="e">
        <f t="shared" ca="1" si="87"/>
        <v>#N/A</v>
      </c>
      <c r="AC428" s="57" t="e">
        <f t="shared" ca="1" si="88"/>
        <v>#N/A</v>
      </c>
      <c r="AD428" s="57" t="e">
        <f t="shared" ca="1" si="89"/>
        <v>#N/A</v>
      </c>
      <c r="AE428" s="57" t="e">
        <f t="shared" ca="1" si="90"/>
        <v>#N/A</v>
      </c>
    </row>
    <row r="429" spans="18:31" x14ac:dyDescent="0.3">
      <c r="R429" s="57" t="e">
        <f ca="1"/>
        <v>#N/A</v>
      </c>
      <c r="S429" s="57" t="e">
        <f t="shared" ca="1" si="79"/>
        <v>#N/A</v>
      </c>
      <c r="T429" s="57" t="e">
        <f t="shared" ca="1" si="80"/>
        <v>#N/A</v>
      </c>
      <c r="U429" s="57" t="e">
        <f t="shared" ca="1" si="81"/>
        <v>#N/A</v>
      </c>
      <c r="V429" s="57" t="e">
        <f t="shared" ca="1" si="82"/>
        <v>#N/A</v>
      </c>
      <c r="W429" t="e">
        <f t="shared" ca="1" si="83"/>
        <v>#N/A</v>
      </c>
      <c r="X429" t="e">
        <f t="shared" ca="1" si="84"/>
        <v>#N/A</v>
      </c>
      <c r="Y429" t="e">
        <f t="shared" ca="1" si="85"/>
        <v>#N/A</v>
      </c>
      <c r="Z429" t="e">
        <f t="shared" ca="1" si="86"/>
        <v>#N/A</v>
      </c>
      <c r="AA429" s="85" t="e">
        <f ca="1"/>
        <v>#N/A</v>
      </c>
      <c r="AB429" s="57" t="e">
        <f t="shared" ca="1" si="87"/>
        <v>#N/A</v>
      </c>
      <c r="AC429" s="57" t="e">
        <f t="shared" ca="1" si="88"/>
        <v>#N/A</v>
      </c>
      <c r="AD429" s="57" t="e">
        <f t="shared" ca="1" si="89"/>
        <v>#N/A</v>
      </c>
      <c r="AE429" s="57" t="e">
        <f t="shared" ca="1" si="90"/>
        <v>#N/A</v>
      </c>
    </row>
    <row r="430" spans="18:31" x14ac:dyDescent="0.3">
      <c r="R430" s="57" t="e">
        <f ca="1"/>
        <v>#N/A</v>
      </c>
      <c r="S430" s="57" t="e">
        <f t="shared" ca="1" si="79"/>
        <v>#N/A</v>
      </c>
      <c r="T430" s="57" t="e">
        <f t="shared" ca="1" si="80"/>
        <v>#N/A</v>
      </c>
      <c r="U430" s="57" t="e">
        <f t="shared" ca="1" si="81"/>
        <v>#N/A</v>
      </c>
      <c r="V430" s="57" t="e">
        <f t="shared" ca="1" si="82"/>
        <v>#N/A</v>
      </c>
      <c r="W430" t="e">
        <f t="shared" ca="1" si="83"/>
        <v>#N/A</v>
      </c>
      <c r="X430" t="e">
        <f t="shared" ca="1" si="84"/>
        <v>#N/A</v>
      </c>
      <c r="Y430" t="e">
        <f t="shared" ca="1" si="85"/>
        <v>#N/A</v>
      </c>
      <c r="Z430" t="e">
        <f t="shared" ca="1" si="86"/>
        <v>#N/A</v>
      </c>
      <c r="AA430" s="85" t="e">
        <f ca="1"/>
        <v>#N/A</v>
      </c>
      <c r="AB430" s="57" t="e">
        <f t="shared" ca="1" si="87"/>
        <v>#N/A</v>
      </c>
      <c r="AC430" s="57" t="e">
        <f t="shared" ca="1" si="88"/>
        <v>#N/A</v>
      </c>
      <c r="AD430" s="57" t="e">
        <f t="shared" ca="1" si="89"/>
        <v>#N/A</v>
      </c>
      <c r="AE430" s="57" t="e">
        <f t="shared" ca="1" si="90"/>
        <v>#N/A</v>
      </c>
    </row>
    <row r="431" spans="18:31" x14ac:dyDescent="0.3">
      <c r="R431" s="57" t="e">
        <f ca="1"/>
        <v>#N/A</v>
      </c>
      <c r="S431" s="57" t="e">
        <f t="shared" ca="1" si="79"/>
        <v>#N/A</v>
      </c>
      <c r="T431" s="57" t="e">
        <f t="shared" ca="1" si="80"/>
        <v>#N/A</v>
      </c>
      <c r="U431" s="57" t="e">
        <f t="shared" ca="1" si="81"/>
        <v>#N/A</v>
      </c>
      <c r="V431" s="57" t="e">
        <f t="shared" ca="1" si="82"/>
        <v>#N/A</v>
      </c>
      <c r="W431" t="e">
        <f t="shared" ca="1" si="83"/>
        <v>#N/A</v>
      </c>
      <c r="X431" t="e">
        <f t="shared" ca="1" si="84"/>
        <v>#N/A</v>
      </c>
      <c r="Y431" t="e">
        <f t="shared" ca="1" si="85"/>
        <v>#N/A</v>
      </c>
      <c r="Z431" t="e">
        <f t="shared" ca="1" si="86"/>
        <v>#N/A</v>
      </c>
      <c r="AA431" s="85" t="e">
        <f ca="1"/>
        <v>#N/A</v>
      </c>
      <c r="AB431" s="57" t="e">
        <f t="shared" ca="1" si="87"/>
        <v>#N/A</v>
      </c>
      <c r="AC431" s="57" t="e">
        <f t="shared" ca="1" si="88"/>
        <v>#N/A</v>
      </c>
      <c r="AD431" s="57" t="e">
        <f t="shared" ca="1" si="89"/>
        <v>#N/A</v>
      </c>
      <c r="AE431" s="57" t="e">
        <f t="shared" ca="1" si="90"/>
        <v>#N/A</v>
      </c>
    </row>
    <row r="432" spans="18:31" x14ac:dyDescent="0.3">
      <c r="R432" s="57" t="e">
        <f ca="1"/>
        <v>#N/A</v>
      </c>
      <c r="S432" s="57" t="e">
        <f t="shared" ca="1" si="79"/>
        <v>#N/A</v>
      </c>
      <c r="T432" s="57" t="e">
        <f t="shared" ca="1" si="80"/>
        <v>#N/A</v>
      </c>
      <c r="U432" s="57" t="e">
        <f t="shared" ca="1" si="81"/>
        <v>#N/A</v>
      </c>
      <c r="V432" s="57" t="e">
        <f t="shared" ca="1" si="82"/>
        <v>#N/A</v>
      </c>
      <c r="W432" t="e">
        <f t="shared" ca="1" si="83"/>
        <v>#N/A</v>
      </c>
      <c r="X432" t="e">
        <f t="shared" ca="1" si="84"/>
        <v>#N/A</v>
      </c>
      <c r="Y432" t="e">
        <f t="shared" ca="1" si="85"/>
        <v>#N/A</v>
      </c>
      <c r="Z432" t="e">
        <f t="shared" ca="1" si="86"/>
        <v>#N/A</v>
      </c>
      <c r="AA432" s="85" t="e">
        <f ca="1"/>
        <v>#N/A</v>
      </c>
      <c r="AB432" s="57" t="e">
        <f t="shared" ca="1" si="87"/>
        <v>#N/A</v>
      </c>
      <c r="AC432" s="57" t="e">
        <f t="shared" ca="1" si="88"/>
        <v>#N/A</v>
      </c>
      <c r="AD432" s="57" t="e">
        <f t="shared" ca="1" si="89"/>
        <v>#N/A</v>
      </c>
      <c r="AE432" s="57" t="e">
        <f t="shared" ca="1" si="90"/>
        <v>#N/A</v>
      </c>
    </row>
    <row r="433" spans="18:31" x14ac:dyDescent="0.3">
      <c r="R433" s="57" t="e">
        <f ca="1"/>
        <v>#N/A</v>
      </c>
      <c r="S433" s="57" t="e">
        <f t="shared" ca="1" si="79"/>
        <v>#N/A</v>
      </c>
      <c r="T433" s="57" t="e">
        <f t="shared" ca="1" si="80"/>
        <v>#N/A</v>
      </c>
      <c r="U433" s="57" t="e">
        <f t="shared" ca="1" si="81"/>
        <v>#N/A</v>
      </c>
      <c r="V433" s="57" t="e">
        <f t="shared" ca="1" si="82"/>
        <v>#N/A</v>
      </c>
      <c r="W433" t="e">
        <f t="shared" ca="1" si="83"/>
        <v>#N/A</v>
      </c>
      <c r="X433" t="e">
        <f t="shared" ca="1" si="84"/>
        <v>#N/A</v>
      </c>
      <c r="Y433" t="e">
        <f t="shared" ca="1" si="85"/>
        <v>#N/A</v>
      </c>
      <c r="Z433" t="e">
        <f t="shared" ca="1" si="86"/>
        <v>#N/A</v>
      </c>
      <c r="AA433" s="85" t="e">
        <f ca="1"/>
        <v>#N/A</v>
      </c>
      <c r="AB433" s="57" t="e">
        <f t="shared" ca="1" si="87"/>
        <v>#N/A</v>
      </c>
      <c r="AC433" s="57" t="e">
        <f t="shared" ca="1" si="88"/>
        <v>#N/A</v>
      </c>
      <c r="AD433" s="57" t="e">
        <f t="shared" ca="1" si="89"/>
        <v>#N/A</v>
      </c>
      <c r="AE433" s="57" t="e">
        <f t="shared" ca="1" si="90"/>
        <v>#N/A</v>
      </c>
    </row>
    <row r="434" spans="18:31" x14ac:dyDescent="0.3">
      <c r="R434" s="57" t="e">
        <f ca="1"/>
        <v>#N/A</v>
      </c>
      <c r="S434" s="57" t="e">
        <f t="shared" ca="1" si="79"/>
        <v>#N/A</v>
      </c>
      <c r="T434" s="57" t="e">
        <f t="shared" ca="1" si="80"/>
        <v>#N/A</v>
      </c>
      <c r="U434" s="57" t="e">
        <f t="shared" ca="1" si="81"/>
        <v>#N/A</v>
      </c>
      <c r="V434" s="57" t="e">
        <f t="shared" ca="1" si="82"/>
        <v>#N/A</v>
      </c>
      <c r="W434" t="e">
        <f t="shared" ca="1" si="83"/>
        <v>#N/A</v>
      </c>
      <c r="X434" t="e">
        <f t="shared" ca="1" si="84"/>
        <v>#N/A</v>
      </c>
      <c r="Y434" t="e">
        <f t="shared" ca="1" si="85"/>
        <v>#N/A</v>
      </c>
      <c r="Z434" t="e">
        <f t="shared" ca="1" si="86"/>
        <v>#N/A</v>
      </c>
      <c r="AA434" s="85" t="e">
        <f ca="1"/>
        <v>#N/A</v>
      </c>
      <c r="AB434" s="57" t="e">
        <f t="shared" ca="1" si="87"/>
        <v>#N/A</v>
      </c>
      <c r="AC434" s="57" t="e">
        <f t="shared" ca="1" si="88"/>
        <v>#N/A</v>
      </c>
      <c r="AD434" s="57" t="e">
        <f t="shared" ca="1" si="89"/>
        <v>#N/A</v>
      </c>
      <c r="AE434" s="57" t="e">
        <f t="shared" ca="1" si="90"/>
        <v>#N/A</v>
      </c>
    </row>
    <row r="435" spans="18:31" x14ac:dyDescent="0.3">
      <c r="R435" s="57" t="e">
        <f ca="1"/>
        <v>#N/A</v>
      </c>
      <c r="S435" s="57" t="e">
        <f t="shared" ca="1" si="79"/>
        <v>#N/A</v>
      </c>
      <c r="T435" s="57" t="e">
        <f t="shared" ca="1" si="80"/>
        <v>#N/A</v>
      </c>
      <c r="U435" s="57" t="e">
        <f t="shared" ca="1" si="81"/>
        <v>#N/A</v>
      </c>
      <c r="V435" s="57" t="e">
        <f t="shared" ca="1" si="82"/>
        <v>#N/A</v>
      </c>
      <c r="W435" t="e">
        <f t="shared" ca="1" si="83"/>
        <v>#N/A</v>
      </c>
      <c r="X435" t="e">
        <f t="shared" ca="1" si="84"/>
        <v>#N/A</v>
      </c>
      <c r="Y435" t="e">
        <f t="shared" ca="1" si="85"/>
        <v>#N/A</v>
      </c>
      <c r="Z435" t="e">
        <f t="shared" ca="1" si="86"/>
        <v>#N/A</v>
      </c>
      <c r="AA435" s="85" t="e">
        <f ca="1"/>
        <v>#N/A</v>
      </c>
      <c r="AB435" s="57" t="e">
        <f t="shared" ca="1" si="87"/>
        <v>#N/A</v>
      </c>
      <c r="AC435" s="57" t="e">
        <f t="shared" ca="1" si="88"/>
        <v>#N/A</v>
      </c>
      <c r="AD435" s="57" t="e">
        <f t="shared" ca="1" si="89"/>
        <v>#N/A</v>
      </c>
      <c r="AE435" s="57" t="e">
        <f t="shared" ca="1" si="90"/>
        <v>#N/A</v>
      </c>
    </row>
    <row r="436" spans="18:31" x14ac:dyDescent="0.3">
      <c r="R436" s="57" t="e">
        <f ca="1"/>
        <v>#N/A</v>
      </c>
      <c r="S436" s="57" t="e">
        <f t="shared" ca="1" si="79"/>
        <v>#N/A</v>
      </c>
      <c r="T436" s="57" t="e">
        <f t="shared" ca="1" si="80"/>
        <v>#N/A</v>
      </c>
      <c r="U436" s="57" t="e">
        <f t="shared" ca="1" si="81"/>
        <v>#N/A</v>
      </c>
      <c r="V436" s="57" t="e">
        <f t="shared" ca="1" si="82"/>
        <v>#N/A</v>
      </c>
      <c r="W436" t="e">
        <f t="shared" ca="1" si="83"/>
        <v>#N/A</v>
      </c>
      <c r="X436" t="e">
        <f t="shared" ca="1" si="84"/>
        <v>#N/A</v>
      </c>
      <c r="Y436" t="e">
        <f t="shared" ca="1" si="85"/>
        <v>#N/A</v>
      </c>
      <c r="Z436" t="e">
        <f t="shared" ca="1" si="86"/>
        <v>#N/A</v>
      </c>
      <c r="AA436" s="85" t="e">
        <f ca="1"/>
        <v>#N/A</v>
      </c>
      <c r="AB436" s="57" t="e">
        <f t="shared" ca="1" si="87"/>
        <v>#N/A</v>
      </c>
      <c r="AC436" s="57" t="e">
        <f t="shared" ca="1" si="88"/>
        <v>#N/A</v>
      </c>
      <c r="AD436" s="57" t="e">
        <f t="shared" ca="1" si="89"/>
        <v>#N/A</v>
      </c>
      <c r="AE436" s="57" t="e">
        <f t="shared" ca="1" si="90"/>
        <v>#N/A</v>
      </c>
    </row>
    <row r="437" spans="18:31" x14ac:dyDescent="0.3">
      <c r="R437" s="57" t="e">
        <f ca="1"/>
        <v>#N/A</v>
      </c>
      <c r="S437" s="57" t="e">
        <f t="shared" ca="1" si="79"/>
        <v>#N/A</v>
      </c>
      <c r="T437" s="57" t="e">
        <f t="shared" ca="1" si="80"/>
        <v>#N/A</v>
      </c>
      <c r="U437" s="57" t="e">
        <f t="shared" ca="1" si="81"/>
        <v>#N/A</v>
      </c>
      <c r="V437" s="57" t="e">
        <f t="shared" ca="1" si="82"/>
        <v>#N/A</v>
      </c>
      <c r="W437" t="e">
        <f t="shared" ca="1" si="83"/>
        <v>#N/A</v>
      </c>
      <c r="X437" t="e">
        <f t="shared" ca="1" si="84"/>
        <v>#N/A</v>
      </c>
      <c r="Y437" t="e">
        <f t="shared" ca="1" si="85"/>
        <v>#N/A</v>
      </c>
      <c r="Z437" t="e">
        <f t="shared" ca="1" si="86"/>
        <v>#N/A</v>
      </c>
      <c r="AA437" s="85" t="e">
        <f ca="1"/>
        <v>#N/A</v>
      </c>
      <c r="AB437" s="57" t="e">
        <f t="shared" ca="1" si="87"/>
        <v>#N/A</v>
      </c>
      <c r="AC437" s="57" t="e">
        <f t="shared" ca="1" si="88"/>
        <v>#N/A</v>
      </c>
      <c r="AD437" s="57" t="e">
        <f t="shared" ca="1" si="89"/>
        <v>#N/A</v>
      </c>
      <c r="AE437" s="57" t="e">
        <f t="shared" ca="1" si="90"/>
        <v>#N/A</v>
      </c>
    </row>
    <row r="438" spans="18:31" x14ac:dyDescent="0.3">
      <c r="R438" s="57" t="e">
        <f ca="1"/>
        <v>#N/A</v>
      </c>
      <c r="S438" s="57" t="e">
        <f t="shared" ca="1" si="79"/>
        <v>#N/A</v>
      </c>
      <c r="T438" s="57" t="e">
        <f t="shared" ca="1" si="80"/>
        <v>#N/A</v>
      </c>
      <c r="U438" s="57" t="e">
        <f t="shared" ca="1" si="81"/>
        <v>#N/A</v>
      </c>
      <c r="V438" s="57" t="e">
        <f t="shared" ca="1" si="82"/>
        <v>#N/A</v>
      </c>
      <c r="W438" t="e">
        <f t="shared" ca="1" si="83"/>
        <v>#N/A</v>
      </c>
      <c r="X438" t="e">
        <f t="shared" ca="1" si="84"/>
        <v>#N/A</v>
      </c>
      <c r="Y438" t="e">
        <f t="shared" ca="1" si="85"/>
        <v>#N/A</v>
      </c>
      <c r="Z438" t="e">
        <f t="shared" ca="1" si="86"/>
        <v>#N/A</v>
      </c>
      <c r="AA438" s="85" t="e">
        <f ca="1"/>
        <v>#N/A</v>
      </c>
      <c r="AB438" s="57" t="e">
        <f t="shared" ca="1" si="87"/>
        <v>#N/A</v>
      </c>
      <c r="AC438" s="57" t="e">
        <f t="shared" ca="1" si="88"/>
        <v>#N/A</v>
      </c>
      <c r="AD438" s="57" t="e">
        <f t="shared" ca="1" si="89"/>
        <v>#N/A</v>
      </c>
      <c r="AE438" s="57" t="e">
        <f t="shared" ca="1" si="90"/>
        <v>#N/A</v>
      </c>
    </row>
    <row r="439" spans="18:31" x14ac:dyDescent="0.3">
      <c r="R439" s="57" t="e">
        <f ca="1"/>
        <v>#N/A</v>
      </c>
      <c r="S439" s="57" t="e">
        <f t="shared" ca="1" si="79"/>
        <v>#N/A</v>
      </c>
      <c r="T439" s="57" t="e">
        <f t="shared" ca="1" si="80"/>
        <v>#N/A</v>
      </c>
      <c r="U439" s="57" t="e">
        <f t="shared" ca="1" si="81"/>
        <v>#N/A</v>
      </c>
      <c r="V439" s="57" t="e">
        <f t="shared" ca="1" si="82"/>
        <v>#N/A</v>
      </c>
      <c r="W439" t="e">
        <f t="shared" ca="1" si="83"/>
        <v>#N/A</v>
      </c>
      <c r="X439" t="e">
        <f t="shared" ca="1" si="84"/>
        <v>#N/A</v>
      </c>
      <c r="Y439" t="e">
        <f t="shared" ca="1" si="85"/>
        <v>#N/A</v>
      </c>
      <c r="Z439" t="e">
        <f t="shared" ca="1" si="86"/>
        <v>#N/A</v>
      </c>
      <c r="AA439" s="85" t="e">
        <f ca="1"/>
        <v>#N/A</v>
      </c>
      <c r="AB439" s="57" t="e">
        <f t="shared" ca="1" si="87"/>
        <v>#N/A</v>
      </c>
      <c r="AC439" s="57" t="e">
        <f t="shared" ca="1" si="88"/>
        <v>#N/A</v>
      </c>
      <c r="AD439" s="57" t="e">
        <f t="shared" ca="1" si="89"/>
        <v>#N/A</v>
      </c>
      <c r="AE439" s="57" t="e">
        <f t="shared" ca="1" si="90"/>
        <v>#N/A</v>
      </c>
    </row>
    <row r="440" spans="18:31" x14ac:dyDescent="0.3">
      <c r="R440" s="57" t="e">
        <f ca="1"/>
        <v>#N/A</v>
      </c>
      <c r="S440" s="57" t="e">
        <f t="shared" ca="1" si="79"/>
        <v>#N/A</v>
      </c>
      <c r="T440" s="57" t="e">
        <f t="shared" ca="1" si="80"/>
        <v>#N/A</v>
      </c>
      <c r="U440" s="57" t="e">
        <f t="shared" ca="1" si="81"/>
        <v>#N/A</v>
      </c>
      <c r="V440" s="57" t="e">
        <f t="shared" ca="1" si="82"/>
        <v>#N/A</v>
      </c>
      <c r="W440" t="e">
        <f t="shared" ca="1" si="83"/>
        <v>#N/A</v>
      </c>
      <c r="X440" t="e">
        <f t="shared" ca="1" si="84"/>
        <v>#N/A</v>
      </c>
      <c r="Y440" t="e">
        <f t="shared" ca="1" si="85"/>
        <v>#N/A</v>
      </c>
      <c r="Z440" t="e">
        <f t="shared" ca="1" si="86"/>
        <v>#N/A</v>
      </c>
      <c r="AA440" s="85" t="e">
        <f ca="1"/>
        <v>#N/A</v>
      </c>
      <c r="AB440" s="57" t="e">
        <f t="shared" ca="1" si="87"/>
        <v>#N/A</v>
      </c>
      <c r="AC440" s="57" t="e">
        <f t="shared" ca="1" si="88"/>
        <v>#N/A</v>
      </c>
      <c r="AD440" s="57" t="e">
        <f t="shared" ca="1" si="89"/>
        <v>#N/A</v>
      </c>
      <c r="AE440" s="57" t="e">
        <f t="shared" ca="1" si="90"/>
        <v>#N/A</v>
      </c>
    </row>
    <row r="441" spans="18:31" x14ac:dyDescent="0.3">
      <c r="R441" s="57" t="e">
        <f ca="1"/>
        <v>#N/A</v>
      </c>
      <c r="S441" s="57" t="e">
        <f t="shared" ca="1" si="79"/>
        <v>#N/A</v>
      </c>
      <c r="T441" s="57" t="e">
        <f t="shared" ca="1" si="80"/>
        <v>#N/A</v>
      </c>
      <c r="U441" s="57" t="e">
        <f t="shared" ca="1" si="81"/>
        <v>#N/A</v>
      </c>
      <c r="V441" s="57" t="e">
        <f t="shared" ca="1" si="82"/>
        <v>#N/A</v>
      </c>
      <c r="W441" t="e">
        <f t="shared" ca="1" si="83"/>
        <v>#N/A</v>
      </c>
      <c r="X441" t="e">
        <f t="shared" ca="1" si="84"/>
        <v>#N/A</v>
      </c>
      <c r="Y441" t="e">
        <f t="shared" ca="1" si="85"/>
        <v>#N/A</v>
      </c>
      <c r="Z441" t="e">
        <f t="shared" ca="1" si="86"/>
        <v>#N/A</v>
      </c>
      <c r="AA441" s="85" t="e">
        <f ca="1"/>
        <v>#N/A</v>
      </c>
      <c r="AB441" s="57" t="e">
        <f t="shared" ca="1" si="87"/>
        <v>#N/A</v>
      </c>
      <c r="AC441" s="57" t="e">
        <f t="shared" ca="1" si="88"/>
        <v>#N/A</v>
      </c>
      <c r="AD441" s="57" t="e">
        <f t="shared" ca="1" si="89"/>
        <v>#N/A</v>
      </c>
      <c r="AE441" s="57" t="e">
        <f t="shared" ca="1" si="90"/>
        <v>#N/A</v>
      </c>
    </row>
    <row r="442" spans="18:31" x14ac:dyDescent="0.3">
      <c r="R442" s="57" t="e">
        <f ca="1"/>
        <v>#N/A</v>
      </c>
      <c r="S442" s="57" t="e">
        <f t="shared" ca="1" si="79"/>
        <v>#N/A</v>
      </c>
      <c r="T442" s="57" t="e">
        <f t="shared" ca="1" si="80"/>
        <v>#N/A</v>
      </c>
      <c r="U442" s="57" t="e">
        <f t="shared" ca="1" si="81"/>
        <v>#N/A</v>
      </c>
      <c r="V442" s="57" t="e">
        <f t="shared" ca="1" si="82"/>
        <v>#N/A</v>
      </c>
      <c r="W442" t="e">
        <f t="shared" ca="1" si="83"/>
        <v>#N/A</v>
      </c>
      <c r="X442" t="e">
        <f t="shared" ca="1" si="84"/>
        <v>#N/A</v>
      </c>
      <c r="Y442" t="e">
        <f t="shared" ca="1" si="85"/>
        <v>#N/A</v>
      </c>
      <c r="Z442" t="e">
        <f t="shared" ca="1" si="86"/>
        <v>#N/A</v>
      </c>
      <c r="AA442" s="85" t="e">
        <f ca="1"/>
        <v>#N/A</v>
      </c>
      <c r="AB442" s="57" t="e">
        <f t="shared" ca="1" si="87"/>
        <v>#N/A</v>
      </c>
      <c r="AC442" s="57" t="e">
        <f t="shared" ca="1" si="88"/>
        <v>#N/A</v>
      </c>
      <c r="AD442" s="57" t="e">
        <f t="shared" ca="1" si="89"/>
        <v>#N/A</v>
      </c>
      <c r="AE442" s="57" t="e">
        <f t="shared" ca="1" si="90"/>
        <v>#N/A</v>
      </c>
    </row>
    <row r="443" spans="18:31" x14ac:dyDescent="0.3">
      <c r="R443" s="57" t="e">
        <f ca="1"/>
        <v>#N/A</v>
      </c>
      <c r="S443" s="57" t="e">
        <f t="shared" ca="1" si="79"/>
        <v>#N/A</v>
      </c>
      <c r="T443" s="57" t="e">
        <f t="shared" ca="1" si="80"/>
        <v>#N/A</v>
      </c>
      <c r="U443" s="57" t="e">
        <f t="shared" ca="1" si="81"/>
        <v>#N/A</v>
      </c>
      <c r="V443" s="57" t="e">
        <f t="shared" ca="1" si="82"/>
        <v>#N/A</v>
      </c>
      <c r="W443" t="e">
        <f t="shared" ca="1" si="83"/>
        <v>#N/A</v>
      </c>
      <c r="X443" t="e">
        <f t="shared" ca="1" si="84"/>
        <v>#N/A</v>
      </c>
      <c r="Y443" t="e">
        <f t="shared" ca="1" si="85"/>
        <v>#N/A</v>
      </c>
      <c r="Z443" t="e">
        <f t="shared" ca="1" si="86"/>
        <v>#N/A</v>
      </c>
      <c r="AA443" s="85" t="e">
        <f ca="1"/>
        <v>#N/A</v>
      </c>
      <c r="AB443" s="57" t="e">
        <f t="shared" ca="1" si="87"/>
        <v>#N/A</v>
      </c>
      <c r="AC443" s="57" t="e">
        <f t="shared" ca="1" si="88"/>
        <v>#N/A</v>
      </c>
      <c r="AD443" s="57" t="e">
        <f t="shared" ca="1" si="89"/>
        <v>#N/A</v>
      </c>
      <c r="AE443" s="57" t="e">
        <f t="shared" ca="1" si="90"/>
        <v>#N/A</v>
      </c>
    </row>
    <row r="444" spans="18:31" x14ac:dyDescent="0.3">
      <c r="R444" s="57" t="e">
        <f ca="1"/>
        <v>#N/A</v>
      </c>
      <c r="S444" s="57" t="e">
        <f t="shared" ca="1" si="79"/>
        <v>#N/A</v>
      </c>
      <c r="T444" s="57" t="e">
        <f t="shared" ca="1" si="80"/>
        <v>#N/A</v>
      </c>
      <c r="U444" s="57" t="e">
        <f t="shared" ca="1" si="81"/>
        <v>#N/A</v>
      </c>
      <c r="V444" s="57" t="e">
        <f t="shared" ca="1" si="82"/>
        <v>#N/A</v>
      </c>
      <c r="W444" t="e">
        <f t="shared" ca="1" si="83"/>
        <v>#N/A</v>
      </c>
      <c r="X444" t="e">
        <f t="shared" ca="1" si="84"/>
        <v>#N/A</v>
      </c>
      <c r="Y444" t="e">
        <f t="shared" ca="1" si="85"/>
        <v>#N/A</v>
      </c>
      <c r="Z444" t="e">
        <f t="shared" ca="1" si="86"/>
        <v>#N/A</v>
      </c>
      <c r="AA444" s="85" t="e">
        <f ca="1"/>
        <v>#N/A</v>
      </c>
      <c r="AB444" s="57" t="e">
        <f t="shared" ca="1" si="87"/>
        <v>#N/A</v>
      </c>
      <c r="AC444" s="57" t="e">
        <f t="shared" ca="1" si="88"/>
        <v>#N/A</v>
      </c>
      <c r="AD444" s="57" t="e">
        <f t="shared" ca="1" si="89"/>
        <v>#N/A</v>
      </c>
      <c r="AE444" s="57" t="e">
        <f t="shared" ca="1" si="90"/>
        <v>#N/A</v>
      </c>
    </row>
    <row r="445" spans="18:31" x14ac:dyDescent="0.3">
      <c r="R445" s="57" t="e">
        <f ca="1"/>
        <v>#N/A</v>
      </c>
      <c r="S445" s="57" t="e">
        <f t="shared" ca="1" si="79"/>
        <v>#N/A</v>
      </c>
      <c r="T445" s="57" t="e">
        <f t="shared" ca="1" si="80"/>
        <v>#N/A</v>
      </c>
      <c r="U445" s="57" t="e">
        <f t="shared" ca="1" si="81"/>
        <v>#N/A</v>
      </c>
      <c r="V445" s="57" t="e">
        <f t="shared" ca="1" si="82"/>
        <v>#N/A</v>
      </c>
      <c r="W445" t="e">
        <f t="shared" ca="1" si="83"/>
        <v>#N/A</v>
      </c>
      <c r="X445" t="e">
        <f t="shared" ca="1" si="84"/>
        <v>#N/A</v>
      </c>
      <c r="Y445" t="e">
        <f t="shared" ca="1" si="85"/>
        <v>#N/A</v>
      </c>
      <c r="Z445" t="e">
        <f t="shared" ca="1" si="86"/>
        <v>#N/A</v>
      </c>
      <c r="AA445" s="85" t="e">
        <f ca="1"/>
        <v>#N/A</v>
      </c>
      <c r="AB445" s="57" t="e">
        <f t="shared" ca="1" si="87"/>
        <v>#N/A</v>
      </c>
      <c r="AC445" s="57" t="e">
        <f t="shared" ca="1" si="88"/>
        <v>#N/A</v>
      </c>
      <c r="AD445" s="57" t="e">
        <f t="shared" ca="1" si="89"/>
        <v>#N/A</v>
      </c>
      <c r="AE445" s="57" t="e">
        <f t="shared" ca="1" si="90"/>
        <v>#N/A</v>
      </c>
    </row>
    <row r="446" spans="18:31" x14ac:dyDescent="0.3">
      <c r="R446" s="57" t="e">
        <f ca="1"/>
        <v>#N/A</v>
      </c>
      <c r="S446" s="57" t="e">
        <f t="shared" ca="1" si="79"/>
        <v>#N/A</v>
      </c>
      <c r="T446" s="57" t="e">
        <f t="shared" ca="1" si="80"/>
        <v>#N/A</v>
      </c>
      <c r="U446" s="57" t="e">
        <f t="shared" ca="1" si="81"/>
        <v>#N/A</v>
      </c>
      <c r="V446" s="57" t="e">
        <f t="shared" ca="1" si="82"/>
        <v>#N/A</v>
      </c>
      <c r="W446" t="e">
        <f t="shared" ca="1" si="83"/>
        <v>#N/A</v>
      </c>
      <c r="X446" t="e">
        <f t="shared" ca="1" si="84"/>
        <v>#N/A</v>
      </c>
      <c r="Y446" t="e">
        <f t="shared" ca="1" si="85"/>
        <v>#N/A</v>
      </c>
      <c r="Z446" t="e">
        <f t="shared" ca="1" si="86"/>
        <v>#N/A</v>
      </c>
      <c r="AA446" s="85" t="e">
        <f ca="1"/>
        <v>#N/A</v>
      </c>
      <c r="AB446" s="57" t="e">
        <f t="shared" ca="1" si="87"/>
        <v>#N/A</v>
      </c>
      <c r="AC446" s="57" t="e">
        <f t="shared" ca="1" si="88"/>
        <v>#N/A</v>
      </c>
      <c r="AD446" s="57" t="e">
        <f t="shared" ca="1" si="89"/>
        <v>#N/A</v>
      </c>
      <c r="AE446" s="57" t="e">
        <f t="shared" ca="1" si="90"/>
        <v>#N/A</v>
      </c>
    </row>
    <row r="447" spans="18:31" x14ac:dyDescent="0.3">
      <c r="R447" s="57" t="e">
        <f ca="1"/>
        <v>#N/A</v>
      </c>
      <c r="S447" s="57" t="e">
        <f t="shared" ca="1" si="79"/>
        <v>#N/A</v>
      </c>
      <c r="T447" s="57" t="e">
        <f t="shared" ca="1" si="80"/>
        <v>#N/A</v>
      </c>
      <c r="U447" s="57" t="e">
        <f t="shared" ca="1" si="81"/>
        <v>#N/A</v>
      </c>
      <c r="V447" s="57" t="e">
        <f t="shared" ca="1" si="82"/>
        <v>#N/A</v>
      </c>
      <c r="W447" t="e">
        <f t="shared" ca="1" si="83"/>
        <v>#N/A</v>
      </c>
      <c r="X447" t="e">
        <f t="shared" ca="1" si="84"/>
        <v>#N/A</v>
      </c>
      <c r="Y447" t="e">
        <f t="shared" ca="1" si="85"/>
        <v>#N/A</v>
      </c>
      <c r="Z447" t="e">
        <f t="shared" ca="1" si="86"/>
        <v>#N/A</v>
      </c>
      <c r="AA447" s="85" t="e">
        <f ca="1"/>
        <v>#N/A</v>
      </c>
      <c r="AB447" s="57" t="e">
        <f t="shared" ca="1" si="87"/>
        <v>#N/A</v>
      </c>
      <c r="AC447" s="57" t="e">
        <f t="shared" ca="1" si="88"/>
        <v>#N/A</v>
      </c>
      <c r="AD447" s="57" t="e">
        <f t="shared" ca="1" si="89"/>
        <v>#N/A</v>
      </c>
      <c r="AE447" s="57" t="e">
        <f t="shared" ca="1" si="90"/>
        <v>#N/A</v>
      </c>
    </row>
    <row r="448" spans="18:31" x14ac:dyDescent="0.3">
      <c r="R448" s="57" t="e">
        <f ca="1"/>
        <v>#N/A</v>
      </c>
      <c r="S448" s="57" t="e">
        <f t="shared" ca="1" si="79"/>
        <v>#N/A</v>
      </c>
      <c r="T448" s="57" t="e">
        <f t="shared" ca="1" si="80"/>
        <v>#N/A</v>
      </c>
      <c r="U448" s="57" t="e">
        <f t="shared" ca="1" si="81"/>
        <v>#N/A</v>
      </c>
      <c r="V448" s="57" t="e">
        <f t="shared" ca="1" si="82"/>
        <v>#N/A</v>
      </c>
      <c r="W448" t="e">
        <f t="shared" ca="1" si="83"/>
        <v>#N/A</v>
      </c>
      <c r="X448" t="e">
        <f t="shared" ca="1" si="84"/>
        <v>#N/A</v>
      </c>
      <c r="Y448" t="e">
        <f t="shared" ca="1" si="85"/>
        <v>#N/A</v>
      </c>
      <c r="Z448" t="e">
        <f t="shared" ca="1" si="86"/>
        <v>#N/A</v>
      </c>
      <c r="AA448" s="85" t="e">
        <f ca="1"/>
        <v>#N/A</v>
      </c>
      <c r="AB448" s="57" t="e">
        <f t="shared" ca="1" si="87"/>
        <v>#N/A</v>
      </c>
      <c r="AC448" s="57" t="e">
        <f t="shared" ca="1" si="88"/>
        <v>#N/A</v>
      </c>
      <c r="AD448" s="57" t="e">
        <f t="shared" ca="1" si="89"/>
        <v>#N/A</v>
      </c>
      <c r="AE448" s="57" t="e">
        <f t="shared" ca="1" si="90"/>
        <v>#N/A</v>
      </c>
    </row>
    <row r="449" spans="18:31" x14ac:dyDescent="0.3">
      <c r="R449" s="57" t="e">
        <f ca="1"/>
        <v>#N/A</v>
      </c>
      <c r="S449" s="57" t="e">
        <f t="shared" ca="1" si="79"/>
        <v>#N/A</v>
      </c>
      <c r="T449" s="57" t="e">
        <f t="shared" ca="1" si="80"/>
        <v>#N/A</v>
      </c>
      <c r="U449" s="57" t="e">
        <f t="shared" ca="1" si="81"/>
        <v>#N/A</v>
      </c>
      <c r="V449" s="57" t="e">
        <f t="shared" ca="1" si="82"/>
        <v>#N/A</v>
      </c>
      <c r="W449" t="e">
        <f t="shared" ca="1" si="83"/>
        <v>#N/A</v>
      </c>
      <c r="X449" t="e">
        <f t="shared" ca="1" si="84"/>
        <v>#N/A</v>
      </c>
      <c r="Y449" t="e">
        <f t="shared" ca="1" si="85"/>
        <v>#N/A</v>
      </c>
      <c r="Z449" t="e">
        <f t="shared" ca="1" si="86"/>
        <v>#N/A</v>
      </c>
      <c r="AA449" s="85" t="e">
        <f ca="1"/>
        <v>#N/A</v>
      </c>
      <c r="AB449" s="57" t="e">
        <f t="shared" ca="1" si="87"/>
        <v>#N/A</v>
      </c>
      <c r="AC449" s="57" t="e">
        <f t="shared" ca="1" si="88"/>
        <v>#N/A</v>
      </c>
      <c r="AD449" s="57" t="e">
        <f t="shared" ca="1" si="89"/>
        <v>#N/A</v>
      </c>
      <c r="AE449" s="57" t="e">
        <f t="shared" ca="1" si="90"/>
        <v>#N/A</v>
      </c>
    </row>
    <row r="450" spans="18:31" x14ac:dyDescent="0.3">
      <c r="R450" s="57" t="e">
        <f ca="1"/>
        <v>#N/A</v>
      </c>
      <c r="S450" s="57" t="e">
        <f t="shared" ca="1" si="79"/>
        <v>#N/A</v>
      </c>
      <c r="T450" s="57" t="e">
        <f t="shared" ca="1" si="80"/>
        <v>#N/A</v>
      </c>
      <c r="U450" s="57" t="e">
        <f t="shared" ca="1" si="81"/>
        <v>#N/A</v>
      </c>
      <c r="V450" s="57" t="e">
        <f t="shared" ca="1" si="82"/>
        <v>#N/A</v>
      </c>
      <c r="W450" t="e">
        <f t="shared" ca="1" si="83"/>
        <v>#N/A</v>
      </c>
      <c r="X450" t="e">
        <f t="shared" ca="1" si="84"/>
        <v>#N/A</v>
      </c>
      <c r="Y450" t="e">
        <f t="shared" ca="1" si="85"/>
        <v>#N/A</v>
      </c>
      <c r="Z450" t="e">
        <f t="shared" ca="1" si="86"/>
        <v>#N/A</v>
      </c>
      <c r="AA450" s="85" t="e">
        <f ca="1"/>
        <v>#N/A</v>
      </c>
      <c r="AB450" s="57" t="e">
        <f t="shared" ca="1" si="87"/>
        <v>#N/A</v>
      </c>
      <c r="AC450" s="57" t="e">
        <f t="shared" ca="1" si="88"/>
        <v>#N/A</v>
      </c>
      <c r="AD450" s="57" t="e">
        <f t="shared" ca="1" si="89"/>
        <v>#N/A</v>
      </c>
      <c r="AE450" s="57" t="e">
        <f t="shared" ca="1" si="90"/>
        <v>#N/A</v>
      </c>
    </row>
    <row r="451" spans="18:31" x14ac:dyDescent="0.3">
      <c r="R451" s="57" t="e">
        <f ca="1"/>
        <v>#N/A</v>
      </c>
      <c r="S451" s="57" t="e">
        <f t="shared" ca="1" si="79"/>
        <v>#N/A</v>
      </c>
      <c r="T451" s="57" t="e">
        <f t="shared" ca="1" si="80"/>
        <v>#N/A</v>
      </c>
      <c r="U451" s="57" t="e">
        <f t="shared" ca="1" si="81"/>
        <v>#N/A</v>
      </c>
      <c r="V451" s="57" t="e">
        <f t="shared" ca="1" si="82"/>
        <v>#N/A</v>
      </c>
      <c r="W451" t="e">
        <f t="shared" ca="1" si="83"/>
        <v>#N/A</v>
      </c>
      <c r="X451" t="e">
        <f t="shared" ca="1" si="84"/>
        <v>#N/A</v>
      </c>
      <c r="Y451" t="e">
        <f t="shared" ca="1" si="85"/>
        <v>#N/A</v>
      </c>
      <c r="Z451" t="e">
        <f t="shared" ca="1" si="86"/>
        <v>#N/A</v>
      </c>
      <c r="AA451" s="85" t="e">
        <f ca="1"/>
        <v>#N/A</v>
      </c>
      <c r="AB451" s="57" t="e">
        <f t="shared" ca="1" si="87"/>
        <v>#N/A</v>
      </c>
      <c r="AC451" s="57" t="e">
        <f t="shared" ca="1" si="88"/>
        <v>#N/A</v>
      </c>
      <c r="AD451" s="57" t="e">
        <f t="shared" ca="1" si="89"/>
        <v>#N/A</v>
      </c>
      <c r="AE451" s="57" t="e">
        <f t="shared" ca="1" si="90"/>
        <v>#N/A</v>
      </c>
    </row>
    <row r="452" spans="18:31" x14ac:dyDescent="0.3">
      <c r="R452" s="57" t="e">
        <f ca="1"/>
        <v>#N/A</v>
      </c>
      <c r="S452" s="57" t="e">
        <f t="shared" ca="1" si="79"/>
        <v>#N/A</v>
      </c>
      <c r="T452" s="57" t="e">
        <f t="shared" ca="1" si="80"/>
        <v>#N/A</v>
      </c>
      <c r="U452" s="57" t="e">
        <f t="shared" ca="1" si="81"/>
        <v>#N/A</v>
      </c>
      <c r="V452" s="57" t="e">
        <f t="shared" ca="1" si="82"/>
        <v>#N/A</v>
      </c>
      <c r="W452" t="e">
        <f t="shared" ca="1" si="83"/>
        <v>#N/A</v>
      </c>
      <c r="X452" t="e">
        <f t="shared" ca="1" si="84"/>
        <v>#N/A</v>
      </c>
      <c r="Y452" t="e">
        <f t="shared" ca="1" si="85"/>
        <v>#N/A</v>
      </c>
      <c r="Z452" t="e">
        <f t="shared" ca="1" si="86"/>
        <v>#N/A</v>
      </c>
      <c r="AA452" s="85" t="e">
        <f ca="1"/>
        <v>#N/A</v>
      </c>
      <c r="AB452" s="57" t="e">
        <f t="shared" ca="1" si="87"/>
        <v>#N/A</v>
      </c>
      <c r="AC452" s="57" t="e">
        <f t="shared" ca="1" si="88"/>
        <v>#N/A</v>
      </c>
      <c r="AD452" s="57" t="e">
        <f t="shared" ca="1" si="89"/>
        <v>#N/A</v>
      </c>
      <c r="AE452" s="57" t="e">
        <f t="shared" ca="1" si="90"/>
        <v>#N/A</v>
      </c>
    </row>
    <row r="453" spans="18:31" x14ac:dyDescent="0.3">
      <c r="R453" s="57" t="e">
        <f ca="1"/>
        <v>#N/A</v>
      </c>
      <c r="S453" s="57" t="e">
        <f t="shared" ca="1" si="79"/>
        <v>#N/A</v>
      </c>
      <c r="T453" s="57" t="e">
        <f t="shared" ca="1" si="80"/>
        <v>#N/A</v>
      </c>
      <c r="U453" s="57" t="e">
        <f t="shared" ca="1" si="81"/>
        <v>#N/A</v>
      </c>
      <c r="V453" s="57" t="e">
        <f t="shared" ca="1" si="82"/>
        <v>#N/A</v>
      </c>
      <c r="W453" t="e">
        <f t="shared" ca="1" si="83"/>
        <v>#N/A</v>
      </c>
      <c r="X453" t="e">
        <f t="shared" ca="1" si="84"/>
        <v>#N/A</v>
      </c>
      <c r="Y453" t="e">
        <f t="shared" ca="1" si="85"/>
        <v>#N/A</v>
      </c>
      <c r="Z453" t="e">
        <f t="shared" ca="1" si="86"/>
        <v>#N/A</v>
      </c>
      <c r="AA453" s="85" t="e">
        <f ca="1"/>
        <v>#N/A</v>
      </c>
      <c r="AB453" s="57" t="e">
        <f t="shared" ca="1" si="87"/>
        <v>#N/A</v>
      </c>
      <c r="AC453" s="57" t="e">
        <f t="shared" ca="1" si="88"/>
        <v>#N/A</v>
      </c>
      <c r="AD453" s="57" t="e">
        <f t="shared" ca="1" si="89"/>
        <v>#N/A</v>
      </c>
      <c r="AE453" s="57" t="e">
        <f t="shared" ca="1" si="90"/>
        <v>#N/A</v>
      </c>
    </row>
    <row r="454" spans="18:31" x14ac:dyDescent="0.3">
      <c r="R454" s="57" t="e">
        <f ca="1"/>
        <v>#N/A</v>
      </c>
      <c r="S454" s="57" t="e">
        <f t="shared" ca="1" si="79"/>
        <v>#N/A</v>
      </c>
      <c r="T454" s="57" t="e">
        <f t="shared" ca="1" si="80"/>
        <v>#N/A</v>
      </c>
      <c r="U454" s="57" t="e">
        <f t="shared" ca="1" si="81"/>
        <v>#N/A</v>
      </c>
      <c r="V454" s="57" t="e">
        <f t="shared" ca="1" si="82"/>
        <v>#N/A</v>
      </c>
      <c r="W454" t="e">
        <f t="shared" ca="1" si="83"/>
        <v>#N/A</v>
      </c>
      <c r="X454" t="e">
        <f t="shared" ca="1" si="84"/>
        <v>#N/A</v>
      </c>
      <c r="Y454" t="e">
        <f t="shared" ca="1" si="85"/>
        <v>#N/A</v>
      </c>
      <c r="Z454" t="e">
        <f t="shared" ca="1" si="86"/>
        <v>#N/A</v>
      </c>
      <c r="AA454" s="85" t="e">
        <f ca="1"/>
        <v>#N/A</v>
      </c>
      <c r="AB454" s="57" t="e">
        <f t="shared" ca="1" si="87"/>
        <v>#N/A</v>
      </c>
      <c r="AC454" s="57" t="e">
        <f t="shared" ca="1" si="88"/>
        <v>#N/A</v>
      </c>
      <c r="AD454" s="57" t="e">
        <f t="shared" ca="1" si="89"/>
        <v>#N/A</v>
      </c>
      <c r="AE454" s="57" t="e">
        <f t="shared" ca="1" si="90"/>
        <v>#N/A</v>
      </c>
    </row>
    <row r="455" spans="18:31" x14ac:dyDescent="0.3">
      <c r="R455" s="57" t="e">
        <f ca="1"/>
        <v>#N/A</v>
      </c>
      <c r="S455" s="57" t="e">
        <f t="shared" ca="1" si="79"/>
        <v>#N/A</v>
      </c>
      <c r="T455" s="57" t="e">
        <f t="shared" ca="1" si="80"/>
        <v>#N/A</v>
      </c>
      <c r="U455" s="57" t="e">
        <f t="shared" ca="1" si="81"/>
        <v>#N/A</v>
      </c>
      <c r="V455" s="57" t="e">
        <f t="shared" ca="1" si="82"/>
        <v>#N/A</v>
      </c>
      <c r="W455" t="e">
        <f t="shared" ca="1" si="83"/>
        <v>#N/A</v>
      </c>
      <c r="X455" t="e">
        <f t="shared" ca="1" si="84"/>
        <v>#N/A</v>
      </c>
      <c r="Y455" t="e">
        <f t="shared" ca="1" si="85"/>
        <v>#N/A</v>
      </c>
      <c r="Z455" t="e">
        <f t="shared" ca="1" si="86"/>
        <v>#N/A</v>
      </c>
      <c r="AA455" s="85" t="e">
        <f ca="1"/>
        <v>#N/A</v>
      </c>
      <c r="AB455" s="57" t="e">
        <f t="shared" ca="1" si="87"/>
        <v>#N/A</v>
      </c>
      <c r="AC455" s="57" t="e">
        <f t="shared" ca="1" si="88"/>
        <v>#N/A</v>
      </c>
      <c r="AD455" s="57" t="e">
        <f t="shared" ca="1" si="89"/>
        <v>#N/A</v>
      </c>
      <c r="AE455" s="57" t="e">
        <f t="shared" ca="1" si="90"/>
        <v>#N/A</v>
      </c>
    </row>
    <row r="456" spans="18:31" x14ac:dyDescent="0.3">
      <c r="R456" s="57" t="e">
        <f ca="1"/>
        <v>#N/A</v>
      </c>
      <c r="S456" s="57" t="e">
        <f t="shared" ca="1" si="79"/>
        <v>#N/A</v>
      </c>
      <c r="T456" s="57" t="e">
        <f t="shared" ca="1" si="80"/>
        <v>#N/A</v>
      </c>
      <c r="U456" s="57" t="e">
        <f t="shared" ca="1" si="81"/>
        <v>#N/A</v>
      </c>
      <c r="V456" s="57" t="e">
        <f t="shared" ca="1" si="82"/>
        <v>#N/A</v>
      </c>
      <c r="W456" t="e">
        <f t="shared" ca="1" si="83"/>
        <v>#N/A</v>
      </c>
      <c r="X456" t="e">
        <f t="shared" ca="1" si="84"/>
        <v>#N/A</v>
      </c>
      <c r="Y456" t="e">
        <f t="shared" ca="1" si="85"/>
        <v>#N/A</v>
      </c>
      <c r="Z456" t="e">
        <f t="shared" ca="1" si="86"/>
        <v>#N/A</v>
      </c>
      <c r="AA456" s="85" t="e">
        <f ca="1"/>
        <v>#N/A</v>
      </c>
      <c r="AB456" s="57" t="e">
        <f t="shared" ca="1" si="87"/>
        <v>#N/A</v>
      </c>
      <c r="AC456" s="57" t="e">
        <f t="shared" ca="1" si="88"/>
        <v>#N/A</v>
      </c>
      <c r="AD456" s="57" t="e">
        <f t="shared" ca="1" si="89"/>
        <v>#N/A</v>
      </c>
      <c r="AE456" s="57" t="e">
        <f t="shared" ca="1" si="90"/>
        <v>#N/A</v>
      </c>
    </row>
    <row r="457" spans="18:31" x14ac:dyDescent="0.3">
      <c r="R457" s="57" t="e">
        <f ca="1"/>
        <v>#N/A</v>
      </c>
      <c r="S457" s="57" t="e">
        <f t="shared" ca="1" si="79"/>
        <v>#N/A</v>
      </c>
      <c r="T457" s="57" t="e">
        <f t="shared" ca="1" si="80"/>
        <v>#N/A</v>
      </c>
      <c r="U457" s="57" t="e">
        <f t="shared" ca="1" si="81"/>
        <v>#N/A</v>
      </c>
      <c r="V457" s="57" t="e">
        <f t="shared" ca="1" si="82"/>
        <v>#N/A</v>
      </c>
      <c r="W457" t="e">
        <f t="shared" ca="1" si="83"/>
        <v>#N/A</v>
      </c>
      <c r="X457" t="e">
        <f t="shared" ca="1" si="84"/>
        <v>#N/A</v>
      </c>
      <c r="Y457" t="e">
        <f t="shared" ca="1" si="85"/>
        <v>#N/A</v>
      </c>
      <c r="Z457" t="e">
        <f t="shared" ca="1" si="86"/>
        <v>#N/A</v>
      </c>
      <c r="AA457" s="85" t="e">
        <f ca="1"/>
        <v>#N/A</v>
      </c>
      <c r="AB457" s="57" t="e">
        <f t="shared" ca="1" si="87"/>
        <v>#N/A</v>
      </c>
      <c r="AC457" s="57" t="e">
        <f t="shared" ca="1" si="88"/>
        <v>#N/A</v>
      </c>
      <c r="AD457" s="57" t="e">
        <f t="shared" ca="1" si="89"/>
        <v>#N/A</v>
      </c>
      <c r="AE457" s="57" t="e">
        <f t="shared" ca="1" si="90"/>
        <v>#N/A</v>
      </c>
    </row>
    <row r="458" spans="18:31" x14ac:dyDescent="0.3">
      <c r="R458" s="57" t="e">
        <f ca="1"/>
        <v>#N/A</v>
      </c>
      <c r="S458" s="57" t="e">
        <f t="shared" ca="1" si="79"/>
        <v>#N/A</v>
      </c>
      <c r="T458" s="57" t="e">
        <f t="shared" ca="1" si="80"/>
        <v>#N/A</v>
      </c>
      <c r="U458" s="57" t="e">
        <f t="shared" ca="1" si="81"/>
        <v>#N/A</v>
      </c>
      <c r="V458" s="57" t="e">
        <f t="shared" ca="1" si="82"/>
        <v>#N/A</v>
      </c>
      <c r="W458" t="e">
        <f t="shared" ca="1" si="83"/>
        <v>#N/A</v>
      </c>
      <c r="X458" t="e">
        <f t="shared" ca="1" si="84"/>
        <v>#N/A</v>
      </c>
      <c r="Y458" t="e">
        <f t="shared" ca="1" si="85"/>
        <v>#N/A</v>
      </c>
      <c r="Z458" t="e">
        <f t="shared" ca="1" si="86"/>
        <v>#N/A</v>
      </c>
      <c r="AA458" s="85" t="e">
        <f ca="1"/>
        <v>#N/A</v>
      </c>
      <c r="AB458" s="57" t="e">
        <f t="shared" ca="1" si="87"/>
        <v>#N/A</v>
      </c>
      <c r="AC458" s="57" t="e">
        <f t="shared" ca="1" si="88"/>
        <v>#N/A</v>
      </c>
      <c r="AD458" s="57" t="e">
        <f t="shared" ca="1" si="89"/>
        <v>#N/A</v>
      </c>
      <c r="AE458" s="57" t="e">
        <f t="shared" ca="1" si="90"/>
        <v>#N/A</v>
      </c>
    </row>
    <row r="459" spans="18:31" x14ac:dyDescent="0.3">
      <c r="R459" s="57" t="e">
        <f ca="1"/>
        <v>#N/A</v>
      </c>
      <c r="S459" s="57" t="e">
        <f t="shared" ca="1" si="79"/>
        <v>#N/A</v>
      </c>
      <c r="T459" s="57" t="e">
        <f t="shared" ca="1" si="80"/>
        <v>#N/A</v>
      </c>
      <c r="U459" s="57" t="e">
        <f t="shared" ca="1" si="81"/>
        <v>#N/A</v>
      </c>
      <c r="V459" s="57" t="e">
        <f t="shared" ca="1" si="82"/>
        <v>#N/A</v>
      </c>
      <c r="W459" t="e">
        <f t="shared" ca="1" si="83"/>
        <v>#N/A</v>
      </c>
      <c r="X459" t="e">
        <f t="shared" ca="1" si="84"/>
        <v>#N/A</v>
      </c>
      <c r="Y459" t="e">
        <f t="shared" ca="1" si="85"/>
        <v>#N/A</v>
      </c>
      <c r="Z459" t="e">
        <f t="shared" ca="1" si="86"/>
        <v>#N/A</v>
      </c>
      <c r="AA459" s="85" t="e">
        <f ca="1"/>
        <v>#N/A</v>
      </c>
      <c r="AB459" s="57" t="e">
        <f t="shared" ca="1" si="87"/>
        <v>#N/A</v>
      </c>
      <c r="AC459" s="57" t="e">
        <f t="shared" ca="1" si="88"/>
        <v>#N/A</v>
      </c>
      <c r="AD459" s="57" t="e">
        <f t="shared" ca="1" si="89"/>
        <v>#N/A</v>
      </c>
      <c r="AE459" s="57" t="e">
        <f t="shared" ca="1" si="90"/>
        <v>#N/A</v>
      </c>
    </row>
    <row r="460" spans="18:31" x14ac:dyDescent="0.3">
      <c r="R460" s="57" t="e">
        <f ca="1"/>
        <v>#N/A</v>
      </c>
      <c r="S460" s="57" t="e">
        <f t="shared" ref="S460:S523" ca="1" si="91">IF(R460&gt;1,R460,"")</f>
        <v>#N/A</v>
      </c>
      <c r="T460" s="57" t="e">
        <f t="shared" ref="T460:T523" ca="1" si="92">VLOOKUP(S460,ModelOutputs,2,FALSE)</f>
        <v>#N/A</v>
      </c>
      <c r="U460" s="57" t="e">
        <f t="shared" ref="U460:U523" ca="1" si="93">VLOOKUP(S460,ModelOutputs,7,FALSE)</f>
        <v>#N/A</v>
      </c>
      <c r="V460" s="57" t="e">
        <f t="shared" ref="V460:V523" ca="1" si="94">VLOOKUP(S460,ModelOutputs,6,FALSE)</f>
        <v>#N/A</v>
      </c>
      <c r="W460" t="e">
        <f t="shared" ref="W460:W523" ca="1" si="95">VLOOKUP(S460,ModelOutputs,10,FALSE)*AWC</f>
        <v>#N/A</v>
      </c>
      <c r="X460" t="e">
        <f t="shared" ref="X460:X523" ca="1" si="96">VLOOKUP(S460,ModelOutputs,11,FALSE)+X459</f>
        <v>#N/A</v>
      </c>
      <c r="Y460" t="e">
        <f t="shared" ref="Y460:Y523" ca="1" si="97">VLOOKUP(S460,ModelOutputs,12,FALSE)</f>
        <v>#N/A</v>
      </c>
      <c r="Z460" t="e">
        <f t="shared" ref="Z460:Z523" ca="1" si="98">VLOOKUP(S460,ModelOutputs,13,FALSE)</f>
        <v>#N/A</v>
      </c>
      <c r="AA460" s="85" t="e">
        <f ca="1"/>
        <v>#N/A</v>
      </c>
      <c r="AB460" s="57" t="e">
        <f t="shared" ref="AB460:AB523" ca="1" si="99">IF(AA460&gt;1,AA460,"")</f>
        <v>#N/A</v>
      </c>
      <c r="AC460" s="57" t="e">
        <f t="shared" ref="AC460:AC523" ca="1" si="100">VLOOKUP(AB460,ModelOutputs,2,FALSE)</f>
        <v>#N/A</v>
      </c>
      <c r="AD460" s="57" t="e">
        <f t="shared" ref="AD460:AD523" ca="1" si="101">VLOOKUP(AB460,ModelOutputs,7,FALSE)</f>
        <v>#N/A</v>
      </c>
      <c r="AE460" s="57" t="e">
        <f t="shared" ref="AE460:AE523" ca="1" si="102">VLOOKUP(AB460,ModelOutputs,6,FALSE)</f>
        <v>#N/A</v>
      </c>
    </row>
    <row r="461" spans="18:31" x14ac:dyDescent="0.3">
      <c r="R461" s="57" t="e">
        <f ca="1"/>
        <v>#N/A</v>
      </c>
      <c r="S461" s="57" t="e">
        <f t="shared" ca="1" si="91"/>
        <v>#N/A</v>
      </c>
      <c r="T461" s="57" t="e">
        <f t="shared" ca="1" si="92"/>
        <v>#N/A</v>
      </c>
      <c r="U461" s="57" t="e">
        <f t="shared" ca="1" si="93"/>
        <v>#N/A</v>
      </c>
      <c r="V461" s="57" t="e">
        <f t="shared" ca="1" si="94"/>
        <v>#N/A</v>
      </c>
      <c r="W461" t="e">
        <f t="shared" ca="1" si="95"/>
        <v>#N/A</v>
      </c>
      <c r="X461" t="e">
        <f t="shared" ca="1" si="96"/>
        <v>#N/A</v>
      </c>
      <c r="Y461" t="e">
        <f t="shared" ca="1" si="97"/>
        <v>#N/A</v>
      </c>
      <c r="Z461" t="e">
        <f t="shared" ca="1" si="98"/>
        <v>#N/A</v>
      </c>
      <c r="AA461" s="85" t="e">
        <f ca="1"/>
        <v>#N/A</v>
      </c>
      <c r="AB461" s="57" t="e">
        <f t="shared" ca="1" si="99"/>
        <v>#N/A</v>
      </c>
      <c r="AC461" s="57" t="e">
        <f t="shared" ca="1" si="100"/>
        <v>#N/A</v>
      </c>
      <c r="AD461" s="57" t="e">
        <f t="shared" ca="1" si="101"/>
        <v>#N/A</v>
      </c>
      <c r="AE461" s="57" t="e">
        <f t="shared" ca="1" si="102"/>
        <v>#N/A</v>
      </c>
    </row>
    <row r="462" spans="18:31" x14ac:dyDescent="0.3">
      <c r="R462" s="57" t="e">
        <f ca="1"/>
        <v>#N/A</v>
      </c>
      <c r="S462" s="57" t="e">
        <f t="shared" ca="1" si="91"/>
        <v>#N/A</v>
      </c>
      <c r="T462" s="57" t="e">
        <f t="shared" ca="1" si="92"/>
        <v>#N/A</v>
      </c>
      <c r="U462" s="57" t="e">
        <f t="shared" ca="1" si="93"/>
        <v>#N/A</v>
      </c>
      <c r="V462" s="57" t="e">
        <f t="shared" ca="1" si="94"/>
        <v>#N/A</v>
      </c>
      <c r="W462" t="e">
        <f t="shared" ca="1" si="95"/>
        <v>#N/A</v>
      </c>
      <c r="X462" t="e">
        <f t="shared" ca="1" si="96"/>
        <v>#N/A</v>
      </c>
      <c r="Y462" t="e">
        <f t="shared" ca="1" si="97"/>
        <v>#N/A</v>
      </c>
      <c r="Z462" t="e">
        <f t="shared" ca="1" si="98"/>
        <v>#N/A</v>
      </c>
      <c r="AA462" s="85" t="e">
        <f ca="1"/>
        <v>#N/A</v>
      </c>
      <c r="AB462" s="57" t="e">
        <f t="shared" ca="1" si="99"/>
        <v>#N/A</v>
      </c>
      <c r="AC462" s="57" t="e">
        <f t="shared" ca="1" si="100"/>
        <v>#N/A</v>
      </c>
      <c r="AD462" s="57" t="e">
        <f t="shared" ca="1" si="101"/>
        <v>#N/A</v>
      </c>
      <c r="AE462" s="57" t="e">
        <f t="shared" ca="1" si="102"/>
        <v>#N/A</v>
      </c>
    </row>
    <row r="463" spans="18:31" x14ac:dyDescent="0.3">
      <c r="R463" s="57" t="e">
        <f ca="1"/>
        <v>#N/A</v>
      </c>
      <c r="S463" s="57" t="e">
        <f t="shared" ca="1" si="91"/>
        <v>#N/A</v>
      </c>
      <c r="T463" s="57" t="e">
        <f t="shared" ca="1" si="92"/>
        <v>#N/A</v>
      </c>
      <c r="U463" s="57" t="e">
        <f t="shared" ca="1" si="93"/>
        <v>#N/A</v>
      </c>
      <c r="V463" s="57" t="e">
        <f t="shared" ca="1" si="94"/>
        <v>#N/A</v>
      </c>
      <c r="W463" t="e">
        <f t="shared" ca="1" si="95"/>
        <v>#N/A</v>
      </c>
      <c r="X463" t="e">
        <f t="shared" ca="1" si="96"/>
        <v>#N/A</v>
      </c>
      <c r="Y463" t="e">
        <f t="shared" ca="1" si="97"/>
        <v>#N/A</v>
      </c>
      <c r="Z463" t="e">
        <f t="shared" ca="1" si="98"/>
        <v>#N/A</v>
      </c>
      <c r="AA463" s="85" t="e">
        <f ca="1"/>
        <v>#N/A</v>
      </c>
      <c r="AB463" s="57" t="e">
        <f t="shared" ca="1" si="99"/>
        <v>#N/A</v>
      </c>
      <c r="AC463" s="57" t="e">
        <f t="shared" ca="1" si="100"/>
        <v>#N/A</v>
      </c>
      <c r="AD463" s="57" t="e">
        <f t="shared" ca="1" si="101"/>
        <v>#N/A</v>
      </c>
      <c r="AE463" s="57" t="e">
        <f t="shared" ca="1" si="102"/>
        <v>#N/A</v>
      </c>
    </row>
    <row r="464" spans="18:31" x14ac:dyDescent="0.3">
      <c r="R464" s="57" t="e">
        <f ca="1"/>
        <v>#N/A</v>
      </c>
      <c r="S464" s="57" t="e">
        <f t="shared" ca="1" si="91"/>
        <v>#N/A</v>
      </c>
      <c r="T464" s="57" t="e">
        <f t="shared" ca="1" si="92"/>
        <v>#N/A</v>
      </c>
      <c r="U464" s="57" t="e">
        <f t="shared" ca="1" si="93"/>
        <v>#N/A</v>
      </c>
      <c r="V464" s="57" t="e">
        <f t="shared" ca="1" si="94"/>
        <v>#N/A</v>
      </c>
      <c r="W464" t="e">
        <f t="shared" ca="1" si="95"/>
        <v>#N/A</v>
      </c>
      <c r="X464" t="e">
        <f t="shared" ca="1" si="96"/>
        <v>#N/A</v>
      </c>
      <c r="Y464" t="e">
        <f t="shared" ca="1" si="97"/>
        <v>#N/A</v>
      </c>
      <c r="Z464" t="e">
        <f t="shared" ca="1" si="98"/>
        <v>#N/A</v>
      </c>
      <c r="AA464" s="85" t="e">
        <f ca="1"/>
        <v>#N/A</v>
      </c>
      <c r="AB464" s="57" t="e">
        <f t="shared" ca="1" si="99"/>
        <v>#N/A</v>
      </c>
      <c r="AC464" s="57" t="e">
        <f t="shared" ca="1" si="100"/>
        <v>#N/A</v>
      </c>
      <c r="AD464" s="57" t="e">
        <f t="shared" ca="1" si="101"/>
        <v>#N/A</v>
      </c>
      <c r="AE464" s="57" t="e">
        <f t="shared" ca="1" si="102"/>
        <v>#N/A</v>
      </c>
    </row>
    <row r="465" spans="18:31" x14ac:dyDescent="0.3">
      <c r="R465" s="57" t="e">
        <f ca="1"/>
        <v>#N/A</v>
      </c>
      <c r="S465" s="57" t="e">
        <f t="shared" ca="1" si="91"/>
        <v>#N/A</v>
      </c>
      <c r="T465" s="57" t="e">
        <f t="shared" ca="1" si="92"/>
        <v>#N/A</v>
      </c>
      <c r="U465" s="57" t="e">
        <f t="shared" ca="1" si="93"/>
        <v>#N/A</v>
      </c>
      <c r="V465" s="57" t="e">
        <f t="shared" ca="1" si="94"/>
        <v>#N/A</v>
      </c>
      <c r="W465" t="e">
        <f t="shared" ca="1" si="95"/>
        <v>#N/A</v>
      </c>
      <c r="X465" t="e">
        <f t="shared" ca="1" si="96"/>
        <v>#N/A</v>
      </c>
      <c r="Y465" t="e">
        <f t="shared" ca="1" si="97"/>
        <v>#N/A</v>
      </c>
      <c r="Z465" t="e">
        <f t="shared" ca="1" si="98"/>
        <v>#N/A</v>
      </c>
      <c r="AA465" s="85" t="e">
        <f ca="1"/>
        <v>#N/A</v>
      </c>
      <c r="AB465" s="57" t="e">
        <f t="shared" ca="1" si="99"/>
        <v>#N/A</v>
      </c>
      <c r="AC465" s="57" t="e">
        <f t="shared" ca="1" si="100"/>
        <v>#N/A</v>
      </c>
      <c r="AD465" s="57" t="e">
        <f t="shared" ca="1" si="101"/>
        <v>#N/A</v>
      </c>
      <c r="AE465" s="57" t="e">
        <f t="shared" ca="1" si="102"/>
        <v>#N/A</v>
      </c>
    </row>
    <row r="466" spans="18:31" x14ac:dyDescent="0.3">
      <c r="R466" s="57" t="e">
        <f ca="1"/>
        <v>#N/A</v>
      </c>
      <c r="S466" s="57" t="e">
        <f t="shared" ca="1" si="91"/>
        <v>#N/A</v>
      </c>
      <c r="T466" s="57" t="e">
        <f t="shared" ca="1" si="92"/>
        <v>#N/A</v>
      </c>
      <c r="U466" s="57" t="e">
        <f t="shared" ca="1" si="93"/>
        <v>#N/A</v>
      </c>
      <c r="V466" s="57" t="e">
        <f t="shared" ca="1" si="94"/>
        <v>#N/A</v>
      </c>
      <c r="W466" t="e">
        <f t="shared" ca="1" si="95"/>
        <v>#N/A</v>
      </c>
      <c r="X466" t="e">
        <f t="shared" ca="1" si="96"/>
        <v>#N/A</v>
      </c>
      <c r="Y466" t="e">
        <f t="shared" ca="1" si="97"/>
        <v>#N/A</v>
      </c>
      <c r="Z466" t="e">
        <f t="shared" ca="1" si="98"/>
        <v>#N/A</v>
      </c>
      <c r="AA466" s="85" t="e">
        <f ca="1"/>
        <v>#N/A</v>
      </c>
      <c r="AB466" s="57" t="e">
        <f t="shared" ca="1" si="99"/>
        <v>#N/A</v>
      </c>
      <c r="AC466" s="57" t="e">
        <f t="shared" ca="1" si="100"/>
        <v>#N/A</v>
      </c>
      <c r="AD466" s="57" t="e">
        <f t="shared" ca="1" si="101"/>
        <v>#N/A</v>
      </c>
      <c r="AE466" s="57" t="e">
        <f t="shared" ca="1" si="102"/>
        <v>#N/A</v>
      </c>
    </row>
    <row r="467" spans="18:31" x14ac:dyDescent="0.3">
      <c r="R467" s="57" t="e">
        <f ca="1"/>
        <v>#N/A</v>
      </c>
      <c r="S467" s="57" t="e">
        <f t="shared" ca="1" si="91"/>
        <v>#N/A</v>
      </c>
      <c r="T467" s="57" t="e">
        <f t="shared" ca="1" si="92"/>
        <v>#N/A</v>
      </c>
      <c r="U467" s="57" t="e">
        <f t="shared" ca="1" si="93"/>
        <v>#N/A</v>
      </c>
      <c r="V467" s="57" t="e">
        <f t="shared" ca="1" si="94"/>
        <v>#N/A</v>
      </c>
      <c r="W467" t="e">
        <f t="shared" ca="1" si="95"/>
        <v>#N/A</v>
      </c>
      <c r="X467" t="e">
        <f t="shared" ca="1" si="96"/>
        <v>#N/A</v>
      </c>
      <c r="Y467" t="e">
        <f t="shared" ca="1" si="97"/>
        <v>#N/A</v>
      </c>
      <c r="Z467" t="e">
        <f t="shared" ca="1" si="98"/>
        <v>#N/A</v>
      </c>
      <c r="AA467" s="85" t="e">
        <f ca="1"/>
        <v>#N/A</v>
      </c>
      <c r="AB467" s="57" t="e">
        <f t="shared" ca="1" si="99"/>
        <v>#N/A</v>
      </c>
      <c r="AC467" s="57" t="e">
        <f t="shared" ca="1" si="100"/>
        <v>#N/A</v>
      </c>
      <c r="AD467" s="57" t="e">
        <f t="shared" ca="1" si="101"/>
        <v>#N/A</v>
      </c>
      <c r="AE467" s="57" t="e">
        <f t="shared" ca="1" si="102"/>
        <v>#N/A</v>
      </c>
    </row>
    <row r="468" spans="18:31" x14ac:dyDescent="0.3">
      <c r="R468" s="57" t="e">
        <f ca="1"/>
        <v>#N/A</v>
      </c>
      <c r="S468" s="57" t="e">
        <f t="shared" ca="1" si="91"/>
        <v>#N/A</v>
      </c>
      <c r="T468" s="57" t="e">
        <f t="shared" ca="1" si="92"/>
        <v>#N/A</v>
      </c>
      <c r="U468" s="57" t="e">
        <f t="shared" ca="1" si="93"/>
        <v>#N/A</v>
      </c>
      <c r="V468" s="57" t="e">
        <f t="shared" ca="1" si="94"/>
        <v>#N/A</v>
      </c>
      <c r="W468" t="e">
        <f t="shared" ca="1" si="95"/>
        <v>#N/A</v>
      </c>
      <c r="X468" t="e">
        <f t="shared" ca="1" si="96"/>
        <v>#N/A</v>
      </c>
      <c r="Y468" t="e">
        <f t="shared" ca="1" si="97"/>
        <v>#N/A</v>
      </c>
      <c r="Z468" t="e">
        <f t="shared" ca="1" si="98"/>
        <v>#N/A</v>
      </c>
      <c r="AA468" s="85" t="e">
        <f ca="1"/>
        <v>#N/A</v>
      </c>
      <c r="AB468" s="57" t="e">
        <f t="shared" ca="1" si="99"/>
        <v>#N/A</v>
      </c>
      <c r="AC468" s="57" t="e">
        <f t="shared" ca="1" si="100"/>
        <v>#N/A</v>
      </c>
      <c r="AD468" s="57" t="e">
        <f t="shared" ca="1" si="101"/>
        <v>#N/A</v>
      </c>
      <c r="AE468" s="57" t="e">
        <f t="shared" ca="1" si="102"/>
        <v>#N/A</v>
      </c>
    </row>
    <row r="469" spans="18:31" x14ac:dyDescent="0.3">
      <c r="R469" s="57" t="e">
        <f ca="1"/>
        <v>#N/A</v>
      </c>
      <c r="S469" s="57" t="e">
        <f t="shared" ca="1" si="91"/>
        <v>#N/A</v>
      </c>
      <c r="T469" s="57" t="e">
        <f t="shared" ca="1" si="92"/>
        <v>#N/A</v>
      </c>
      <c r="U469" s="57" t="e">
        <f t="shared" ca="1" si="93"/>
        <v>#N/A</v>
      </c>
      <c r="V469" s="57" t="e">
        <f t="shared" ca="1" si="94"/>
        <v>#N/A</v>
      </c>
      <c r="W469" t="e">
        <f t="shared" ca="1" si="95"/>
        <v>#N/A</v>
      </c>
      <c r="X469" t="e">
        <f t="shared" ca="1" si="96"/>
        <v>#N/A</v>
      </c>
      <c r="Y469" t="e">
        <f t="shared" ca="1" si="97"/>
        <v>#N/A</v>
      </c>
      <c r="Z469" t="e">
        <f t="shared" ca="1" si="98"/>
        <v>#N/A</v>
      </c>
      <c r="AA469" s="85" t="e">
        <f ca="1"/>
        <v>#N/A</v>
      </c>
      <c r="AB469" s="57" t="e">
        <f t="shared" ca="1" si="99"/>
        <v>#N/A</v>
      </c>
      <c r="AC469" s="57" t="e">
        <f t="shared" ca="1" si="100"/>
        <v>#N/A</v>
      </c>
      <c r="AD469" s="57" t="e">
        <f t="shared" ca="1" si="101"/>
        <v>#N/A</v>
      </c>
      <c r="AE469" s="57" t="e">
        <f t="shared" ca="1" si="102"/>
        <v>#N/A</v>
      </c>
    </row>
    <row r="470" spans="18:31" x14ac:dyDescent="0.3">
      <c r="R470" s="57" t="e">
        <f ca="1"/>
        <v>#N/A</v>
      </c>
      <c r="S470" s="57" t="e">
        <f t="shared" ca="1" si="91"/>
        <v>#N/A</v>
      </c>
      <c r="T470" s="57" t="e">
        <f t="shared" ca="1" si="92"/>
        <v>#N/A</v>
      </c>
      <c r="U470" s="57" t="e">
        <f t="shared" ca="1" si="93"/>
        <v>#N/A</v>
      </c>
      <c r="V470" s="57" t="e">
        <f t="shared" ca="1" si="94"/>
        <v>#N/A</v>
      </c>
      <c r="W470" t="e">
        <f t="shared" ca="1" si="95"/>
        <v>#N/A</v>
      </c>
      <c r="X470" t="e">
        <f t="shared" ca="1" si="96"/>
        <v>#N/A</v>
      </c>
      <c r="Y470" t="e">
        <f t="shared" ca="1" si="97"/>
        <v>#N/A</v>
      </c>
      <c r="Z470" t="e">
        <f t="shared" ca="1" si="98"/>
        <v>#N/A</v>
      </c>
      <c r="AA470" s="85" t="e">
        <f ca="1"/>
        <v>#N/A</v>
      </c>
      <c r="AB470" s="57" t="e">
        <f t="shared" ca="1" si="99"/>
        <v>#N/A</v>
      </c>
      <c r="AC470" s="57" t="e">
        <f t="shared" ca="1" si="100"/>
        <v>#N/A</v>
      </c>
      <c r="AD470" s="57" t="e">
        <f t="shared" ca="1" si="101"/>
        <v>#N/A</v>
      </c>
      <c r="AE470" s="57" t="e">
        <f t="shared" ca="1" si="102"/>
        <v>#N/A</v>
      </c>
    </row>
    <row r="471" spans="18:31" x14ac:dyDescent="0.3">
      <c r="R471" s="57" t="e">
        <f ca="1"/>
        <v>#N/A</v>
      </c>
      <c r="S471" s="57" t="e">
        <f t="shared" ca="1" si="91"/>
        <v>#N/A</v>
      </c>
      <c r="T471" s="57" t="e">
        <f t="shared" ca="1" si="92"/>
        <v>#N/A</v>
      </c>
      <c r="U471" s="57" t="e">
        <f t="shared" ca="1" si="93"/>
        <v>#N/A</v>
      </c>
      <c r="V471" s="57" t="e">
        <f t="shared" ca="1" si="94"/>
        <v>#N/A</v>
      </c>
      <c r="W471" t="e">
        <f t="shared" ca="1" si="95"/>
        <v>#N/A</v>
      </c>
      <c r="X471" t="e">
        <f t="shared" ca="1" si="96"/>
        <v>#N/A</v>
      </c>
      <c r="Y471" t="e">
        <f t="shared" ca="1" si="97"/>
        <v>#N/A</v>
      </c>
      <c r="Z471" t="e">
        <f t="shared" ca="1" si="98"/>
        <v>#N/A</v>
      </c>
      <c r="AA471" s="85" t="e">
        <f ca="1"/>
        <v>#N/A</v>
      </c>
      <c r="AB471" s="57" t="e">
        <f t="shared" ca="1" si="99"/>
        <v>#N/A</v>
      </c>
      <c r="AC471" s="57" t="e">
        <f t="shared" ca="1" si="100"/>
        <v>#N/A</v>
      </c>
      <c r="AD471" s="57" t="e">
        <f t="shared" ca="1" si="101"/>
        <v>#N/A</v>
      </c>
      <c r="AE471" s="57" t="e">
        <f t="shared" ca="1" si="102"/>
        <v>#N/A</v>
      </c>
    </row>
    <row r="472" spans="18:31" x14ac:dyDescent="0.3">
      <c r="R472" s="57" t="e">
        <f ca="1"/>
        <v>#N/A</v>
      </c>
      <c r="S472" s="57" t="e">
        <f t="shared" ca="1" si="91"/>
        <v>#N/A</v>
      </c>
      <c r="T472" s="57" t="e">
        <f t="shared" ca="1" si="92"/>
        <v>#N/A</v>
      </c>
      <c r="U472" s="57" t="e">
        <f t="shared" ca="1" si="93"/>
        <v>#N/A</v>
      </c>
      <c r="V472" s="57" t="e">
        <f t="shared" ca="1" si="94"/>
        <v>#N/A</v>
      </c>
      <c r="W472" t="e">
        <f t="shared" ca="1" si="95"/>
        <v>#N/A</v>
      </c>
      <c r="X472" t="e">
        <f t="shared" ca="1" si="96"/>
        <v>#N/A</v>
      </c>
      <c r="Y472" t="e">
        <f t="shared" ca="1" si="97"/>
        <v>#N/A</v>
      </c>
      <c r="Z472" t="e">
        <f t="shared" ca="1" si="98"/>
        <v>#N/A</v>
      </c>
      <c r="AA472" s="85" t="e">
        <f ca="1"/>
        <v>#N/A</v>
      </c>
      <c r="AB472" s="57" t="e">
        <f t="shared" ca="1" si="99"/>
        <v>#N/A</v>
      </c>
      <c r="AC472" s="57" t="e">
        <f t="shared" ca="1" si="100"/>
        <v>#N/A</v>
      </c>
      <c r="AD472" s="57" t="e">
        <f t="shared" ca="1" si="101"/>
        <v>#N/A</v>
      </c>
      <c r="AE472" s="57" t="e">
        <f t="shared" ca="1" si="102"/>
        <v>#N/A</v>
      </c>
    </row>
    <row r="473" spans="18:31" x14ac:dyDescent="0.3">
      <c r="R473" s="57" t="e">
        <f ca="1"/>
        <v>#N/A</v>
      </c>
      <c r="S473" s="57" t="e">
        <f t="shared" ca="1" si="91"/>
        <v>#N/A</v>
      </c>
      <c r="T473" s="57" t="e">
        <f t="shared" ca="1" si="92"/>
        <v>#N/A</v>
      </c>
      <c r="U473" s="57" t="e">
        <f t="shared" ca="1" si="93"/>
        <v>#N/A</v>
      </c>
      <c r="V473" s="57" t="e">
        <f t="shared" ca="1" si="94"/>
        <v>#N/A</v>
      </c>
      <c r="W473" t="e">
        <f t="shared" ca="1" si="95"/>
        <v>#N/A</v>
      </c>
      <c r="X473" t="e">
        <f t="shared" ca="1" si="96"/>
        <v>#N/A</v>
      </c>
      <c r="Y473" t="e">
        <f t="shared" ca="1" si="97"/>
        <v>#N/A</v>
      </c>
      <c r="Z473" t="e">
        <f t="shared" ca="1" si="98"/>
        <v>#N/A</v>
      </c>
      <c r="AA473" s="85" t="e">
        <f ca="1"/>
        <v>#N/A</v>
      </c>
      <c r="AB473" s="57" t="e">
        <f t="shared" ca="1" si="99"/>
        <v>#N/A</v>
      </c>
      <c r="AC473" s="57" t="e">
        <f t="shared" ca="1" si="100"/>
        <v>#N/A</v>
      </c>
      <c r="AD473" s="57" t="e">
        <f t="shared" ca="1" si="101"/>
        <v>#N/A</v>
      </c>
      <c r="AE473" s="57" t="e">
        <f t="shared" ca="1" si="102"/>
        <v>#N/A</v>
      </c>
    </row>
    <row r="474" spans="18:31" x14ac:dyDescent="0.3">
      <c r="R474" s="57" t="e">
        <f ca="1"/>
        <v>#N/A</v>
      </c>
      <c r="S474" s="57" t="e">
        <f t="shared" ca="1" si="91"/>
        <v>#N/A</v>
      </c>
      <c r="T474" s="57" t="e">
        <f t="shared" ca="1" si="92"/>
        <v>#N/A</v>
      </c>
      <c r="U474" s="57" t="e">
        <f t="shared" ca="1" si="93"/>
        <v>#N/A</v>
      </c>
      <c r="V474" s="57" t="e">
        <f t="shared" ca="1" si="94"/>
        <v>#N/A</v>
      </c>
      <c r="W474" t="e">
        <f t="shared" ca="1" si="95"/>
        <v>#N/A</v>
      </c>
      <c r="X474" t="e">
        <f t="shared" ca="1" si="96"/>
        <v>#N/A</v>
      </c>
      <c r="Y474" t="e">
        <f t="shared" ca="1" si="97"/>
        <v>#N/A</v>
      </c>
      <c r="Z474" t="e">
        <f t="shared" ca="1" si="98"/>
        <v>#N/A</v>
      </c>
      <c r="AA474" s="85" t="e">
        <f ca="1"/>
        <v>#N/A</v>
      </c>
      <c r="AB474" s="57" t="e">
        <f t="shared" ca="1" si="99"/>
        <v>#N/A</v>
      </c>
      <c r="AC474" s="57" t="e">
        <f t="shared" ca="1" si="100"/>
        <v>#N/A</v>
      </c>
      <c r="AD474" s="57" t="e">
        <f t="shared" ca="1" si="101"/>
        <v>#N/A</v>
      </c>
      <c r="AE474" s="57" t="e">
        <f t="shared" ca="1" si="102"/>
        <v>#N/A</v>
      </c>
    </row>
    <row r="475" spans="18:31" x14ac:dyDescent="0.3">
      <c r="R475" s="57" t="e">
        <f ca="1"/>
        <v>#N/A</v>
      </c>
      <c r="S475" s="57" t="e">
        <f t="shared" ca="1" si="91"/>
        <v>#N/A</v>
      </c>
      <c r="T475" s="57" t="e">
        <f t="shared" ca="1" si="92"/>
        <v>#N/A</v>
      </c>
      <c r="U475" s="57" t="e">
        <f t="shared" ca="1" si="93"/>
        <v>#N/A</v>
      </c>
      <c r="V475" s="57" t="e">
        <f t="shared" ca="1" si="94"/>
        <v>#N/A</v>
      </c>
      <c r="W475" t="e">
        <f t="shared" ca="1" si="95"/>
        <v>#N/A</v>
      </c>
      <c r="X475" t="e">
        <f t="shared" ca="1" si="96"/>
        <v>#N/A</v>
      </c>
      <c r="Y475" t="e">
        <f t="shared" ca="1" si="97"/>
        <v>#N/A</v>
      </c>
      <c r="Z475" t="e">
        <f t="shared" ca="1" si="98"/>
        <v>#N/A</v>
      </c>
      <c r="AA475" s="85" t="e">
        <f ca="1"/>
        <v>#N/A</v>
      </c>
      <c r="AB475" s="57" t="e">
        <f t="shared" ca="1" si="99"/>
        <v>#N/A</v>
      </c>
      <c r="AC475" s="57" t="e">
        <f t="shared" ca="1" si="100"/>
        <v>#N/A</v>
      </c>
      <c r="AD475" s="57" t="e">
        <f t="shared" ca="1" si="101"/>
        <v>#N/A</v>
      </c>
      <c r="AE475" s="57" t="e">
        <f t="shared" ca="1" si="102"/>
        <v>#N/A</v>
      </c>
    </row>
    <row r="476" spans="18:31" x14ac:dyDescent="0.3">
      <c r="R476" s="57" t="e">
        <f ca="1"/>
        <v>#N/A</v>
      </c>
      <c r="S476" s="57" t="e">
        <f t="shared" ca="1" si="91"/>
        <v>#N/A</v>
      </c>
      <c r="T476" s="57" t="e">
        <f t="shared" ca="1" si="92"/>
        <v>#N/A</v>
      </c>
      <c r="U476" s="57" t="e">
        <f t="shared" ca="1" si="93"/>
        <v>#N/A</v>
      </c>
      <c r="V476" s="57" t="e">
        <f t="shared" ca="1" si="94"/>
        <v>#N/A</v>
      </c>
      <c r="W476" t="e">
        <f t="shared" ca="1" si="95"/>
        <v>#N/A</v>
      </c>
      <c r="X476" t="e">
        <f t="shared" ca="1" si="96"/>
        <v>#N/A</v>
      </c>
      <c r="Y476" t="e">
        <f t="shared" ca="1" si="97"/>
        <v>#N/A</v>
      </c>
      <c r="Z476" t="e">
        <f t="shared" ca="1" si="98"/>
        <v>#N/A</v>
      </c>
      <c r="AA476" s="85" t="e">
        <f ca="1"/>
        <v>#N/A</v>
      </c>
      <c r="AB476" s="57" t="e">
        <f t="shared" ca="1" si="99"/>
        <v>#N/A</v>
      </c>
      <c r="AC476" s="57" t="e">
        <f t="shared" ca="1" si="100"/>
        <v>#N/A</v>
      </c>
      <c r="AD476" s="57" t="e">
        <f t="shared" ca="1" si="101"/>
        <v>#N/A</v>
      </c>
      <c r="AE476" s="57" t="e">
        <f t="shared" ca="1" si="102"/>
        <v>#N/A</v>
      </c>
    </row>
    <row r="477" spans="18:31" x14ac:dyDescent="0.3">
      <c r="R477" s="57" t="e">
        <f ca="1"/>
        <v>#N/A</v>
      </c>
      <c r="S477" s="57" t="e">
        <f t="shared" ca="1" si="91"/>
        <v>#N/A</v>
      </c>
      <c r="T477" s="57" t="e">
        <f t="shared" ca="1" si="92"/>
        <v>#N/A</v>
      </c>
      <c r="U477" s="57" t="e">
        <f t="shared" ca="1" si="93"/>
        <v>#N/A</v>
      </c>
      <c r="V477" s="57" t="e">
        <f t="shared" ca="1" si="94"/>
        <v>#N/A</v>
      </c>
      <c r="W477" t="e">
        <f t="shared" ca="1" si="95"/>
        <v>#N/A</v>
      </c>
      <c r="X477" t="e">
        <f t="shared" ca="1" si="96"/>
        <v>#N/A</v>
      </c>
      <c r="Y477" t="e">
        <f t="shared" ca="1" si="97"/>
        <v>#N/A</v>
      </c>
      <c r="Z477" t="e">
        <f t="shared" ca="1" si="98"/>
        <v>#N/A</v>
      </c>
      <c r="AA477" s="85" t="e">
        <f ca="1"/>
        <v>#N/A</v>
      </c>
      <c r="AB477" s="57" t="e">
        <f t="shared" ca="1" si="99"/>
        <v>#N/A</v>
      </c>
      <c r="AC477" s="57" t="e">
        <f t="shared" ca="1" si="100"/>
        <v>#N/A</v>
      </c>
      <c r="AD477" s="57" t="e">
        <f t="shared" ca="1" si="101"/>
        <v>#N/A</v>
      </c>
      <c r="AE477" s="57" t="e">
        <f t="shared" ca="1" si="102"/>
        <v>#N/A</v>
      </c>
    </row>
    <row r="478" spans="18:31" x14ac:dyDescent="0.3">
      <c r="R478" s="57" t="e">
        <f ca="1"/>
        <v>#N/A</v>
      </c>
      <c r="S478" s="57" t="e">
        <f t="shared" ca="1" si="91"/>
        <v>#N/A</v>
      </c>
      <c r="T478" s="57" t="e">
        <f t="shared" ca="1" si="92"/>
        <v>#N/A</v>
      </c>
      <c r="U478" s="57" t="e">
        <f t="shared" ca="1" si="93"/>
        <v>#N/A</v>
      </c>
      <c r="V478" s="57" t="e">
        <f t="shared" ca="1" si="94"/>
        <v>#N/A</v>
      </c>
      <c r="W478" t="e">
        <f t="shared" ca="1" si="95"/>
        <v>#N/A</v>
      </c>
      <c r="X478" t="e">
        <f t="shared" ca="1" si="96"/>
        <v>#N/A</v>
      </c>
      <c r="Y478" t="e">
        <f t="shared" ca="1" si="97"/>
        <v>#N/A</v>
      </c>
      <c r="Z478" t="e">
        <f t="shared" ca="1" si="98"/>
        <v>#N/A</v>
      </c>
      <c r="AA478" s="85" t="e">
        <f ca="1"/>
        <v>#N/A</v>
      </c>
      <c r="AB478" s="57" t="e">
        <f t="shared" ca="1" si="99"/>
        <v>#N/A</v>
      </c>
      <c r="AC478" s="57" t="e">
        <f t="shared" ca="1" si="100"/>
        <v>#N/A</v>
      </c>
      <c r="AD478" s="57" t="e">
        <f t="shared" ca="1" si="101"/>
        <v>#N/A</v>
      </c>
      <c r="AE478" s="57" t="e">
        <f t="shared" ca="1" si="102"/>
        <v>#N/A</v>
      </c>
    </row>
    <row r="479" spans="18:31" x14ac:dyDescent="0.3">
      <c r="R479" s="57" t="e">
        <f ca="1"/>
        <v>#N/A</v>
      </c>
      <c r="S479" s="57" t="e">
        <f t="shared" ca="1" si="91"/>
        <v>#N/A</v>
      </c>
      <c r="T479" s="57" t="e">
        <f t="shared" ca="1" si="92"/>
        <v>#N/A</v>
      </c>
      <c r="U479" s="57" t="e">
        <f t="shared" ca="1" si="93"/>
        <v>#N/A</v>
      </c>
      <c r="V479" s="57" t="e">
        <f t="shared" ca="1" si="94"/>
        <v>#N/A</v>
      </c>
      <c r="W479" t="e">
        <f t="shared" ca="1" si="95"/>
        <v>#N/A</v>
      </c>
      <c r="X479" t="e">
        <f t="shared" ca="1" si="96"/>
        <v>#N/A</v>
      </c>
      <c r="Y479" t="e">
        <f t="shared" ca="1" si="97"/>
        <v>#N/A</v>
      </c>
      <c r="Z479" t="e">
        <f t="shared" ca="1" si="98"/>
        <v>#N/A</v>
      </c>
      <c r="AA479" s="85" t="e">
        <f ca="1"/>
        <v>#N/A</v>
      </c>
      <c r="AB479" s="57" t="e">
        <f t="shared" ca="1" si="99"/>
        <v>#N/A</v>
      </c>
      <c r="AC479" s="57" t="e">
        <f t="shared" ca="1" si="100"/>
        <v>#N/A</v>
      </c>
      <c r="AD479" s="57" t="e">
        <f t="shared" ca="1" si="101"/>
        <v>#N/A</v>
      </c>
      <c r="AE479" s="57" t="e">
        <f t="shared" ca="1" si="102"/>
        <v>#N/A</v>
      </c>
    </row>
    <row r="480" spans="18:31" x14ac:dyDescent="0.3">
      <c r="R480" s="57" t="e">
        <f ca="1"/>
        <v>#N/A</v>
      </c>
      <c r="S480" s="57" t="e">
        <f t="shared" ca="1" si="91"/>
        <v>#N/A</v>
      </c>
      <c r="T480" s="57" t="e">
        <f t="shared" ca="1" si="92"/>
        <v>#N/A</v>
      </c>
      <c r="U480" s="57" t="e">
        <f t="shared" ca="1" si="93"/>
        <v>#N/A</v>
      </c>
      <c r="V480" s="57" t="e">
        <f t="shared" ca="1" si="94"/>
        <v>#N/A</v>
      </c>
      <c r="W480" t="e">
        <f t="shared" ca="1" si="95"/>
        <v>#N/A</v>
      </c>
      <c r="X480" t="e">
        <f t="shared" ca="1" si="96"/>
        <v>#N/A</v>
      </c>
      <c r="Y480" t="e">
        <f t="shared" ca="1" si="97"/>
        <v>#N/A</v>
      </c>
      <c r="Z480" t="e">
        <f t="shared" ca="1" si="98"/>
        <v>#N/A</v>
      </c>
      <c r="AA480" s="85" t="e">
        <f ca="1"/>
        <v>#N/A</v>
      </c>
      <c r="AB480" s="57" t="e">
        <f t="shared" ca="1" si="99"/>
        <v>#N/A</v>
      </c>
      <c r="AC480" s="57" t="e">
        <f t="shared" ca="1" si="100"/>
        <v>#N/A</v>
      </c>
      <c r="AD480" s="57" t="e">
        <f t="shared" ca="1" si="101"/>
        <v>#N/A</v>
      </c>
      <c r="AE480" s="57" t="e">
        <f t="shared" ca="1" si="102"/>
        <v>#N/A</v>
      </c>
    </row>
    <row r="481" spans="18:31" x14ac:dyDescent="0.3">
      <c r="R481" s="57" t="e">
        <f ca="1"/>
        <v>#N/A</v>
      </c>
      <c r="S481" s="57" t="e">
        <f t="shared" ca="1" si="91"/>
        <v>#N/A</v>
      </c>
      <c r="T481" s="57" t="e">
        <f t="shared" ca="1" si="92"/>
        <v>#N/A</v>
      </c>
      <c r="U481" s="57" t="e">
        <f t="shared" ca="1" si="93"/>
        <v>#N/A</v>
      </c>
      <c r="V481" s="57" t="e">
        <f t="shared" ca="1" si="94"/>
        <v>#N/A</v>
      </c>
      <c r="W481" t="e">
        <f t="shared" ca="1" si="95"/>
        <v>#N/A</v>
      </c>
      <c r="X481" t="e">
        <f t="shared" ca="1" si="96"/>
        <v>#N/A</v>
      </c>
      <c r="Y481" t="e">
        <f t="shared" ca="1" si="97"/>
        <v>#N/A</v>
      </c>
      <c r="Z481" t="e">
        <f t="shared" ca="1" si="98"/>
        <v>#N/A</v>
      </c>
      <c r="AA481" s="85" t="e">
        <f ca="1"/>
        <v>#N/A</v>
      </c>
      <c r="AB481" s="57" t="e">
        <f t="shared" ca="1" si="99"/>
        <v>#N/A</v>
      </c>
      <c r="AC481" s="57" t="e">
        <f t="shared" ca="1" si="100"/>
        <v>#N/A</v>
      </c>
      <c r="AD481" s="57" t="e">
        <f t="shared" ca="1" si="101"/>
        <v>#N/A</v>
      </c>
      <c r="AE481" s="57" t="e">
        <f t="shared" ca="1" si="102"/>
        <v>#N/A</v>
      </c>
    </row>
    <row r="482" spans="18:31" x14ac:dyDescent="0.3">
      <c r="R482" s="57" t="e">
        <f ca="1"/>
        <v>#N/A</v>
      </c>
      <c r="S482" s="57" t="e">
        <f t="shared" ca="1" si="91"/>
        <v>#N/A</v>
      </c>
      <c r="T482" s="57" t="e">
        <f t="shared" ca="1" si="92"/>
        <v>#N/A</v>
      </c>
      <c r="U482" s="57" t="e">
        <f t="shared" ca="1" si="93"/>
        <v>#N/A</v>
      </c>
      <c r="V482" s="57" t="e">
        <f t="shared" ca="1" si="94"/>
        <v>#N/A</v>
      </c>
      <c r="W482" t="e">
        <f t="shared" ca="1" si="95"/>
        <v>#N/A</v>
      </c>
      <c r="X482" t="e">
        <f t="shared" ca="1" si="96"/>
        <v>#N/A</v>
      </c>
      <c r="Y482" t="e">
        <f t="shared" ca="1" si="97"/>
        <v>#N/A</v>
      </c>
      <c r="Z482" t="e">
        <f t="shared" ca="1" si="98"/>
        <v>#N/A</v>
      </c>
      <c r="AA482" s="85" t="e">
        <f ca="1"/>
        <v>#N/A</v>
      </c>
      <c r="AB482" s="57" t="e">
        <f t="shared" ca="1" si="99"/>
        <v>#N/A</v>
      </c>
      <c r="AC482" s="57" t="e">
        <f t="shared" ca="1" si="100"/>
        <v>#N/A</v>
      </c>
      <c r="AD482" s="57" t="e">
        <f t="shared" ca="1" si="101"/>
        <v>#N/A</v>
      </c>
      <c r="AE482" s="57" t="e">
        <f t="shared" ca="1" si="102"/>
        <v>#N/A</v>
      </c>
    </row>
    <row r="483" spans="18:31" x14ac:dyDescent="0.3">
      <c r="R483" s="57" t="e">
        <f ca="1"/>
        <v>#N/A</v>
      </c>
      <c r="S483" s="57" t="e">
        <f t="shared" ca="1" si="91"/>
        <v>#N/A</v>
      </c>
      <c r="T483" s="57" t="e">
        <f t="shared" ca="1" si="92"/>
        <v>#N/A</v>
      </c>
      <c r="U483" s="57" t="e">
        <f t="shared" ca="1" si="93"/>
        <v>#N/A</v>
      </c>
      <c r="V483" s="57" t="e">
        <f t="shared" ca="1" si="94"/>
        <v>#N/A</v>
      </c>
      <c r="W483" t="e">
        <f t="shared" ca="1" si="95"/>
        <v>#N/A</v>
      </c>
      <c r="X483" t="e">
        <f t="shared" ca="1" si="96"/>
        <v>#N/A</v>
      </c>
      <c r="Y483" t="e">
        <f t="shared" ca="1" si="97"/>
        <v>#N/A</v>
      </c>
      <c r="Z483" t="e">
        <f t="shared" ca="1" si="98"/>
        <v>#N/A</v>
      </c>
      <c r="AA483" s="85" t="e">
        <f ca="1"/>
        <v>#N/A</v>
      </c>
      <c r="AB483" s="57" t="e">
        <f t="shared" ca="1" si="99"/>
        <v>#N/A</v>
      </c>
      <c r="AC483" s="57" t="e">
        <f t="shared" ca="1" si="100"/>
        <v>#N/A</v>
      </c>
      <c r="AD483" s="57" t="e">
        <f t="shared" ca="1" si="101"/>
        <v>#N/A</v>
      </c>
      <c r="AE483" s="57" t="e">
        <f t="shared" ca="1" si="102"/>
        <v>#N/A</v>
      </c>
    </row>
    <row r="484" spans="18:31" x14ac:dyDescent="0.3">
      <c r="R484" s="57" t="e">
        <f ca="1"/>
        <v>#N/A</v>
      </c>
      <c r="S484" s="57" t="e">
        <f t="shared" ca="1" si="91"/>
        <v>#N/A</v>
      </c>
      <c r="T484" s="57" t="e">
        <f t="shared" ca="1" si="92"/>
        <v>#N/A</v>
      </c>
      <c r="U484" s="57" t="e">
        <f t="shared" ca="1" si="93"/>
        <v>#N/A</v>
      </c>
      <c r="V484" s="57" t="e">
        <f t="shared" ca="1" si="94"/>
        <v>#N/A</v>
      </c>
      <c r="W484" t="e">
        <f t="shared" ca="1" si="95"/>
        <v>#N/A</v>
      </c>
      <c r="X484" t="e">
        <f t="shared" ca="1" si="96"/>
        <v>#N/A</v>
      </c>
      <c r="Y484" t="e">
        <f t="shared" ca="1" si="97"/>
        <v>#N/A</v>
      </c>
      <c r="Z484" t="e">
        <f t="shared" ca="1" si="98"/>
        <v>#N/A</v>
      </c>
      <c r="AA484" s="85" t="e">
        <f ca="1"/>
        <v>#N/A</v>
      </c>
      <c r="AB484" s="57" t="e">
        <f t="shared" ca="1" si="99"/>
        <v>#N/A</v>
      </c>
      <c r="AC484" s="57" t="e">
        <f t="shared" ca="1" si="100"/>
        <v>#N/A</v>
      </c>
      <c r="AD484" s="57" t="e">
        <f t="shared" ca="1" si="101"/>
        <v>#N/A</v>
      </c>
      <c r="AE484" s="57" t="e">
        <f t="shared" ca="1" si="102"/>
        <v>#N/A</v>
      </c>
    </row>
    <row r="485" spans="18:31" x14ac:dyDescent="0.3">
      <c r="R485" s="57" t="e">
        <f ca="1"/>
        <v>#N/A</v>
      </c>
      <c r="S485" s="57" t="e">
        <f t="shared" ca="1" si="91"/>
        <v>#N/A</v>
      </c>
      <c r="T485" s="57" t="e">
        <f t="shared" ca="1" si="92"/>
        <v>#N/A</v>
      </c>
      <c r="U485" s="57" t="e">
        <f t="shared" ca="1" si="93"/>
        <v>#N/A</v>
      </c>
      <c r="V485" s="57" t="e">
        <f t="shared" ca="1" si="94"/>
        <v>#N/A</v>
      </c>
      <c r="W485" t="e">
        <f t="shared" ca="1" si="95"/>
        <v>#N/A</v>
      </c>
      <c r="X485" t="e">
        <f t="shared" ca="1" si="96"/>
        <v>#N/A</v>
      </c>
      <c r="Y485" t="e">
        <f t="shared" ca="1" si="97"/>
        <v>#N/A</v>
      </c>
      <c r="Z485" t="e">
        <f t="shared" ca="1" si="98"/>
        <v>#N/A</v>
      </c>
      <c r="AA485" s="85" t="e">
        <f ca="1"/>
        <v>#N/A</v>
      </c>
      <c r="AB485" s="57" t="e">
        <f t="shared" ca="1" si="99"/>
        <v>#N/A</v>
      </c>
      <c r="AC485" s="57" t="e">
        <f t="shared" ca="1" si="100"/>
        <v>#N/A</v>
      </c>
      <c r="AD485" s="57" t="e">
        <f t="shared" ca="1" si="101"/>
        <v>#N/A</v>
      </c>
      <c r="AE485" s="57" t="e">
        <f t="shared" ca="1" si="102"/>
        <v>#N/A</v>
      </c>
    </row>
    <row r="486" spans="18:31" x14ac:dyDescent="0.3">
      <c r="R486" s="57" t="e">
        <f ca="1"/>
        <v>#N/A</v>
      </c>
      <c r="S486" s="57" t="e">
        <f t="shared" ca="1" si="91"/>
        <v>#N/A</v>
      </c>
      <c r="T486" s="57" t="e">
        <f t="shared" ca="1" si="92"/>
        <v>#N/A</v>
      </c>
      <c r="U486" s="57" t="e">
        <f t="shared" ca="1" si="93"/>
        <v>#N/A</v>
      </c>
      <c r="V486" s="57" t="e">
        <f t="shared" ca="1" si="94"/>
        <v>#N/A</v>
      </c>
      <c r="W486" t="e">
        <f t="shared" ca="1" si="95"/>
        <v>#N/A</v>
      </c>
      <c r="X486" t="e">
        <f t="shared" ca="1" si="96"/>
        <v>#N/A</v>
      </c>
      <c r="Y486" t="e">
        <f t="shared" ca="1" si="97"/>
        <v>#N/A</v>
      </c>
      <c r="Z486" t="e">
        <f t="shared" ca="1" si="98"/>
        <v>#N/A</v>
      </c>
      <c r="AA486" s="85" t="e">
        <f ca="1"/>
        <v>#N/A</v>
      </c>
      <c r="AB486" s="57" t="e">
        <f t="shared" ca="1" si="99"/>
        <v>#N/A</v>
      </c>
      <c r="AC486" s="57" t="e">
        <f t="shared" ca="1" si="100"/>
        <v>#N/A</v>
      </c>
      <c r="AD486" s="57" t="e">
        <f t="shared" ca="1" si="101"/>
        <v>#N/A</v>
      </c>
      <c r="AE486" s="57" t="e">
        <f t="shared" ca="1" si="102"/>
        <v>#N/A</v>
      </c>
    </row>
    <row r="487" spans="18:31" x14ac:dyDescent="0.3">
      <c r="R487" s="57" t="e">
        <f ca="1"/>
        <v>#N/A</v>
      </c>
      <c r="S487" s="57" t="e">
        <f t="shared" ca="1" si="91"/>
        <v>#N/A</v>
      </c>
      <c r="T487" s="57" t="e">
        <f t="shared" ca="1" si="92"/>
        <v>#N/A</v>
      </c>
      <c r="U487" s="57" t="e">
        <f t="shared" ca="1" si="93"/>
        <v>#N/A</v>
      </c>
      <c r="V487" s="57" t="e">
        <f t="shared" ca="1" si="94"/>
        <v>#N/A</v>
      </c>
      <c r="W487" t="e">
        <f t="shared" ca="1" si="95"/>
        <v>#N/A</v>
      </c>
      <c r="X487" t="e">
        <f t="shared" ca="1" si="96"/>
        <v>#N/A</v>
      </c>
      <c r="Y487" t="e">
        <f t="shared" ca="1" si="97"/>
        <v>#N/A</v>
      </c>
      <c r="Z487" t="e">
        <f t="shared" ca="1" si="98"/>
        <v>#N/A</v>
      </c>
      <c r="AA487" s="85" t="e">
        <f ca="1"/>
        <v>#N/A</v>
      </c>
      <c r="AB487" s="57" t="e">
        <f t="shared" ca="1" si="99"/>
        <v>#N/A</v>
      </c>
      <c r="AC487" s="57" t="e">
        <f t="shared" ca="1" si="100"/>
        <v>#N/A</v>
      </c>
      <c r="AD487" s="57" t="e">
        <f t="shared" ca="1" si="101"/>
        <v>#N/A</v>
      </c>
      <c r="AE487" s="57" t="e">
        <f t="shared" ca="1" si="102"/>
        <v>#N/A</v>
      </c>
    </row>
    <row r="488" spans="18:31" x14ac:dyDescent="0.3">
      <c r="R488" s="57" t="e">
        <f ca="1"/>
        <v>#N/A</v>
      </c>
      <c r="S488" s="57" t="e">
        <f t="shared" ca="1" si="91"/>
        <v>#N/A</v>
      </c>
      <c r="T488" s="57" t="e">
        <f t="shared" ca="1" si="92"/>
        <v>#N/A</v>
      </c>
      <c r="U488" s="57" t="e">
        <f t="shared" ca="1" si="93"/>
        <v>#N/A</v>
      </c>
      <c r="V488" s="57" t="e">
        <f t="shared" ca="1" si="94"/>
        <v>#N/A</v>
      </c>
      <c r="W488" t="e">
        <f t="shared" ca="1" si="95"/>
        <v>#N/A</v>
      </c>
      <c r="X488" t="e">
        <f t="shared" ca="1" si="96"/>
        <v>#N/A</v>
      </c>
      <c r="Y488" t="e">
        <f t="shared" ca="1" si="97"/>
        <v>#N/A</v>
      </c>
      <c r="Z488" t="e">
        <f t="shared" ca="1" si="98"/>
        <v>#N/A</v>
      </c>
      <c r="AA488" s="85" t="e">
        <f ca="1"/>
        <v>#N/A</v>
      </c>
      <c r="AB488" s="57" t="e">
        <f t="shared" ca="1" si="99"/>
        <v>#N/A</v>
      </c>
      <c r="AC488" s="57" t="e">
        <f t="shared" ca="1" si="100"/>
        <v>#N/A</v>
      </c>
      <c r="AD488" s="57" t="e">
        <f t="shared" ca="1" si="101"/>
        <v>#N/A</v>
      </c>
      <c r="AE488" s="57" t="e">
        <f t="shared" ca="1" si="102"/>
        <v>#N/A</v>
      </c>
    </row>
    <row r="489" spans="18:31" x14ac:dyDescent="0.3">
      <c r="R489" s="57" t="e">
        <f ca="1"/>
        <v>#N/A</v>
      </c>
      <c r="S489" s="57" t="e">
        <f t="shared" ca="1" si="91"/>
        <v>#N/A</v>
      </c>
      <c r="T489" s="57" t="e">
        <f t="shared" ca="1" si="92"/>
        <v>#N/A</v>
      </c>
      <c r="U489" s="57" t="e">
        <f t="shared" ca="1" si="93"/>
        <v>#N/A</v>
      </c>
      <c r="V489" s="57" t="e">
        <f t="shared" ca="1" si="94"/>
        <v>#N/A</v>
      </c>
      <c r="W489" t="e">
        <f t="shared" ca="1" si="95"/>
        <v>#N/A</v>
      </c>
      <c r="X489" t="e">
        <f t="shared" ca="1" si="96"/>
        <v>#N/A</v>
      </c>
      <c r="Y489" t="e">
        <f t="shared" ca="1" si="97"/>
        <v>#N/A</v>
      </c>
      <c r="Z489" t="e">
        <f t="shared" ca="1" si="98"/>
        <v>#N/A</v>
      </c>
      <c r="AA489" s="85" t="e">
        <f ca="1"/>
        <v>#N/A</v>
      </c>
      <c r="AB489" s="57" t="e">
        <f t="shared" ca="1" si="99"/>
        <v>#N/A</v>
      </c>
      <c r="AC489" s="57" t="e">
        <f t="shared" ca="1" si="100"/>
        <v>#N/A</v>
      </c>
      <c r="AD489" s="57" t="e">
        <f t="shared" ca="1" si="101"/>
        <v>#N/A</v>
      </c>
      <c r="AE489" s="57" t="e">
        <f t="shared" ca="1" si="102"/>
        <v>#N/A</v>
      </c>
    </row>
    <row r="490" spans="18:31" x14ac:dyDescent="0.3">
      <c r="R490" s="57" t="e">
        <f ca="1"/>
        <v>#N/A</v>
      </c>
      <c r="S490" s="57" t="e">
        <f t="shared" ca="1" si="91"/>
        <v>#N/A</v>
      </c>
      <c r="T490" s="57" t="e">
        <f t="shared" ca="1" si="92"/>
        <v>#N/A</v>
      </c>
      <c r="U490" s="57" t="e">
        <f t="shared" ca="1" si="93"/>
        <v>#N/A</v>
      </c>
      <c r="V490" s="57" t="e">
        <f t="shared" ca="1" si="94"/>
        <v>#N/A</v>
      </c>
      <c r="W490" t="e">
        <f t="shared" ca="1" si="95"/>
        <v>#N/A</v>
      </c>
      <c r="X490" t="e">
        <f t="shared" ca="1" si="96"/>
        <v>#N/A</v>
      </c>
      <c r="Y490" t="e">
        <f t="shared" ca="1" si="97"/>
        <v>#N/A</v>
      </c>
      <c r="Z490" t="e">
        <f t="shared" ca="1" si="98"/>
        <v>#N/A</v>
      </c>
      <c r="AA490" s="85" t="e">
        <f ca="1"/>
        <v>#N/A</v>
      </c>
      <c r="AB490" s="57" t="e">
        <f t="shared" ca="1" si="99"/>
        <v>#N/A</v>
      </c>
      <c r="AC490" s="57" t="e">
        <f t="shared" ca="1" si="100"/>
        <v>#N/A</v>
      </c>
      <c r="AD490" s="57" t="e">
        <f t="shared" ca="1" si="101"/>
        <v>#N/A</v>
      </c>
      <c r="AE490" s="57" t="e">
        <f t="shared" ca="1" si="102"/>
        <v>#N/A</v>
      </c>
    </row>
    <row r="491" spans="18:31" x14ac:dyDescent="0.3">
      <c r="R491" s="57" t="e">
        <f ca="1"/>
        <v>#N/A</v>
      </c>
      <c r="S491" s="57" t="e">
        <f t="shared" ca="1" si="91"/>
        <v>#N/A</v>
      </c>
      <c r="T491" s="57" t="e">
        <f t="shared" ca="1" si="92"/>
        <v>#N/A</v>
      </c>
      <c r="U491" s="57" t="e">
        <f t="shared" ca="1" si="93"/>
        <v>#N/A</v>
      </c>
      <c r="V491" s="57" t="e">
        <f t="shared" ca="1" si="94"/>
        <v>#N/A</v>
      </c>
      <c r="W491" t="e">
        <f t="shared" ca="1" si="95"/>
        <v>#N/A</v>
      </c>
      <c r="X491" t="e">
        <f t="shared" ca="1" si="96"/>
        <v>#N/A</v>
      </c>
      <c r="Y491" t="e">
        <f t="shared" ca="1" si="97"/>
        <v>#N/A</v>
      </c>
      <c r="Z491" t="e">
        <f t="shared" ca="1" si="98"/>
        <v>#N/A</v>
      </c>
      <c r="AA491" s="85" t="e">
        <f ca="1"/>
        <v>#N/A</v>
      </c>
      <c r="AB491" s="57" t="e">
        <f t="shared" ca="1" si="99"/>
        <v>#N/A</v>
      </c>
      <c r="AC491" s="57" t="e">
        <f t="shared" ca="1" si="100"/>
        <v>#N/A</v>
      </c>
      <c r="AD491" s="57" t="e">
        <f t="shared" ca="1" si="101"/>
        <v>#N/A</v>
      </c>
      <c r="AE491" s="57" t="e">
        <f t="shared" ca="1" si="102"/>
        <v>#N/A</v>
      </c>
    </row>
    <row r="492" spans="18:31" x14ac:dyDescent="0.3">
      <c r="R492" s="57" t="e">
        <f ca="1"/>
        <v>#N/A</v>
      </c>
      <c r="S492" s="57" t="e">
        <f t="shared" ca="1" si="91"/>
        <v>#N/A</v>
      </c>
      <c r="T492" s="57" t="e">
        <f t="shared" ca="1" si="92"/>
        <v>#N/A</v>
      </c>
      <c r="U492" s="57" t="e">
        <f t="shared" ca="1" si="93"/>
        <v>#N/A</v>
      </c>
      <c r="V492" s="57" t="e">
        <f t="shared" ca="1" si="94"/>
        <v>#N/A</v>
      </c>
      <c r="W492" t="e">
        <f t="shared" ca="1" si="95"/>
        <v>#N/A</v>
      </c>
      <c r="X492" t="e">
        <f t="shared" ca="1" si="96"/>
        <v>#N/A</v>
      </c>
      <c r="Y492" t="e">
        <f t="shared" ca="1" si="97"/>
        <v>#N/A</v>
      </c>
      <c r="Z492" t="e">
        <f t="shared" ca="1" si="98"/>
        <v>#N/A</v>
      </c>
      <c r="AA492" s="85" t="e">
        <f ca="1"/>
        <v>#N/A</v>
      </c>
      <c r="AB492" s="57" t="e">
        <f t="shared" ca="1" si="99"/>
        <v>#N/A</v>
      </c>
      <c r="AC492" s="57" t="e">
        <f t="shared" ca="1" si="100"/>
        <v>#N/A</v>
      </c>
      <c r="AD492" s="57" t="e">
        <f t="shared" ca="1" si="101"/>
        <v>#N/A</v>
      </c>
      <c r="AE492" s="57" t="e">
        <f t="shared" ca="1" si="102"/>
        <v>#N/A</v>
      </c>
    </row>
    <row r="493" spans="18:31" x14ac:dyDescent="0.3">
      <c r="R493" s="57" t="e">
        <f ca="1"/>
        <v>#N/A</v>
      </c>
      <c r="S493" s="57" t="e">
        <f t="shared" ca="1" si="91"/>
        <v>#N/A</v>
      </c>
      <c r="T493" s="57" t="e">
        <f t="shared" ca="1" si="92"/>
        <v>#N/A</v>
      </c>
      <c r="U493" s="57" t="e">
        <f t="shared" ca="1" si="93"/>
        <v>#N/A</v>
      </c>
      <c r="V493" s="57" t="e">
        <f t="shared" ca="1" si="94"/>
        <v>#N/A</v>
      </c>
      <c r="W493" t="e">
        <f t="shared" ca="1" si="95"/>
        <v>#N/A</v>
      </c>
      <c r="X493" t="e">
        <f t="shared" ca="1" si="96"/>
        <v>#N/A</v>
      </c>
      <c r="Y493" t="e">
        <f t="shared" ca="1" si="97"/>
        <v>#N/A</v>
      </c>
      <c r="Z493" t="e">
        <f t="shared" ca="1" si="98"/>
        <v>#N/A</v>
      </c>
      <c r="AA493" s="85" t="e">
        <f ca="1"/>
        <v>#N/A</v>
      </c>
      <c r="AB493" s="57" t="e">
        <f t="shared" ca="1" si="99"/>
        <v>#N/A</v>
      </c>
      <c r="AC493" s="57" t="e">
        <f t="shared" ca="1" si="100"/>
        <v>#N/A</v>
      </c>
      <c r="AD493" s="57" t="e">
        <f t="shared" ca="1" si="101"/>
        <v>#N/A</v>
      </c>
      <c r="AE493" s="57" t="e">
        <f t="shared" ca="1" si="102"/>
        <v>#N/A</v>
      </c>
    </row>
    <row r="494" spans="18:31" x14ac:dyDescent="0.3">
      <c r="R494" s="57" t="e">
        <f ca="1"/>
        <v>#N/A</v>
      </c>
      <c r="S494" s="57" t="e">
        <f t="shared" ca="1" si="91"/>
        <v>#N/A</v>
      </c>
      <c r="T494" s="57" t="e">
        <f t="shared" ca="1" si="92"/>
        <v>#N/A</v>
      </c>
      <c r="U494" s="57" t="e">
        <f t="shared" ca="1" si="93"/>
        <v>#N/A</v>
      </c>
      <c r="V494" s="57" t="e">
        <f t="shared" ca="1" si="94"/>
        <v>#N/A</v>
      </c>
      <c r="W494" t="e">
        <f t="shared" ca="1" si="95"/>
        <v>#N/A</v>
      </c>
      <c r="X494" t="e">
        <f t="shared" ca="1" si="96"/>
        <v>#N/A</v>
      </c>
      <c r="Y494" t="e">
        <f t="shared" ca="1" si="97"/>
        <v>#N/A</v>
      </c>
      <c r="Z494" t="e">
        <f t="shared" ca="1" si="98"/>
        <v>#N/A</v>
      </c>
      <c r="AA494" s="85" t="e">
        <f ca="1"/>
        <v>#N/A</v>
      </c>
      <c r="AB494" s="57" t="e">
        <f t="shared" ca="1" si="99"/>
        <v>#N/A</v>
      </c>
      <c r="AC494" s="57" t="e">
        <f t="shared" ca="1" si="100"/>
        <v>#N/A</v>
      </c>
      <c r="AD494" s="57" t="e">
        <f t="shared" ca="1" si="101"/>
        <v>#N/A</v>
      </c>
      <c r="AE494" s="57" t="e">
        <f t="shared" ca="1" si="102"/>
        <v>#N/A</v>
      </c>
    </row>
    <row r="495" spans="18:31" x14ac:dyDescent="0.3">
      <c r="R495" s="57" t="e">
        <f ca="1"/>
        <v>#N/A</v>
      </c>
      <c r="S495" s="57" t="e">
        <f t="shared" ca="1" si="91"/>
        <v>#N/A</v>
      </c>
      <c r="T495" s="57" t="e">
        <f t="shared" ca="1" si="92"/>
        <v>#N/A</v>
      </c>
      <c r="U495" s="57" t="e">
        <f t="shared" ca="1" si="93"/>
        <v>#N/A</v>
      </c>
      <c r="V495" s="57" t="e">
        <f t="shared" ca="1" si="94"/>
        <v>#N/A</v>
      </c>
      <c r="W495" t="e">
        <f t="shared" ca="1" si="95"/>
        <v>#N/A</v>
      </c>
      <c r="X495" t="e">
        <f t="shared" ca="1" si="96"/>
        <v>#N/A</v>
      </c>
      <c r="Y495" t="e">
        <f t="shared" ca="1" si="97"/>
        <v>#N/A</v>
      </c>
      <c r="Z495" t="e">
        <f t="shared" ca="1" si="98"/>
        <v>#N/A</v>
      </c>
      <c r="AA495" s="85" t="e">
        <f ca="1"/>
        <v>#N/A</v>
      </c>
      <c r="AB495" s="57" t="e">
        <f t="shared" ca="1" si="99"/>
        <v>#N/A</v>
      </c>
      <c r="AC495" s="57" t="e">
        <f t="shared" ca="1" si="100"/>
        <v>#N/A</v>
      </c>
      <c r="AD495" s="57" t="e">
        <f t="shared" ca="1" si="101"/>
        <v>#N/A</v>
      </c>
      <c r="AE495" s="57" t="e">
        <f t="shared" ca="1" si="102"/>
        <v>#N/A</v>
      </c>
    </row>
    <row r="496" spans="18:31" x14ac:dyDescent="0.3">
      <c r="R496" s="57" t="e">
        <f ca="1"/>
        <v>#N/A</v>
      </c>
      <c r="S496" s="57" t="e">
        <f t="shared" ca="1" si="91"/>
        <v>#N/A</v>
      </c>
      <c r="T496" s="57" t="e">
        <f t="shared" ca="1" si="92"/>
        <v>#N/A</v>
      </c>
      <c r="U496" s="57" t="e">
        <f t="shared" ca="1" si="93"/>
        <v>#N/A</v>
      </c>
      <c r="V496" s="57" t="e">
        <f t="shared" ca="1" si="94"/>
        <v>#N/A</v>
      </c>
      <c r="W496" t="e">
        <f t="shared" ca="1" si="95"/>
        <v>#N/A</v>
      </c>
      <c r="X496" t="e">
        <f t="shared" ca="1" si="96"/>
        <v>#N/A</v>
      </c>
      <c r="Y496" t="e">
        <f t="shared" ca="1" si="97"/>
        <v>#N/A</v>
      </c>
      <c r="Z496" t="e">
        <f t="shared" ca="1" si="98"/>
        <v>#N/A</v>
      </c>
      <c r="AA496" s="85" t="e">
        <f ca="1"/>
        <v>#N/A</v>
      </c>
      <c r="AB496" s="57" t="e">
        <f t="shared" ca="1" si="99"/>
        <v>#N/A</v>
      </c>
      <c r="AC496" s="57" t="e">
        <f t="shared" ca="1" si="100"/>
        <v>#N/A</v>
      </c>
      <c r="AD496" s="57" t="e">
        <f t="shared" ca="1" si="101"/>
        <v>#N/A</v>
      </c>
      <c r="AE496" s="57" t="e">
        <f t="shared" ca="1" si="102"/>
        <v>#N/A</v>
      </c>
    </row>
    <row r="497" spans="18:31" x14ac:dyDescent="0.3">
      <c r="R497" s="57" t="e">
        <f ca="1"/>
        <v>#N/A</v>
      </c>
      <c r="S497" s="57" t="e">
        <f t="shared" ca="1" si="91"/>
        <v>#N/A</v>
      </c>
      <c r="T497" s="57" t="e">
        <f t="shared" ca="1" si="92"/>
        <v>#N/A</v>
      </c>
      <c r="U497" s="57" t="e">
        <f t="shared" ca="1" si="93"/>
        <v>#N/A</v>
      </c>
      <c r="V497" s="57" t="e">
        <f t="shared" ca="1" si="94"/>
        <v>#N/A</v>
      </c>
      <c r="W497" t="e">
        <f t="shared" ca="1" si="95"/>
        <v>#N/A</v>
      </c>
      <c r="X497" t="e">
        <f t="shared" ca="1" si="96"/>
        <v>#N/A</v>
      </c>
      <c r="Y497" t="e">
        <f t="shared" ca="1" si="97"/>
        <v>#N/A</v>
      </c>
      <c r="Z497" t="e">
        <f t="shared" ca="1" si="98"/>
        <v>#N/A</v>
      </c>
      <c r="AA497" s="85" t="e">
        <f ca="1"/>
        <v>#N/A</v>
      </c>
      <c r="AB497" s="57" t="e">
        <f t="shared" ca="1" si="99"/>
        <v>#N/A</v>
      </c>
      <c r="AC497" s="57" t="e">
        <f t="shared" ca="1" si="100"/>
        <v>#N/A</v>
      </c>
      <c r="AD497" s="57" t="e">
        <f t="shared" ca="1" si="101"/>
        <v>#N/A</v>
      </c>
      <c r="AE497" s="57" t="e">
        <f t="shared" ca="1" si="102"/>
        <v>#N/A</v>
      </c>
    </row>
    <row r="498" spans="18:31" x14ac:dyDescent="0.3">
      <c r="R498" s="57" t="e">
        <f ca="1"/>
        <v>#N/A</v>
      </c>
      <c r="S498" s="57" t="e">
        <f t="shared" ca="1" si="91"/>
        <v>#N/A</v>
      </c>
      <c r="T498" s="57" t="e">
        <f t="shared" ca="1" si="92"/>
        <v>#N/A</v>
      </c>
      <c r="U498" s="57" t="e">
        <f t="shared" ca="1" si="93"/>
        <v>#N/A</v>
      </c>
      <c r="V498" s="57" t="e">
        <f t="shared" ca="1" si="94"/>
        <v>#N/A</v>
      </c>
      <c r="W498" t="e">
        <f t="shared" ca="1" si="95"/>
        <v>#N/A</v>
      </c>
      <c r="X498" t="e">
        <f t="shared" ca="1" si="96"/>
        <v>#N/A</v>
      </c>
      <c r="Y498" t="e">
        <f t="shared" ca="1" si="97"/>
        <v>#N/A</v>
      </c>
      <c r="Z498" t="e">
        <f t="shared" ca="1" si="98"/>
        <v>#N/A</v>
      </c>
      <c r="AA498" s="85" t="e">
        <f ca="1"/>
        <v>#N/A</v>
      </c>
      <c r="AB498" s="57" t="e">
        <f t="shared" ca="1" si="99"/>
        <v>#N/A</v>
      </c>
      <c r="AC498" s="57" t="e">
        <f t="shared" ca="1" si="100"/>
        <v>#N/A</v>
      </c>
      <c r="AD498" s="57" t="e">
        <f t="shared" ca="1" si="101"/>
        <v>#N/A</v>
      </c>
      <c r="AE498" s="57" t="e">
        <f t="shared" ca="1" si="102"/>
        <v>#N/A</v>
      </c>
    </row>
    <row r="499" spans="18:31" x14ac:dyDescent="0.3">
      <c r="R499" s="57" t="e">
        <f ca="1"/>
        <v>#N/A</v>
      </c>
      <c r="S499" s="57" t="e">
        <f t="shared" ca="1" si="91"/>
        <v>#N/A</v>
      </c>
      <c r="T499" s="57" t="e">
        <f t="shared" ca="1" si="92"/>
        <v>#N/A</v>
      </c>
      <c r="U499" s="57" t="e">
        <f t="shared" ca="1" si="93"/>
        <v>#N/A</v>
      </c>
      <c r="V499" s="57" t="e">
        <f t="shared" ca="1" si="94"/>
        <v>#N/A</v>
      </c>
      <c r="W499" t="e">
        <f t="shared" ca="1" si="95"/>
        <v>#N/A</v>
      </c>
      <c r="X499" t="e">
        <f t="shared" ca="1" si="96"/>
        <v>#N/A</v>
      </c>
      <c r="Y499" t="e">
        <f t="shared" ca="1" si="97"/>
        <v>#N/A</v>
      </c>
      <c r="Z499" t="e">
        <f t="shared" ca="1" si="98"/>
        <v>#N/A</v>
      </c>
      <c r="AA499" s="85" t="e">
        <f ca="1"/>
        <v>#N/A</v>
      </c>
      <c r="AB499" s="57" t="e">
        <f t="shared" ca="1" si="99"/>
        <v>#N/A</v>
      </c>
      <c r="AC499" s="57" t="e">
        <f t="shared" ca="1" si="100"/>
        <v>#N/A</v>
      </c>
      <c r="AD499" s="57" t="e">
        <f t="shared" ca="1" si="101"/>
        <v>#N/A</v>
      </c>
      <c r="AE499" s="57" t="e">
        <f t="shared" ca="1" si="102"/>
        <v>#N/A</v>
      </c>
    </row>
    <row r="500" spans="18:31" x14ac:dyDescent="0.3">
      <c r="R500" s="57" t="e">
        <f ca="1"/>
        <v>#N/A</v>
      </c>
      <c r="S500" s="57" t="e">
        <f t="shared" ca="1" si="91"/>
        <v>#N/A</v>
      </c>
      <c r="T500" s="57" t="e">
        <f t="shared" ca="1" si="92"/>
        <v>#N/A</v>
      </c>
      <c r="U500" s="57" t="e">
        <f t="shared" ca="1" si="93"/>
        <v>#N/A</v>
      </c>
      <c r="V500" s="57" t="e">
        <f t="shared" ca="1" si="94"/>
        <v>#N/A</v>
      </c>
      <c r="W500" t="e">
        <f t="shared" ca="1" si="95"/>
        <v>#N/A</v>
      </c>
      <c r="X500" t="e">
        <f t="shared" ca="1" si="96"/>
        <v>#N/A</v>
      </c>
      <c r="Y500" t="e">
        <f t="shared" ca="1" si="97"/>
        <v>#N/A</v>
      </c>
      <c r="Z500" t="e">
        <f t="shared" ca="1" si="98"/>
        <v>#N/A</v>
      </c>
      <c r="AA500" s="85" t="e">
        <f ca="1"/>
        <v>#N/A</v>
      </c>
      <c r="AB500" s="57" t="e">
        <f t="shared" ca="1" si="99"/>
        <v>#N/A</v>
      </c>
      <c r="AC500" s="57" t="e">
        <f t="shared" ca="1" si="100"/>
        <v>#N/A</v>
      </c>
      <c r="AD500" s="57" t="e">
        <f t="shared" ca="1" si="101"/>
        <v>#N/A</v>
      </c>
      <c r="AE500" s="57" t="e">
        <f t="shared" ca="1" si="102"/>
        <v>#N/A</v>
      </c>
    </row>
    <row r="501" spans="18:31" x14ac:dyDescent="0.3">
      <c r="R501" s="57" t="e">
        <f ca="1"/>
        <v>#N/A</v>
      </c>
      <c r="S501" s="57" t="e">
        <f t="shared" ca="1" si="91"/>
        <v>#N/A</v>
      </c>
      <c r="T501" s="57" t="e">
        <f t="shared" ca="1" si="92"/>
        <v>#N/A</v>
      </c>
      <c r="U501" s="57" t="e">
        <f t="shared" ca="1" si="93"/>
        <v>#N/A</v>
      </c>
      <c r="V501" s="57" t="e">
        <f t="shared" ca="1" si="94"/>
        <v>#N/A</v>
      </c>
      <c r="W501" t="e">
        <f t="shared" ca="1" si="95"/>
        <v>#N/A</v>
      </c>
      <c r="X501" t="e">
        <f t="shared" ca="1" si="96"/>
        <v>#N/A</v>
      </c>
      <c r="Y501" t="e">
        <f t="shared" ca="1" si="97"/>
        <v>#N/A</v>
      </c>
      <c r="Z501" t="e">
        <f t="shared" ca="1" si="98"/>
        <v>#N/A</v>
      </c>
      <c r="AA501" s="85" t="e">
        <f ca="1"/>
        <v>#N/A</v>
      </c>
      <c r="AB501" s="57" t="e">
        <f t="shared" ca="1" si="99"/>
        <v>#N/A</v>
      </c>
      <c r="AC501" s="57" t="e">
        <f t="shared" ca="1" si="100"/>
        <v>#N/A</v>
      </c>
      <c r="AD501" s="57" t="e">
        <f t="shared" ca="1" si="101"/>
        <v>#N/A</v>
      </c>
      <c r="AE501" s="57" t="e">
        <f t="shared" ca="1" si="102"/>
        <v>#N/A</v>
      </c>
    </row>
    <row r="502" spans="18:31" x14ac:dyDescent="0.3">
      <c r="R502" s="57" t="e">
        <f ca="1"/>
        <v>#N/A</v>
      </c>
      <c r="S502" s="57" t="e">
        <f t="shared" ca="1" si="91"/>
        <v>#N/A</v>
      </c>
      <c r="T502" s="57" t="e">
        <f t="shared" ca="1" si="92"/>
        <v>#N/A</v>
      </c>
      <c r="U502" s="57" t="e">
        <f t="shared" ca="1" si="93"/>
        <v>#N/A</v>
      </c>
      <c r="V502" s="57" t="e">
        <f t="shared" ca="1" si="94"/>
        <v>#N/A</v>
      </c>
      <c r="W502" t="e">
        <f t="shared" ca="1" si="95"/>
        <v>#N/A</v>
      </c>
      <c r="X502" t="e">
        <f t="shared" ca="1" si="96"/>
        <v>#N/A</v>
      </c>
      <c r="Y502" t="e">
        <f t="shared" ca="1" si="97"/>
        <v>#N/A</v>
      </c>
      <c r="Z502" t="e">
        <f t="shared" ca="1" si="98"/>
        <v>#N/A</v>
      </c>
      <c r="AA502" s="85" t="e">
        <f ca="1"/>
        <v>#N/A</v>
      </c>
      <c r="AB502" s="57" t="e">
        <f t="shared" ca="1" si="99"/>
        <v>#N/A</v>
      </c>
      <c r="AC502" s="57" t="e">
        <f t="shared" ca="1" si="100"/>
        <v>#N/A</v>
      </c>
      <c r="AD502" s="57" t="e">
        <f t="shared" ca="1" si="101"/>
        <v>#N/A</v>
      </c>
      <c r="AE502" s="57" t="e">
        <f t="shared" ca="1" si="102"/>
        <v>#N/A</v>
      </c>
    </row>
    <row r="503" spans="18:31" x14ac:dyDescent="0.3">
      <c r="R503" s="57" t="e">
        <f ca="1"/>
        <v>#N/A</v>
      </c>
      <c r="S503" s="57" t="e">
        <f t="shared" ca="1" si="91"/>
        <v>#N/A</v>
      </c>
      <c r="T503" s="57" t="e">
        <f t="shared" ca="1" si="92"/>
        <v>#N/A</v>
      </c>
      <c r="U503" s="57" t="e">
        <f t="shared" ca="1" si="93"/>
        <v>#N/A</v>
      </c>
      <c r="V503" s="57" t="e">
        <f t="shared" ca="1" si="94"/>
        <v>#N/A</v>
      </c>
      <c r="W503" t="e">
        <f t="shared" ca="1" si="95"/>
        <v>#N/A</v>
      </c>
      <c r="X503" t="e">
        <f t="shared" ca="1" si="96"/>
        <v>#N/A</v>
      </c>
      <c r="Y503" t="e">
        <f t="shared" ca="1" si="97"/>
        <v>#N/A</v>
      </c>
      <c r="Z503" t="e">
        <f t="shared" ca="1" si="98"/>
        <v>#N/A</v>
      </c>
      <c r="AA503" s="85" t="e">
        <f ca="1"/>
        <v>#N/A</v>
      </c>
      <c r="AB503" s="57" t="e">
        <f t="shared" ca="1" si="99"/>
        <v>#N/A</v>
      </c>
      <c r="AC503" s="57" t="e">
        <f t="shared" ca="1" si="100"/>
        <v>#N/A</v>
      </c>
      <c r="AD503" s="57" t="e">
        <f t="shared" ca="1" si="101"/>
        <v>#N/A</v>
      </c>
      <c r="AE503" s="57" t="e">
        <f t="shared" ca="1" si="102"/>
        <v>#N/A</v>
      </c>
    </row>
    <row r="504" spans="18:31" x14ac:dyDescent="0.3">
      <c r="R504" s="57" t="e">
        <f ca="1"/>
        <v>#N/A</v>
      </c>
      <c r="S504" s="57" t="e">
        <f t="shared" ca="1" si="91"/>
        <v>#N/A</v>
      </c>
      <c r="T504" s="57" t="e">
        <f t="shared" ca="1" si="92"/>
        <v>#N/A</v>
      </c>
      <c r="U504" s="57" t="e">
        <f t="shared" ca="1" si="93"/>
        <v>#N/A</v>
      </c>
      <c r="V504" s="57" t="e">
        <f t="shared" ca="1" si="94"/>
        <v>#N/A</v>
      </c>
      <c r="W504" t="e">
        <f t="shared" ca="1" si="95"/>
        <v>#N/A</v>
      </c>
      <c r="X504" t="e">
        <f t="shared" ca="1" si="96"/>
        <v>#N/A</v>
      </c>
      <c r="Y504" t="e">
        <f t="shared" ca="1" si="97"/>
        <v>#N/A</v>
      </c>
      <c r="Z504" t="e">
        <f t="shared" ca="1" si="98"/>
        <v>#N/A</v>
      </c>
      <c r="AA504" s="85" t="e">
        <f ca="1"/>
        <v>#N/A</v>
      </c>
      <c r="AB504" s="57" t="e">
        <f t="shared" ca="1" si="99"/>
        <v>#N/A</v>
      </c>
      <c r="AC504" s="57" t="e">
        <f t="shared" ca="1" si="100"/>
        <v>#N/A</v>
      </c>
      <c r="AD504" s="57" t="e">
        <f t="shared" ca="1" si="101"/>
        <v>#N/A</v>
      </c>
      <c r="AE504" s="57" t="e">
        <f t="shared" ca="1" si="102"/>
        <v>#N/A</v>
      </c>
    </row>
    <row r="505" spans="18:31" x14ac:dyDescent="0.3">
      <c r="R505" s="57" t="e">
        <f ca="1"/>
        <v>#N/A</v>
      </c>
      <c r="S505" s="57" t="e">
        <f t="shared" ca="1" si="91"/>
        <v>#N/A</v>
      </c>
      <c r="T505" s="57" t="e">
        <f t="shared" ca="1" si="92"/>
        <v>#N/A</v>
      </c>
      <c r="U505" s="57" t="e">
        <f t="shared" ca="1" si="93"/>
        <v>#N/A</v>
      </c>
      <c r="V505" s="57" t="e">
        <f t="shared" ca="1" si="94"/>
        <v>#N/A</v>
      </c>
      <c r="W505" t="e">
        <f t="shared" ca="1" si="95"/>
        <v>#N/A</v>
      </c>
      <c r="X505" t="e">
        <f t="shared" ca="1" si="96"/>
        <v>#N/A</v>
      </c>
      <c r="Y505" t="e">
        <f t="shared" ca="1" si="97"/>
        <v>#N/A</v>
      </c>
      <c r="Z505" t="e">
        <f t="shared" ca="1" si="98"/>
        <v>#N/A</v>
      </c>
      <c r="AA505" s="85" t="e">
        <f ca="1"/>
        <v>#N/A</v>
      </c>
      <c r="AB505" s="57" t="e">
        <f t="shared" ca="1" si="99"/>
        <v>#N/A</v>
      </c>
      <c r="AC505" s="57" t="e">
        <f t="shared" ca="1" si="100"/>
        <v>#N/A</v>
      </c>
      <c r="AD505" s="57" t="e">
        <f t="shared" ca="1" si="101"/>
        <v>#N/A</v>
      </c>
      <c r="AE505" s="57" t="e">
        <f t="shared" ca="1" si="102"/>
        <v>#N/A</v>
      </c>
    </row>
    <row r="506" spans="18:31" x14ac:dyDescent="0.3">
      <c r="R506" s="57" t="e">
        <f ca="1"/>
        <v>#N/A</v>
      </c>
      <c r="S506" s="57" t="e">
        <f t="shared" ca="1" si="91"/>
        <v>#N/A</v>
      </c>
      <c r="T506" s="57" t="e">
        <f t="shared" ca="1" si="92"/>
        <v>#N/A</v>
      </c>
      <c r="U506" s="57" t="e">
        <f t="shared" ca="1" si="93"/>
        <v>#N/A</v>
      </c>
      <c r="V506" s="57" t="e">
        <f t="shared" ca="1" si="94"/>
        <v>#N/A</v>
      </c>
      <c r="W506" t="e">
        <f t="shared" ca="1" si="95"/>
        <v>#N/A</v>
      </c>
      <c r="X506" t="e">
        <f t="shared" ca="1" si="96"/>
        <v>#N/A</v>
      </c>
      <c r="Y506" t="e">
        <f t="shared" ca="1" si="97"/>
        <v>#N/A</v>
      </c>
      <c r="Z506" t="e">
        <f t="shared" ca="1" si="98"/>
        <v>#N/A</v>
      </c>
      <c r="AA506" s="85" t="e">
        <f ca="1"/>
        <v>#N/A</v>
      </c>
      <c r="AB506" s="57" t="e">
        <f t="shared" ca="1" si="99"/>
        <v>#N/A</v>
      </c>
      <c r="AC506" s="57" t="e">
        <f t="shared" ca="1" si="100"/>
        <v>#N/A</v>
      </c>
      <c r="AD506" s="57" t="e">
        <f t="shared" ca="1" si="101"/>
        <v>#N/A</v>
      </c>
      <c r="AE506" s="57" t="e">
        <f t="shared" ca="1" si="102"/>
        <v>#N/A</v>
      </c>
    </row>
    <row r="507" spans="18:31" x14ac:dyDescent="0.3">
      <c r="R507" s="57" t="e">
        <f ca="1"/>
        <v>#N/A</v>
      </c>
      <c r="S507" s="57" t="e">
        <f t="shared" ca="1" si="91"/>
        <v>#N/A</v>
      </c>
      <c r="T507" s="57" t="e">
        <f t="shared" ca="1" si="92"/>
        <v>#N/A</v>
      </c>
      <c r="U507" s="57" t="e">
        <f t="shared" ca="1" si="93"/>
        <v>#N/A</v>
      </c>
      <c r="V507" s="57" t="e">
        <f t="shared" ca="1" si="94"/>
        <v>#N/A</v>
      </c>
      <c r="W507" t="e">
        <f t="shared" ca="1" si="95"/>
        <v>#N/A</v>
      </c>
      <c r="X507" t="e">
        <f t="shared" ca="1" si="96"/>
        <v>#N/A</v>
      </c>
      <c r="Y507" t="e">
        <f t="shared" ca="1" si="97"/>
        <v>#N/A</v>
      </c>
      <c r="Z507" t="e">
        <f t="shared" ca="1" si="98"/>
        <v>#N/A</v>
      </c>
      <c r="AA507" s="85" t="e">
        <f ca="1"/>
        <v>#N/A</v>
      </c>
      <c r="AB507" s="57" t="e">
        <f t="shared" ca="1" si="99"/>
        <v>#N/A</v>
      </c>
      <c r="AC507" s="57" t="e">
        <f t="shared" ca="1" si="100"/>
        <v>#N/A</v>
      </c>
      <c r="AD507" s="57" t="e">
        <f t="shared" ca="1" si="101"/>
        <v>#N/A</v>
      </c>
      <c r="AE507" s="57" t="e">
        <f t="shared" ca="1" si="102"/>
        <v>#N/A</v>
      </c>
    </row>
    <row r="508" spans="18:31" x14ac:dyDescent="0.3">
      <c r="R508" s="57" t="e">
        <f ca="1"/>
        <v>#N/A</v>
      </c>
      <c r="S508" s="57" t="e">
        <f t="shared" ca="1" si="91"/>
        <v>#N/A</v>
      </c>
      <c r="T508" s="57" t="e">
        <f t="shared" ca="1" si="92"/>
        <v>#N/A</v>
      </c>
      <c r="U508" s="57" t="e">
        <f t="shared" ca="1" si="93"/>
        <v>#N/A</v>
      </c>
      <c r="V508" s="57" t="e">
        <f t="shared" ca="1" si="94"/>
        <v>#N/A</v>
      </c>
      <c r="W508" t="e">
        <f t="shared" ca="1" si="95"/>
        <v>#N/A</v>
      </c>
      <c r="X508" t="e">
        <f t="shared" ca="1" si="96"/>
        <v>#N/A</v>
      </c>
      <c r="Y508" t="e">
        <f t="shared" ca="1" si="97"/>
        <v>#N/A</v>
      </c>
      <c r="Z508" t="e">
        <f t="shared" ca="1" si="98"/>
        <v>#N/A</v>
      </c>
      <c r="AA508" s="85" t="e">
        <f ca="1"/>
        <v>#N/A</v>
      </c>
      <c r="AB508" s="57" t="e">
        <f t="shared" ca="1" si="99"/>
        <v>#N/A</v>
      </c>
      <c r="AC508" s="57" t="e">
        <f t="shared" ca="1" si="100"/>
        <v>#N/A</v>
      </c>
      <c r="AD508" s="57" t="e">
        <f t="shared" ca="1" si="101"/>
        <v>#N/A</v>
      </c>
      <c r="AE508" s="57" t="e">
        <f t="shared" ca="1" si="102"/>
        <v>#N/A</v>
      </c>
    </row>
    <row r="509" spans="18:31" x14ac:dyDescent="0.3">
      <c r="R509" s="57" t="e">
        <f ca="1"/>
        <v>#N/A</v>
      </c>
      <c r="S509" s="57" t="e">
        <f t="shared" ca="1" si="91"/>
        <v>#N/A</v>
      </c>
      <c r="T509" s="57" t="e">
        <f t="shared" ca="1" si="92"/>
        <v>#N/A</v>
      </c>
      <c r="U509" s="57" t="e">
        <f t="shared" ca="1" si="93"/>
        <v>#N/A</v>
      </c>
      <c r="V509" s="57" t="e">
        <f t="shared" ca="1" si="94"/>
        <v>#N/A</v>
      </c>
      <c r="W509" t="e">
        <f t="shared" ca="1" si="95"/>
        <v>#N/A</v>
      </c>
      <c r="X509" t="e">
        <f t="shared" ca="1" si="96"/>
        <v>#N/A</v>
      </c>
      <c r="Y509" t="e">
        <f t="shared" ca="1" si="97"/>
        <v>#N/A</v>
      </c>
      <c r="Z509" t="e">
        <f t="shared" ca="1" si="98"/>
        <v>#N/A</v>
      </c>
      <c r="AA509" s="85" t="e">
        <f ca="1"/>
        <v>#N/A</v>
      </c>
      <c r="AB509" s="57" t="e">
        <f t="shared" ca="1" si="99"/>
        <v>#N/A</v>
      </c>
      <c r="AC509" s="57" t="e">
        <f t="shared" ca="1" si="100"/>
        <v>#N/A</v>
      </c>
      <c r="AD509" s="57" t="e">
        <f t="shared" ca="1" si="101"/>
        <v>#N/A</v>
      </c>
      <c r="AE509" s="57" t="e">
        <f t="shared" ca="1" si="102"/>
        <v>#N/A</v>
      </c>
    </row>
    <row r="510" spans="18:31" x14ac:dyDescent="0.3">
      <c r="R510" s="57" t="e">
        <f ca="1"/>
        <v>#N/A</v>
      </c>
      <c r="S510" s="57" t="e">
        <f t="shared" ca="1" si="91"/>
        <v>#N/A</v>
      </c>
      <c r="T510" s="57" t="e">
        <f t="shared" ca="1" si="92"/>
        <v>#N/A</v>
      </c>
      <c r="U510" s="57" t="e">
        <f t="shared" ca="1" si="93"/>
        <v>#N/A</v>
      </c>
      <c r="V510" s="57" t="e">
        <f t="shared" ca="1" si="94"/>
        <v>#N/A</v>
      </c>
      <c r="W510" t="e">
        <f t="shared" ca="1" si="95"/>
        <v>#N/A</v>
      </c>
      <c r="X510" t="e">
        <f t="shared" ca="1" si="96"/>
        <v>#N/A</v>
      </c>
      <c r="Y510" t="e">
        <f t="shared" ca="1" si="97"/>
        <v>#N/A</v>
      </c>
      <c r="Z510" t="e">
        <f t="shared" ca="1" si="98"/>
        <v>#N/A</v>
      </c>
      <c r="AA510" s="85" t="e">
        <f ca="1"/>
        <v>#N/A</v>
      </c>
      <c r="AB510" s="57" t="e">
        <f t="shared" ca="1" si="99"/>
        <v>#N/A</v>
      </c>
      <c r="AC510" s="57" t="e">
        <f t="shared" ca="1" si="100"/>
        <v>#N/A</v>
      </c>
      <c r="AD510" s="57" t="e">
        <f t="shared" ca="1" si="101"/>
        <v>#N/A</v>
      </c>
      <c r="AE510" s="57" t="e">
        <f t="shared" ca="1" si="102"/>
        <v>#N/A</v>
      </c>
    </row>
    <row r="511" spans="18:31" x14ac:dyDescent="0.3">
      <c r="R511" s="57" t="e">
        <f ca="1"/>
        <v>#N/A</v>
      </c>
      <c r="S511" s="57" t="e">
        <f t="shared" ca="1" si="91"/>
        <v>#N/A</v>
      </c>
      <c r="T511" s="57" t="e">
        <f t="shared" ca="1" si="92"/>
        <v>#N/A</v>
      </c>
      <c r="U511" s="57" t="e">
        <f t="shared" ca="1" si="93"/>
        <v>#N/A</v>
      </c>
      <c r="V511" s="57" t="e">
        <f t="shared" ca="1" si="94"/>
        <v>#N/A</v>
      </c>
      <c r="W511" t="e">
        <f t="shared" ca="1" si="95"/>
        <v>#N/A</v>
      </c>
      <c r="X511" t="e">
        <f t="shared" ca="1" si="96"/>
        <v>#N/A</v>
      </c>
      <c r="Y511" t="e">
        <f t="shared" ca="1" si="97"/>
        <v>#N/A</v>
      </c>
      <c r="Z511" t="e">
        <f t="shared" ca="1" si="98"/>
        <v>#N/A</v>
      </c>
      <c r="AA511" s="85" t="e">
        <f ca="1"/>
        <v>#N/A</v>
      </c>
      <c r="AB511" s="57" t="e">
        <f t="shared" ca="1" si="99"/>
        <v>#N/A</v>
      </c>
      <c r="AC511" s="57" t="e">
        <f t="shared" ca="1" si="100"/>
        <v>#N/A</v>
      </c>
      <c r="AD511" s="57" t="e">
        <f t="shared" ca="1" si="101"/>
        <v>#N/A</v>
      </c>
      <c r="AE511" s="57" t="e">
        <f t="shared" ca="1" si="102"/>
        <v>#N/A</v>
      </c>
    </row>
    <row r="512" spans="18:31" x14ac:dyDescent="0.3">
      <c r="R512" s="57" t="e">
        <f ca="1"/>
        <v>#N/A</v>
      </c>
      <c r="S512" s="57" t="e">
        <f t="shared" ca="1" si="91"/>
        <v>#N/A</v>
      </c>
      <c r="T512" s="57" t="e">
        <f t="shared" ca="1" si="92"/>
        <v>#N/A</v>
      </c>
      <c r="U512" s="57" t="e">
        <f t="shared" ca="1" si="93"/>
        <v>#N/A</v>
      </c>
      <c r="V512" s="57" t="e">
        <f t="shared" ca="1" si="94"/>
        <v>#N/A</v>
      </c>
      <c r="W512" t="e">
        <f t="shared" ca="1" si="95"/>
        <v>#N/A</v>
      </c>
      <c r="X512" t="e">
        <f t="shared" ca="1" si="96"/>
        <v>#N/A</v>
      </c>
      <c r="Y512" t="e">
        <f t="shared" ca="1" si="97"/>
        <v>#N/A</v>
      </c>
      <c r="Z512" t="e">
        <f t="shared" ca="1" si="98"/>
        <v>#N/A</v>
      </c>
      <c r="AA512" s="85" t="e">
        <f ca="1"/>
        <v>#N/A</v>
      </c>
      <c r="AB512" s="57" t="e">
        <f t="shared" ca="1" si="99"/>
        <v>#N/A</v>
      </c>
      <c r="AC512" s="57" t="e">
        <f t="shared" ca="1" si="100"/>
        <v>#N/A</v>
      </c>
      <c r="AD512" s="57" t="e">
        <f t="shared" ca="1" si="101"/>
        <v>#N/A</v>
      </c>
      <c r="AE512" s="57" t="e">
        <f t="shared" ca="1" si="102"/>
        <v>#N/A</v>
      </c>
    </row>
    <row r="513" spans="18:31" x14ac:dyDescent="0.3">
      <c r="R513" s="57" t="e">
        <f ca="1"/>
        <v>#N/A</v>
      </c>
      <c r="S513" s="57" t="e">
        <f t="shared" ca="1" si="91"/>
        <v>#N/A</v>
      </c>
      <c r="T513" s="57" t="e">
        <f t="shared" ca="1" si="92"/>
        <v>#N/A</v>
      </c>
      <c r="U513" s="57" t="e">
        <f t="shared" ca="1" si="93"/>
        <v>#N/A</v>
      </c>
      <c r="V513" s="57" t="e">
        <f t="shared" ca="1" si="94"/>
        <v>#N/A</v>
      </c>
      <c r="W513" t="e">
        <f t="shared" ca="1" si="95"/>
        <v>#N/A</v>
      </c>
      <c r="X513" t="e">
        <f t="shared" ca="1" si="96"/>
        <v>#N/A</v>
      </c>
      <c r="Y513" t="e">
        <f t="shared" ca="1" si="97"/>
        <v>#N/A</v>
      </c>
      <c r="Z513" t="e">
        <f t="shared" ca="1" si="98"/>
        <v>#N/A</v>
      </c>
      <c r="AA513" s="85" t="e">
        <f ca="1"/>
        <v>#N/A</v>
      </c>
      <c r="AB513" s="57" t="e">
        <f t="shared" ca="1" si="99"/>
        <v>#N/A</v>
      </c>
      <c r="AC513" s="57" t="e">
        <f t="shared" ca="1" si="100"/>
        <v>#N/A</v>
      </c>
      <c r="AD513" s="57" t="e">
        <f t="shared" ca="1" si="101"/>
        <v>#N/A</v>
      </c>
      <c r="AE513" s="57" t="e">
        <f t="shared" ca="1" si="102"/>
        <v>#N/A</v>
      </c>
    </row>
    <row r="514" spans="18:31" x14ac:dyDescent="0.3">
      <c r="R514" s="57" t="e">
        <f ca="1"/>
        <v>#N/A</v>
      </c>
      <c r="S514" s="57" t="e">
        <f t="shared" ca="1" si="91"/>
        <v>#N/A</v>
      </c>
      <c r="T514" s="57" t="e">
        <f t="shared" ca="1" si="92"/>
        <v>#N/A</v>
      </c>
      <c r="U514" s="57" t="e">
        <f t="shared" ca="1" si="93"/>
        <v>#N/A</v>
      </c>
      <c r="V514" s="57" t="e">
        <f t="shared" ca="1" si="94"/>
        <v>#N/A</v>
      </c>
      <c r="W514" t="e">
        <f t="shared" ca="1" si="95"/>
        <v>#N/A</v>
      </c>
      <c r="X514" t="e">
        <f t="shared" ca="1" si="96"/>
        <v>#N/A</v>
      </c>
      <c r="Y514" t="e">
        <f t="shared" ca="1" si="97"/>
        <v>#N/A</v>
      </c>
      <c r="Z514" t="e">
        <f t="shared" ca="1" si="98"/>
        <v>#N/A</v>
      </c>
      <c r="AA514" s="85" t="e">
        <f ca="1"/>
        <v>#N/A</v>
      </c>
      <c r="AB514" s="57" t="e">
        <f t="shared" ca="1" si="99"/>
        <v>#N/A</v>
      </c>
      <c r="AC514" s="57" t="e">
        <f t="shared" ca="1" si="100"/>
        <v>#N/A</v>
      </c>
      <c r="AD514" s="57" t="e">
        <f t="shared" ca="1" si="101"/>
        <v>#N/A</v>
      </c>
      <c r="AE514" s="57" t="e">
        <f t="shared" ca="1" si="102"/>
        <v>#N/A</v>
      </c>
    </row>
    <row r="515" spans="18:31" x14ac:dyDescent="0.3">
      <c r="R515" s="57" t="e">
        <f ca="1"/>
        <v>#N/A</v>
      </c>
      <c r="S515" s="57" t="e">
        <f t="shared" ca="1" si="91"/>
        <v>#N/A</v>
      </c>
      <c r="T515" s="57" t="e">
        <f t="shared" ca="1" si="92"/>
        <v>#N/A</v>
      </c>
      <c r="U515" s="57" t="e">
        <f t="shared" ca="1" si="93"/>
        <v>#N/A</v>
      </c>
      <c r="V515" s="57" t="e">
        <f t="shared" ca="1" si="94"/>
        <v>#N/A</v>
      </c>
      <c r="W515" t="e">
        <f t="shared" ca="1" si="95"/>
        <v>#N/A</v>
      </c>
      <c r="X515" t="e">
        <f t="shared" ca="1" si="96"/>
        <v>#N/A</v>
      </c>
      <c r="Y515" t="e">
        <f t="shared" ca="1" si="97"/>
        <v>#N/A</v>
      </c>
      <c r="Z515" t="e">
        <f t="shared" ca="1" si="98"/>
        <v>#N/A</v>
      </c>
      <c r="AA515" s="85" t="e">
        <f ca="1"/>
        <v>#N/A</v>
      </c>
      <c r="AB515" s="57" t="e">
        <f t="shared" ca="1" si="99"/>
        <v>#N/A</v>
      </c>
      <c r="AC515" s="57" t="e">
        <f t="shared" ca="1" si="100"/>
        <v>#N/A</v>
      </c>
      <c r="AD515" s="57" t="e">
        <f t="shared" ca="1" si="101"/>
        <v>#N/A</v>
      </c>
      <c r="AE515" s="57" t="e">
        <f t="shared" ca="1" si="102"/>
        <v>#N/A</v>
      </c>
    </row>
    <row r="516" spans="18:31" x14ac:dyDescent="0.3">
      <c r="R516" s="57" t="e">
        <f ca="1"/>
        <v>#N/A</v>
      </c>
      <c r="S516" s="57" t="e">
        <f t="shared" ca="1" si="91"/>
        <v>#N/A</v>
      </c>
      <c r="T516" s="57" t="e">
        <f t="shared" ca="1" si="92"/>
        <v>#N/A</v>
      </c>
      <c r="U516" s="57" t="e">
        <f t="shared" ca="1" si="93"/>
        <v>#N/A</v>
      </c>
      <c r="V516" s="57" t="e">
        <f t="shared" ca="1" si="94"/>
        <v>#N/A</v>
      </c>
      <c r="W516" t="e">
        <f t="shared" ca="1" si="95"/>
        <v>#N/A</v>
      </c>
      <c r="X516" t="e">
        <f t="shared" ca="1" si="96"/>
        <v>#N/A</v>
      </c>
      <c r="Y516" t="e">
        <f t="shared" ca="1" si="97"/>
        <v>#N/A</v>
      </c>
      <c r="Z516" t="e">
        <f t="shared" ca="1" si="98"/>
        <v>#N/A</v>
      </c>
      <c r="AA516" s="85" t="e">
        <f ca="1"/>
        <v>#N/A</v>
      </c>
      <c r="AB516" s="57" t="e">
        <f t="shared" ca="1" si="99"/>
        <v>#N/A</v>
      </c>
      <c r="AC516" s="57" t="e">
        <f t="shared" ca="1" si="100"/>
        <v>#N/A</v>
      </c>
      <c r="AD516" s="57" t="e">
        <f t="shared" ca="1" si="101"/>
        <v>#N/A</v>
      </c>
      <c r="AE516" s="57" t="e">
        <f t="shared" ca="1" si="102"/>
        <v>#N/A</v>
      </c>
    </row>
    <row r="517" spans="18:31" x14ac:dyDescent="0.3">
      <c r="R517" s="57" t="e">
        <f ca="1"/>
        <v>#N/A</v>
      </c>
      <c r="S517" s="57" t="e">
        <f t="shared" ca="1" si="91"/>
        <v>#N/A</v>
      </c>
      <c r="T517" s="57" t="e">
        <f t="shared" ca="1" si="92"/>
        <v>#N/A</v>
      </c>
      <c r="U517" s="57" t="e">
        <f t="shared" ca="1" si="93"/>
        <v>#N/A</v>
      </c>
      <c r="V517" s="57" t="e">
        <f t="shared" ca="1" si="94"/>
        <v>#N/A</v>
      </c>
      <c r="W517" t="e">
        <f t="shared" ca="1" si="95"/>
        <v>#N/A</v>
      </c>
      <c r="X517" t="e">
        <f t="shared" ca="1" si="96"/>
        <v>#N/A</v>
      </c>
      <c r="Y517" t="e">
        <f t="shared" ca="1" si="97"/>
        <v>#N/A</v>
      </c>
      <c r="Z517" t="e">
        <f t="shared" ca="1" si="98"/>
        <v>#N/A</v>
      </c>
      <c r="AA517" s="85" t="e">
        <f ca="1"/>
        <v>#N/A</v>
      </c>
      <c r="AB517" s="57" t="e">
        <f t="shared" ca="1" si="99"/>
        <v>#N/A</v>
      </c>
      <c r="AC517" s="57" t="e">
        <f t="shared" ca="1" si="100"/>
        <v>#N/A</v>
      </c>
      <c r="AD517" s="57" t="e">
        <f t="shared" ca="1" si="101"/>
        <v>#N/A</v>
      </c>
      <c r="AE517" s="57" t="e">
        <f t="shared" ca="1" si="102"/>
        <v>#N/A</v>
      </c>
    </row>
    <row r="518" spans="18:31" x14ac:dyDescent="0.3">
      <c r="R518" s="57" t="e">
        <f ca="1"/>
        <v>#N/A</v>
      </c>
      <c r="S518" s="57" t="e">
        <f t="shared" ca="1" si="91"/>
        <v>#N/A</v>
      </c>
      <c r="T518" s="57" t="e">
        <f t="shared" ca="1" si="92"/>
        <v>#N/A</v>
      </c>
      <c r="U518" s="57" t="e">
        <f t="shared" ca="1" si="93"/>
        <v>#N/A</v>
      </c>
      <c r="V518" s="57" t="e">
        <f t="shared" ca="1" si="94"/>
        <v>#N/A</v>
      </c>
      <c r="W518" t="e">
        <f t="shared" ca="1" si="95"/>
        <v>#N/A</v>
      </c>
      <c r="X518" t="e">
        <f t="shared" ca="1" si="96"/>
        <v>#N/A</v>
      </c>
      <c r="Y518" t="e">
        <f t="shared" ca="1" si="97"/>
        <v>#N/A</v>
      </c>
      <c r="Z518" t="e">
        <f t="shared" ca="1" si="98"/>
        <v>#N/A</v>
      </c>
      <c r="AA518" s="85" t="e">
        <f ca="1"/>
        <v>#N/A</v>
      </c>
      <c r="AB518" s="57" t="e">
        <f t="shared" ca="1" si="99"/>
        <v>#N/A</v>
      </c>
      <c r="AC518" s="57" t="e">
        <f t="shared" ca="1" si="100"/>
        <v>#N/A</v>
      </c>
      <c r="AD518" s="57" t="e">
        <f t="shared" ca="1" si="101"/>
        <v>#N/A</v>
      </c>
      <c r="AE518" s="57" t="e">
        <f t="shared" ca="1" si="102"/>
        <v>#N/A</v>
      </c>
    </row>
    <row r="519" spans="18:31" x14ac:dyDescent="0.3">
      <c r="R519" s="57" t="e">
        <f ca="1"/>
        <v>#N/A</v>
      </c>
      <c r="S519" s="57" t="e">
        <f t="shared" ca="1" si="91"/>
        <v>#N/A</v>
      </c>
      <c r="T519" s="57" t="e">
        <f t="shared" ca="1" si="92"/>
        <v>#N/A</v>
      </c>
      <c r="U519" s="57" t="e">
        <f t="shared" ca="1" si="93"/>
        <v>#N/A</v>
      </c>
      <c r="V519" s="57" t="e">
        <f t="shared" ca="1" si="94"/>
        <v>#N/A</v>
      </c>
      <c r="W519" t="e">
        <f t="shared" ca="1" si="95"/>
        <v>#N/A</v>
      </c>
      <c r="X519" t="e">
        <f t="shared" ca="1" si="96"/>
        <v>#N/A</v>
      </c>
      <c r="Y519" t="e">
        <f t="shared" ca="1" si="97"/>
        <v>#N/A</v>
      </c>
      <c r="Z519" t="e">
        <f t="shared" ca="1" si="98"/>
        <v>#N/A</v>
      </c>
      <c r="AA519" s="85" t="e">
        <f ca="1"/>
        <v>#N/A</v>
      </c>
      <c r="AB519" s="57" t="e">
        <f t="shared" ca="1" si="99"/>
        <v>#N/A</v>
      </c>
      <c r="AC519" s="57" t="e">
        <f t="shared" ca="1" si="100"/>
        <v>#N/A</v>
      </c>
      <c r="AD519" s="57" t="e">
        <f t="shared" ca="1" si="101"/>
        <v>#N/A</v>
      </c>
      <c r="AE519" s="57" t="e">
        <f t="shared" ca="1" si="102"/>
        <v>#N/A</v>
      </c>
    </row>
    <row r="520" spans="18:31" x14ac:dyDescent="0.3">
      <c r="R520" s="57" t="e">
        <f ca="1"/>
        <v>#N/A</v>
      </c>
      <c r="S520" s="57" t="e">
        <f t="shared" ca="1" si="91"/>
        <v>#N/A</v>
      </c>
      <c r="T520" s="57" t="e">
        <f t="shared" ca="1" si="92"/>
        <v>#N/A</v>
      </c>
      <c r="U520" s="57" t="e">
        <f t="shared" ca="1" si="93"/>
        <v>#N/A</v>
      </c>
      <c r="V520" s="57" t="e">
        <f t="shared" ca="1" si="94"/>
        <v>#N/A</v>
      </c>
      <c r="W520" t="e">
        <f t="shared" ca="1" si="95"/>
        <v>#N/A</v>
      </c>
      <c r="X520" t="e">
        <f t="shared" ca="1" si="96"/>
        <v>#N/A</v>
      </c>
      <c r="Y520" t="e">
        <f t="shared" ca="1" si="97"/>
        <v>#N/A</v>
      </c>
      <c r="Z520" t="e">
        <f t="shared" ca="1" si="98"/>
        <v>#N/A</v>
      </c>
      <c r="AA520" s="85" t="e">
        <f ca="1"/>
        <v>#N/A</v>
      </c>
      <c r="AB520" s="57" t="e">
        <f t="shared" ca="1" si="99"/>
        <v>#N/A</v>
      </c>
      <c r="AC520" s="57" t="e">
        <f t="shared" ca="1" si="100"/>
        <v>#N/A</v>
      </c>
      <c r="AD520" s="57" t="e">
        <f t="shared" ca="1" si="101"/>
        <v>#N/A</v>
      </c>
      <c r="AE520" s="57" t="e">
        <f t="shared" ca="1" si="102"/>
        <v>#N/A</v>
      </c>
    </row>
    <row r="521" spans="18:31" x14ac:dyDescent="0.3">
      <c r="R521" s="57" t="e">
        <f ca="1"/>
        <v>#N/A</v>
      </c>
      <c r="S521" s="57" t="e">
        <f t="shared" ca="1" si="91"/>
        <v>#N/A</v>
      </c>
      <c r="T521" s="57" t="e">
        <f t="shared" ca="1" si="92"/>
        <v>#N/A</v>
      </c>
      <c r="U521" s="57" t="e">
        <f t="shared" ca="1" si="93"/>
        <v>#N/A</v>
      </c>
      <c r="V521" s="57" t="e">
        <f t="shared" ca="1" si="94"/>
        <v>#N/A</v>
      </c>
      <c r="W521" t="e">
        <f t="shared" ca="1" si="95"/>
        <v>#N/A</v>
      </c>
      <c r="X521" t="e">
        <f t="shared" ca="1" si="96"/>
        <v>#N/A</v>
      </c>
      <c r="Y521" t="e">
        <f t="shared" ca="1" si="97"/>
        <v>#N/A</v>
      </c>
      <c r="Z521" t="e">
        <f t="shared" ca="1" si="98"/>
        <v>#N/A</v>
      </c>
      <c r="AA521" s="85" t="e">
        <f ca="1"/>
        <v>#N/A</v>
      </c>
      <c r="AB521" s="57" t="e">
        <f t="shared" ca="1" si="99"/>
        <v>#N/A</v>
      </c>
      <c r="AC521" s="57" t="e">
        <f t="shared" ca="1" si="100"/>
        <v>#N/A</v>
      </c>
      <c r="AD521" s="57" t="e">
        <f t="shared" ca="1" si="101"/>
        <v>#N/A</v>
      </c>
      <c r="AE521" s="57" t="e">
        <f t="shared" ca="1" si="102"/>
        <v>#N/A</v>
      </c>
    </row>
    <row r="522" spans="18:31" x14ac:dyDescent="0.3">
      <c r="R522" s="57" t="e">
        <f ca="1"/>
        <v>#N/A</v>
      </c>
      <c r="S522" s="57" t="e">
        <f t="shared" ca="1" si="91"/>
        <v>#N/A</v>
      </c>
      <c r="T522" s="57" t="e">
        <f t="shared" ca="1" si="92"/>
        <v>#N/A</v>
      </c>
      <c r="U522" s="57" t="e">
        <f t="shared" ca="1" si="93"/>
        <v>#N/A</v>
      </c>
      <c r="V522" s="57" t="e">
        <f t="shared" ca="1" si="94"/>
        <v>#N/A</v>
      </c>
      <c r="W522" t="e">
        <f t="shared" ca="1" si="95"/>
        <v>#N/A</v>
      </c>
      <c r="X522" t="e">
        <f t="shared" ca="1" si="96"/>
        <v>#N/A</v>
      </c>
      <c r="Y522" t="e">
        <f t="shared" ca="1" si="97"/>
        <v>#N/A</v>
      </c>
      <c r="Z522" t="e">
        <f t="shared" ca="1" si="98"/>
        <v>#N/A</v>
      </c>
      <c r="AA522" s="85" t="e">
        <f ca="1"/>
        <v>#N/A</v>
      </c>
      <c r="AB522" s="57" t="e">
        <f t="shared" ca="1" si="99"/>
        <v>#N/A</v>
      </c>
      <c r="AC522" s="57" t="e">
        <f t="shared" ca="1" si="100"/>
        <v>#N/A</v>
      </c>
      <c r="AD522" s="57" t="e">
        <f t="shared" ca="1" si="101"/>
        <v>#N/A</v>
      </c>
      <c r="AE522" s="57" t="e">
        <f t="shared" ca="1" si="102"/>
        <v>#N/A</v>
      </c>
    </row>
    <row r="523" spans="18:31" x14ac:dyDescent="0.3">
      <c r="R523" s="57" t="e">
        <f ca="1"/>
        <v>#N/A</v>
      </c>
      <c r="S523" s="57" t="e">
        <f t="shared" ca="1" si="91"/>
        <v>#N/A</v>
      </c>
      <c r="T523" s="57" t="e">
        <f t="shared" ca="1" si="92"/>
        <v>#N/A</v>
      </c>
      <c r="U523" s="57" t="e">
        <f t="shared" ca="1" si="93"/>
        <v>#N/A</v>
      </c>
      <c r="V523" s="57" t="e">
        <f t="shared" ca="1" si="94"/>
        <v>#N/A</v>
      </c>
      <c r="W523" t="e">
        <f t="shared" ca="1" si="95"/>
        <v>#N/A</v>
      </c>
      <c r="X523" t="e">
        <f t="shared" ca="1" si="96"/>
        <v>#N/A</v>
      </c>
      <c r="Y523" t="e">
        <f t="shared" ca="1" si="97"/>
        <v>#N/A</v>
      </c>
      <c r="Z523" t="e">
        <f t="shared" ca="1" si="98"/>
        <v>#N/A</v>
      </c>
      <c r="AA523" s="85" t="e">
        <f ca="1"/>
        <v>#N/A</v>
      </c>
      <c r="AB523" s="57" t="e">
        <f t="shared" ca="1" si="99"/>
        <v>#N/A</v>
      </c>
      <c r="AC523" s="57" t="e">
        <f t="shared" ca="1" si="100"/>
        <v>#N/A</v>
      </c>
      <c r="AD523" s="57" t="e">
        <f t="shared" ca="1" si="101"/>
        <v>#N/A</v>
      </c>
      <c r="AE523" s="57" t="e">
        <f t="shared" ca="1" si="102"/>
        <v>#N/A</v>
      </c>
    </row>
    <row r="524" spans="18:31" x14ac:dyDescent="0.3">
      <c r="R524" s="57" t="e">
        <f ca="1"/>
        <v>#N/A</v>
      </c>
      <c r="S524" s="57" t="e">
        <f t="shared" ref="S524:S587" ca="1" si="103">IF(R524&gt;1,R524,"")</f>
        <v>#N/A</v>
      </c>
      <c r="T524" s="57" t="e">
        <f t="shared" ref="T524:T587" ca="1" si="104">VLOOKUP(S524,ModelOutputs,2,FALSE)</f>
        <v>#N/A</v>
      </c>
      <c r="U524" s="57" t="e">
        <f t="shared" ref="U524:U587" ca="1" si="105">VLOOKUP(S524,ModelOutputs,7,FALSE)</f>
        <v>#N/A</v>
      </c>
      <c r="V524" s="57" t="e">
        <f t="shared" ref="V524:V587" ca="1" si="106">VLOOKUP(S524,ModelOutputs,6,FALSE)</f>
        <v>#N/A</v>
      </c>
      <c r="W524" t="e">
        <f t="shared" ref="W524:W587" ca="1" si="107">VLOOKUP(S524,ModelOutputs,10,FALSE)*AWC</f>
        <v>#N/A</v>
      </c>
      <c r="X524" t="e">
        <f t="shared" ref="X524:X587" ca="1" si="108">VLOOKUP(S524,ModelOutputs,11,FALSE)+X523</f>
        <v>#N/A</v>
      </c>
      <c r="Y524" t="e">
        <f t="shared" ref="Y524:Y587" ca="1" si="109">VLOOKUP(S524,ModelOutputs,12,FALSE)</f>
        <v>#N/A</v>
      </c>
      <c r="Z524" t="e">
        <f t="shared" ref="Z524:Z587" ca="1" si="110">VLOOKUP(S524,ModelOutputs,13,FALSE)</f>
        <v>#N/A</v>
      </c>
      <c r="AA524" s="85" t="e">
        <f ca="1"/>
        <v>#N/A</v>
      </c>
      <c r="AB524" s="57" t="e">
        <f t="shared" ref="AB524:AB587" ca="1" si="111">IF(AA524&gt;1,AA524,"")</f>
        <v>#N/A</v>
      </c>
      <c r="AC524" s="57" t="e">
        <f t="shared" ref="AC524:AC587" ca="1" si="112">VLOOKUP(AB524,ModelOutputs,2,FALSE)</f>
        <v>#N/A</v>
      </c>
      <c r="AD524" s="57" t="e">
        <f t="shared" ref="AD524:AD587" ca="1" si="113">VLOOKUP(AB524,ModelOutputs,7,FALSE)</f>
        <v>#N/A</v>
      </c>
      <c r="AE524" s="57" t="e">
        <f t="shared" ref="AE524:AE587" ca="1" si="114">VLOOKUP(AB524,ModelOutputs,6,FALSE)</f>
        <v>#N/A</v>
      </c>
    </row>
    <row r="525" spans="18:31" x14ac:dyDescent="0.3">
      <c r="R525" s="57" t="e">
        <f ca="1"/>
        <v>#N/A</v>
      </c>
      <c r="S525" s="57" t="e">
        <f t="shared" ca="1" si="103"/>
        <v>#N/A</v>
      </c>
      <c r="T525" s="57" t="e">
        <f t="shared" ca="1" si="104"/>
        <v>#N/A</v>
      </c>
      <c r="U525" s="57" t="e">
        <f t="shared" ca="1" si="105"/>
        <v>#N/A</v>
      </c>
      <c r="V525" s="57" t="e">
        <f t="shared" ca="1" si="106"/>
        <v>#N/A</v>
      </c>
      <c r="W525" t="e">
        <f t="shared" ca="1" si="107"/>
        <v>#N/A</v>
      </c>
      <c r="X525" t="e">
        <f t="shared" ca="1" si="108"/>
        <v>#N/A</v>
      </c>
      <c r="Y525" t="e">
        <f t="shared" ca="1" si="109"/>
        <v>#N/A</v>
      </c>
      <c r="Z525" t="e">
        <f t="shared" ca="1" si="110"/>
        <v>#N/A</v>
      </c>
      <c r="AA525" s="85" t="e">
        <f ca="1"/>
        <v>#N/A</v>
      </c>
      <c r="AB525" s="57" t="e">
        <f t="shared" ca="1" si="111"/>
        <v>#N/A</v>
      </c>
      <c r="AC525" s="57" t="e">
        <f t="shared" ca="1" si="112"/>
        <v>#N/A</v>
      </c>
      <c r="AD525" s="57" t="e">
        <f t="shared" ca="1" si="113"/>
        <v>#N/A</v>
      </c>
      <c r="AE525" s="57" t="e">
        <f t="shared" ca="1" si="114"/>
        <v>#N/A</v>
      </c>
    </row>
    <row r="526" spans="18:31" x14ac:dyDescent="0.3">
      <c r="R526" s="57" t="e">
        <f ca="1"/>
        <v>#N/A</v>
      </c>
      <c r="S526" s="57" t="e">
        <f t="shared" ca="1" si="103"/>
        <v>#N/A</v>
      </c>
      <c r="T526" s="57" t="e">
        <f t="shared" ca="1" si="104"/>
        <v>#N/A</v>
      </c>
      <c r="U526" s="57" t="e">
        <f t="shared" ca="1" si="105"/>
        <v>#N/A</v>
      </c>
      <c r="V526" s="57" t="e">
        <f t="shared" ca="1" si="106"/>
        <v>#N/A</v>
      </c>
      <c r="W526" t="e">
        <f t="shared" ca="1" si="107"/>
        <v>#N/A</v>
      </c>
      <c r="X526" t="e">
        <f t="shared" ca="1" si="108"/>
        <v>#N/A</v>
      </c>
      <c r="Y526" t="e">
        <f t="shared" ca="1" si="109"/>
        <v>#N/A</v>
      </c>
      <c r="Z526" t="e">
        <f t="shared" ca="1" si="110"/>
        <v>#N/A</v>
      </c>
      <c r="AA526" s="85" t="e">
        <f ca="1"/>
        <v>#N/A</v>
      </c>
      <c r="AB526" s="57" t="e">
        <f t="shared" ca="1" si="111"/>
        <v>#N/A</v>
      </c>
      <c r="AC526" s="57" t="e">
        <f t="shared" ca="1" si="112"/>
        <v>#N/A</v>
      </c>
      <c r="AD526" s="57" t="e">
        <f t="shared" ca="1" si="113"/>
        <v>#N/A</v>
      </c>
      <c r="AE526" s="57" t="e">
        <f t="shared" ca="1" si="114"/>
        <v>#N/A</v>
      </c>
    </row>
    <row r="527" spans="18:31" x14ac:dyDescent="0.3">
      <c r="R527" s="57" t="e">
        <f ca="1"/>
        <v>#N/A</v>
      </c>
      <c r="S527" s="57" t="e">
        <f t="shared" ca="1" si="103"/>
        <v>#N/A</v>
      </c>
      <c r="T527" s="57" t="e">
        <f t="shared" ca="1" si="104"/>
        <v>#N/A</v>
      </c>
      <c r="U527" s="57" t="e">
        <f t="shared" ca="1" si="105"/>
        <v>#N/A</v>
      </c>
      <c r="V527" s="57" t="e">
        <f t="shared" ca="1" si="106"/>
        <v>#N/A</v>
      </c>
      <c r="W527" t="e">
        <f t="shared" ca="1" si="107"/>
        <v>#N/A</v>
      </c>
      <c r="X527" t="e">
        <f t="shared" ca="1" si="108"/>
        <v>#N/A</v>
      </c>
      <c r="Y527" t="e">
        <f t="shared" ca="1" si="109"/>
        <v>#N/A</v>
      </c>
      <c r="Z527" t="e">
        <f t="shared" ca="1" si="110"/>
        <v>#N/A</v>
      </c>
      <c r="AA527" s="85" t="e">
        <f ca="1"/>
        <v>#N/A</v>
      </c>
      <c r="AB527" s="57" t="e">
        <f t="shared" ca="1" si="111"/>
        <v>#N/A</v>
      </c>
      <c r="AC527" s="57" t="e">
        <f t="shared" ca="1" si="112"/>
        <v>#N/A</v>
      </c>
      <c r="AD527" s="57" t="e">
        <f t="shared" ca="1" si="113"/>
        <v>#N/A</v>
      </c>
      <c r="AE527" s="57" t="e">
        <f t="shared" ca="1" si="114"/>
        <v>#N/A</v>
      </c>
    </row>
    <row r="528" spans="18:31" x14ac:dyDescent="0.3">
      <c r="R528" s="57" t="e">
        <f ca="1"/>
        <v>#N/A</v>
      </c>
      <c r="S528" s="57" t="e">
        <f t="shared" ca="1" si="103"/>
        <v>#N/A</v>
      </c>
      <c r="T528" s="57" t="e">
        <f t="shared" ca="1" si="104"/>
        <v>#N/A</v>
      </c>
      <c r="U528" s="57" t="e">
        <f t="shared" ca="1" si="105"/>
        <v>#N/A</v>
      </c>
      <c r="V528" s="57" t="e">
        <f t="shared" ca="1" si="106"/>
        <v>#N/A</v>
      </c>
      <c r="W528" t="e">
        <f t="shared" ca="1" si="107"/>
        <v>#N/A</v>
      </c>
      <c r="X528" t="e">
        <f t="shared" ca="1" si="108"/>
        <v>#N/A</v>
      </c>
      <c r="Y528" t="e">
        <f t="shared" ca="1" si="109"/>
        <v>#N/A</v>
      </c>
      <c r="Z528" t="e">
        <f t="shared" ca="1" si="110"/>
        <v>#N/A</v>
      </c>
      <c r="AA528" s="85" t="e">
        <f ca="1"/>
        <v>#N/A</v>
      </c>
      <c r="AB528" s="57" t="e">
        <f t="shared" ca="1" si="111"/>
        <v>#N/A</v>
      </c>
      <c r="AC528" s="57" t="e">
        <f t="shared" ca="1" si="112"/>
        <v>#N/A</v>
      </c>
      <c r="AD528" s="57" t="e">
        <f t="shared" ca="1" si="113"/>
        <v>#N/A</v>
      </c>
      <c r="AE528" s="57" t="e">
        <f t="shared" ca="1" si="114"/>
        <v>#N/A</v>
      </c>
    </row>
    <row r="529" spans="18:31" x14ac:dyDescent="0.3">
      <c r="R529" s="57" t="e">
        <f ca="1"/>
        <v>#N/A</v>
      </c>
      <c r="S529" s="57" t="e">
        <f t="shared" ca="1" si="103"/>
        <v>#N/A</v>
      </c>
      <c r="T529" s="57" t="e">
        <f t="shared" ca="1" si="104"/>
        <v>#N/A</v>
      </c>
      <c r="U529" s="57" t="e">
        <f t="shared" ca="1" si="105"/>
        <v>#N/A</v>
      </c>
      <c r="V529" s="57" t="e">
        <f t="shared" ca="1" si="106"/>
        <v>#N/A</v>
      </c>
      <c r="W529" t="e">
        <f t="shared" ca="1" si="107"/>
        <v>#N/A</v>
      </c>
      <c r="X529" t="e">
        <f t="shared" ca="1" si="108"/>
        <v>#N/A</v>
      </c>
      <c r="Y529" t="e">
        <f t="shared" ca="1" si="109"/>
        <v>#N/A</v>
      </c>
      <c r="Z529" t="e">
        <f t="shared" ca="1" si="110"/>
        <v>#N/A</v>
      </c>
      <c r="AA529" s="85" t="e">
        <f ca="1"/>
        <v>#N/A</v>
      </c>
      <c r="AB529" s="57" t="e">
        <f t="shared" ca="1" si="111"/>
        <v>#N/A</v>
      </c>
      <c r="AC529" s="57" t="e">
        <f t="shared" ca="1" si="112"/>
        <v>#N/A</v>
      </c>
      <c r="AD529" s="57" t="e">
        <f t="shared" ca="1" si="113"/>
        <v>#N/A</v>
      </c>
      <c r="AE529" s="57" t="e">
        <f t="shared" ca="1" si="114"/>
        <v>#N/A</v>
      </c>
    </row>
    <row r="530" spans="18:31" x14ac:dyDescent="0.3">
      <c r="R530" s="57" t="e">
        <f ca="1"/>
        <v>#N/A</v>
      </c>
      <c r="S530" s="57" t="e">
        <f t="shared" ca="1" si="103"/>
        <v>#N/A</v>
      </c>
      <c r="T530" s="57" t="e">
        <f t="shared" ca="1" si="104"/>
        <v>#N/A</v>
      </c>
      <c r="U530" s="57" t="e">
        <f t="shared" ca="1" si="105"/>
        <v>#N/A</v>
      </c>
      <c r="V530" s="57" t="e">
        <f t="shared" ca="1" si="106"/>
        <v>#N/A</v>
      </c>
      <c r="W530" t="e">
        <f t="shared" ca="1" si="107"/>
        <v>#N/A</v>
      </c>
      <c r="X530" t="e">
        <f t="shared" ca="1" si="108"/>
        <v>#N/A</v>
      </c>
      <c r="Y530" t="e">
        <f t="shared" ca="1" si="109"/>
        <v>#N/A</v>
      </c>
      <c r="Z530" t="e">
        <f t="shared" ca="1" si="110"/>
        <v>#N/A</v>
      </c>
      <c r="AA530" s="85" t="e">
        <f ca="1"/>
        <v>#N/A</v>
      </c>
      <c r="AB530" s="57" t="e">
        <f t="shared" ca="1" si="111"/>
        <v>#N/A</v>
      </c>
      <c r="AC530" s="57" t="e">
        <f t="shared" ca="1" si="112"/>
        <v>#N/A</v>
      </c>
      <c r="AD530" s="57" t="e">
        <f t="shared" ca="1" si="113"/>
        <v>#N/A</v>
      </c>
      <c r="AE530" s="57" t="e">
        <f t="shared" ca="1" si="114"/>
        <v>#N/A</v>
      </c>
    </row>
    <row r="531" spans="18:31" x14ac:dyDescent="0.3">
      <c r="R531" s="57" t="e">
        <f ca="1"/>
        <v>#N/A</v>
      </c>
      <c r="S531" s="57" t="e">
        <f t="shared" ca="1" si="103"/>
        <v>#N/A</v>
      </c>
      <c r="T531" s="57" t="e">
        <f t="shared" ca="1" si="104"/>
        <v>#N/A</v>
      </c>
      <c r="U531" s="57" t="e">
        <f t="shared" ca="1" si="105"/>
        <v>#N/A</v>
      </c>
      <c r="V531" s="57" t="e">
        <f t="shared" ca="1" si="106"/>
        <v>#N/A</v>
      </c>
      <c r="W531" t="e">
        <f t="shared" ca="1" si="107"/>
        <v>#N/A</v>
      </c>
      <c r="X531" t="e">
        <f t="shared" ca="1" si="108"/>
        <v>#N/A</v>
      </c>
      <c r="Y531" t="e">
        <f t="shared" ca="1" si="109"/>
        <v>#N/A</v>
      </c>
      <c r="Z531" t="e">
        <f t="shared" ca="1" si="110"/>
        <v>#N/A</v>
      </c>
      <c r="AA531" s="85" t="e">
        <f ca="1"/>
        <v>#N/A</v>
      </c>
      <c r="AB531" s="57" t="e">
        <f t="shared" ca="1" si="111"/>
        <v>#N/A</v>
      </c>
      <c r="AC531" s="57" t="e">
        <f t="shared" ca="1" si="112"/>
        <v>#N/A</v>
      </c>
      <c r="AD531" s="57" t="e">
        <f t="shared" ca="1" si="113"/>
        <v>#N/A</v>
      </c>
      <c r="AE531" s="57" t="e">
        <f t="shared" ca="1" si="114"/>
        <v>#N/A</v>
      </c>
    </row>
    <row r="532" spans="18:31" x14ac:dyDescent="0.3">
      <c r="R532" s="57" t="e">
        <f ca="1"/>
        <v>#N/A</v>
      </c>
      <c r="S532" s="57" t="e">
        <f t="shared" ca="1" si="103"/>
        <v>#N/A</v>
      </c>
      <c r="T532" s="57" t="e">
        <f t="shared" ca="1" si="104"/>
        <v>#N/A</v>
      </c>
      <c r="U532" s="57" t="e">
        <f t="shared" ca="1" si="105"/>
        <v>#N/A</v>
      </c>
      <c r="V532" s="57" t="e">
        <f t="shared" ca="1" si="106"/>
        <v>#N/A</v>
      </c>
      <c r="W532" t="e">
        <f t="shared" ca="1" si="107"/>
        <v>#N/A</v>
      </c>
      <c r="X532" t="e">
        <f t="shared" ca="1" si="108"/>
        <v>#N/A</v>
      </c>
      <c r="Y532" t="e">
        <f t="shared" ca="1" si="109"/>
        <v>#N/A</v>
      </c>
      <c r="Z532" t="e">
        <f t="shared" ca="1" si="110"/>
        <v>#N/A</v>
      </c>
      <c r="AA532" s="85" t="e">
        <f ca="1"/>
        <v>#N/A</v>
      </c>
      <c r="AB532" s="57" t="e">
        <f t="shared" ca="1" si="111"/>
        <v>#N/A</v>
      </c>
      <c r="AC532" s="57" t="e">
        <f t="shared" ca="1" si="112"/>
        <v>#N/A</v>
      </c>
      <c r="AD532" s="57" t="e">
        <f t="shared" ca="1" si="113"/>
        <v>#N/A</v>
      </c>
      <c r="AE532" s="57" t="e">
        <f t="shared" ca="1" si="114"/>
        <v>#N/A</v>
      </c>
    </row>
    <row r="533" spans="18:31" x14ac:dyDescent="0.3">
      <c r="R533" s="57" t="e">
        <f ca="1"/>
        <v>#N/A</v>
      </c>
      <c r="S533" s="57" t="e">
        <f t="shared" ca="1" si="103"/>
        <v>#N/A</v>
      </c>
      <c r="T533" s="57" t="e">
        <f t="shared" ca="1" si="104"/>
        <v>#N/A</v>
      </c>
      <c r="U533" s="57" t="e">
        <f t="shared" ca="1" si="105"/>
        <v>#N/A</v>
      </c>
      <c r="V533" s="57" t="e">
        <f t="shared" ca="1" si="106"/>
        <v>#N/A</v>
      </c>
      <c r="W533" t="e">
        <f t="shared" ca="1" si="107"/>
        <v>#N/A</v>
      </c>
      <c r="X533" t="e">
        <f t="shared" ca="1" si="108"/>
        <v>#N/A</v>
      </c>
      <c r="Y533" t="e">
        <f t="shared" ca="1" si="109"/>
        <v>#N/A</v>
      </c>
      <c r="Z533" t="e">
        <f t="shared" ca="1" si="110"/>
        <v>#N/A</v>
      </c>
      <c r="AA533" s="85" t="e">
        <f ca="1"/>
        <v>#N/A</v>
      </c>
      <c r="AB533" s="57" t="e">
        <f t="shared" ca="1" si="111"/>
        <v>#N/A</v>
      </c>
      <c r="AC533" s="57" t="e">
        <f t="shared" ca="1" si="112"/>
        <v>#N/A</v>
      </c>
      <c r="AD533" s="57" t="e">
        <f t="shared" ca="1" si="113"/>
        <v>#N/A</v>
      </c>
      <c r="AE533" s="57" t="e">
        <f t="shared" ca="1" si="114"/>
        <v>#N/A</v>
      </c>
    </row>
    <row r="534" spans="18:31" x14ac:dyDescent="0.3">
      <c r="R534" s="57" t="e">
        <f ca="1"/>
        <v>#N/A</v>
      </c>
      <c r="S534" s="57" t="e">
        <f t="shared" ca="1" si="103"/>
        <v>#N/A</v>
      </c>
      <c r="T534" s="57" t="e">
        <f t="shared" ca="1" si="104"/>
        <v>#N/A</v>
      </c>
      <c r="U534" s="57" t="e">
        <f t="shared" ca="1" si="105"/>
        <v>#N/A</v>
      </c>
      <c r="V534" s="57" t="e">
        <f t="shared" ca="1" si="106"/>
        <v>#N/A</v>
      </c>
      <c r="W534" t="e">
        <f t="shared" ca="1" si="107"/>
        <v>#N/A</v>
      </c>
      <c r="X534" t="e">
        <f t="shared" ca="1" si="108"/>
        <v>#N/A</v>
      </c>
      <c r="Y534" t="e">
        <f t="shared" ca="1" si="109"/>
        <v>#N/A</v>
      </c>
      <c r="Z534" t="e">
        <f t="shared" ca="1" si="110"/>
        <v>#N/A</v>
      </c>
      <c r="AA534" s="85" t="e">
        <f ca="1"/>
        <v>#N/A</v>
      </c>
      <c r="AB534" s="57" t="e">
        <f t="shared" ca="1" si="111"/>
        <v>#N/A</v>
      </c>
      <c r="AC534" s="57" t="e">
        <f t="shared" ca="1" si="112"/>
        <v>#N/A</v>
      </c>
      <c r="AD534" s="57" t="e">
        <f t="shared" ca="1" si="113"/>
        <v>#N/A</v>
      </c>
      <c r="AE534" s="57" t="e">
        <f t="shared" ca="1" si="114"/>
        <v>#N/A</v>
      </c>
    </row>
    <row r="535" spans="18:31" x14ac:dyDescent="0.3">
      <c r="R535" s="57" t="e">
        <f ca="1"/>
        <v>#N/A</v>
      </c>
      <c r="S535" s="57" t="e">
        <f t="shared" ca="1" si="103"/>
        <v>#N/A</v>
      </c>
      <c r="T535" s="57" t="e">
        <f t="shared" ca="1" si="104"/>
        <v>#N/A</v>
      </c>
      <c r="U535" s="57" t="e">
        <f t="shared" ca="1" si="105"/>
        <v>#N/A</v>
      </c>
      <c r="V535" s="57" t="e">
        <f t="shared" ca="1" si="106"/>
        <v>#N/A</v>
      </c>
      <c r="W535" t="e">
        <f t="shared" ca="1" si="107"/>
        <v>#N/A</v>
      </c>
      <c r="X535" t="e">
        <f t="shared" ca="1" si="108"/>
        <v>#N/A</v>
      </c>
      <c r="Y535" t="e">
        <f t="shared" ca="1" si="109"/>
        <v>#N/A</v>
      </c>
      <c r="Z535" t="e">
        <f t="shared" ca="1" si="110"/>
        <v>#N/A</v>
      </c>
      <c r="AA535" s="85" t="e">
        <f ca="1"/>
        <v>#N/A</v>
      </c>
      <c r="AB535" s="57" t="e">
        <f t="shared" ca="1" si="111"/>
        <v>#N/A</v>
      </c>
      <c r="AC535" s="57" t="e">
        <f t="shared" ca="1" si="112"/>
        <v>#N/A</v>
      </c>
      <c r="AD535" s="57" t="e">
        <f t="shared" ca="1" si="113"/>
        <v>#N/A</v>
      </c>
      <c r="AE535" s="57" t="e">
        <f t="shared" ca="1" si="114"/>
        <v>#N/A</v>
      </c>
    </row>
    <row r="536" spans="18:31" x14ac:dyDescent="0.3">
      <c r="R536" s="57" t="e">
        <f ca="1"/>
        <v>#N/A</v>
      </c>
      <c r="S536" s="57" t="e">
        <f t="shared" ca="1" si="103"/>
        <v>#N/A</v>
      </c>
      <c r="T536" s="57" t="e">
        <f t="shared" ca="1" si="104"/>
        <v>#N/A</v>
      </c>
      <c r="U536" s="57" t="e">
        <f t="shared" ca="1" si="105"/>
        <v>#N/A</v>
      </c>
      <c r="V536" s="57" t="e">
        <f t="shared" ca="1" si="106"/>
        <v>#N/A</v>
      </c>
      <c r="W536" t="e">
        <f t="shared" ca="1" si="107"/>
        <v>#N/A</v>
      </c>
      <c r="X536" t="e">
        <f t="shared" ca="1" si="108"/>
        <v>#N/A</v>
      </c>
      <c r="Y536" t="e">
        <f t="shared" ca="1" si="109"/>
        <v>#N/A</v>
      </c>
      <c r="Z536" t="e">
        <f t="shared" ca="1" si="110"/>
        <v>#N/A</v>
      </c>
      <c r="AA536" s="85" t="e">
        <f ca="1"/>
        <v>#N/A</v>
      </c>
      <c r="AB536" s="57" t="e">
        <f t="shared" ca="1" si="111"/>
        <v>#N/A</v>
      </c>
      <c r="AC536" s="57" t="e">
        <f t="shared" ca="1" si="112"/>
        <v>#N/A</v>
      </c>
      <c r="AD536" s="57" t="e">
        <f t="shared" ca="1" si="113"/>
        <v>#N/A</v>
      </c>
      <c r="AE536" s="57" t="e">
        <f t="shared" ca="1" si="114"/>
        <v>#N/A</v>
      </c>
    </row>
    <row r="537" spans="18:31" x14ac:dyDescent="0.3">
      <c r="R537" s="57" t="e">
        <f ca="1"/>
        <v>#N/A</v>
      </c>
      <c r="S537" s="57" t="e">
        <f t="shared" ca="1" si="103"/>
        <v>#N/A</v>
      </c>
      <c r="T537" s="57" t="e">
        <f t="shared" ca="1" si="104"/>
        <v>#N/A</v>
      </c>
      <c r="U537" s="57" t="e">
        <f t="shared" ca="1" si="105"/>
        <v>#N/A</v>
      </c>
      <c r="V537" s="57" t="e">
        <f t="shared" ca="1" si="106"/>
        <v>#N/A</v>
      </c>
      <c r="W537" t="e">
        <f t="shared" ca="1" si="107"/>
        <v>#N/A</v>
      </c>
      <c r="X537" t="e">
        <f t="shared" ca="1" si="108"/>
        <v>#N/A</v>
      </c>
      <c r="Y537" t="e">
        <f t="shared" ca="1" si="109"/>
        <v>#N/A</v>
      </c>
      <c r="Z537" t="e">
        <f t="shared" ca="1" si="110"/>
        <v>#N/A</v>
      </c>
      <c r="AA537" s="85" t="e">
        <f ca="1"/>
        <v>#N/A</v>
      </c>
      <c r="AB537" s="57" t="e">
        <f t="shared" ca="1" si="111"/>
        <v>#N/A</v>
      </c>
      <c r="AC537" s="57" t="e">
        <f t="shared" ca="1" si="112"/>
        <v>#N/A</v>
      </c>
      <c r="AD537" s="57" t="e">
        <f t="shared" ca="1" si="113"/>
        <v>#N/A</v>
      </c>
      <c r="AE537" s="57" t="e">
        <f t="shared" ca="1" si="114"/>
        <v>#N/A</v>
      </c>
    </row>
    <row r="538" spans="18:31" x14ac:dyDescent="0.3">
      <c r="R538" s="57" t="e">
        <f ca="1"/>
        <v>#N/A</v>
      </c>
      <c r="S538" s="57" t="e">
        <f t="shared" ca="1" si="103"/>
        <v>#N/A</v>
      </c>
      <c r="T538" s="57" t="e">
        <f t="shared" ca="1" si="104"/>
        <v>#N/A</v>
      </c>
      <c r="U538" s="57" t="e">
        <f t="shared" ca="1" si="105"/>
        <v>#N/A</v>
      </c>
      <c r="V538" s="57" t="e">
        <f t="shared" ca="1" si="106"/>
        <v>#N/A</v>
      </c>
      <c r="W538" t="e">
        <f t="shared" ca="1" si="107"/>
        <v>#N/A</v>
      </c>
      <c r="X538" t="e">
        <f t="shared" ca="1" si="108"/>
        <v>#N/A</v>
      </c>
      <c r="Y538" t="e">
        <f t="shared" ca="1" si="109"/>
        <v>#N/A</v>
      </c>
      <c r="Z538" t="e">
        <f t="shared" ca="1" si="110"/>
        <v>#N/A</v>
      </c>
      <c r="AA538" s="85" t="e">
        <f ca="1"/>
        <v>#N/A</v>
      </c>
      <c r="AB538" s="57" t="e">
        <f t="shared" ca="1" si="111"/>
        <v>#N/A</v>
      </c>
      <c r="AC538" s="57" t="e">
        <f t="shared" ca="1" si="112"/>
        <v>#N/A</v>
      </c>
      <c r="AD538" s="57" t="e">
        <f t="shared" ca="1" si="113"/>
        <v>#N/A</v>
      </c>
      <c r="AE538" s="57" t="e">
        <f t="shared" ca="1" si="114"/>
        <v>#N/A</v>
      </c>
    </row>
    <row r="539" spans="18:31" x14ac:dyDescent="0.3">
      <c r="R539" s="57" t="e">
        <f ca="1"/>
        <v>#N/A</v>
      </c>
      <c r="S539" s="57" t="e">
        <f t="shared" ca="1" si="103"/>
        <v>#N/A</v>
      </c>
      <c r="T539" s="57" t="e">
        <f t="shared" ca="1" si="104"/>
        <v>#N/A</v>
      </c>
      <c r="U539" s="57" t="e">
        <f t="shared" ca="1" si="105"/>
        <v>#N/A</v>
      </c>
      <c r="V539" s="57" t="e">
        <f t="shared" ca="1" si="106"/>
        <v>#N/A</v>
      </c>
      <c r="W539" t="e">
        <f t="shared" ca="1" si="107"/>
        <v>#N/A</v>
      </c>
      <c r="X539" t="e">
        <f t="shared" ca="1" si="108"/>
        <v>#N/A</v>
      </c>
      <c r="Y539" t="e">
        <f t="shared" ca="1" si="109"/>
        <v>#N/A</v>
      </c>
      <c r="Z539" t="e">
        <f t="shared" ca="1" si="110"/>
        <v>#N/A</v>
      </c>
      <c r="AA539" s="85" t="e">
        <f ca="1"/>
        <v>#N/A</v>
      </c>
      <c r="AB539" s="57" t="e">
        <f t="shared" ca="1" si="111"/>
        <v>#N/A</v>
      </c>
      <c r="AC539" s="57" t="e">
        <f t="shared" ca="1" si="112"/>
        <v>#N/A</v>
      </c>
      <c r="AD539" s="57" t="e">
        <f t="shared" ca="1" si="113"/>
        <v>#N/A</v>
      </c>
      <c r="AE539" s="57" t="e">
        <f t="shared" ca="1" si="114"/>
        <v>#N/A</v>
      </c>
    </row>
    <row r="540" spans="18:31" x14ac:dyDescent="0.3">
      <c r="R540" s="57" t="e">
        <f ca="1"/>
        <v>#N/A</v>
      </c>
      <c r="S540" s="57" t="e">
        <f t="shared" ca="1" si="103"/>
        <v>#N/A</v>
      </c>
      <c r="T540" s="57" t="e">
        <f t="shared" ca="1" si="104"/>
        <v>#N/A</v>
      </c>
      <c r="U540" s="57" t="e">
        <f t="shared" ca="1" si="105"/>
        <v>#N/A</v>
      </c>
      <c r="V540" s="57" t="e">
        <f t="shared" ca="1" si="106"/>
        <v>#N/A</v>
      </c>
      <c r="W540" t="e">
        <f t="shared" ca="1" si="107"/>
        <v>#N/A</v>
      </c>
      <c r="X540" t="e">
        <f t="shared" ca="1" si="108"/>
        <v>#N/A</v>
      </c>
      <c r="Y540" t="e">
        <f t="shared" ca="1" si="109"/>
        <v>#N/A</v>
      </c>
      <c r="Z540" t="e">
        <f t="shared" ca="1" si="110"/>
        <v>#N/A</v>
      </c>
      <c r="AA540" s="85" t="e">
        <f ca="1"/>
        <v>#N/A</v>
      </c>
      <c r="AB540" s="57" t="e">
        <f t="shared" ca="1" si="111"/>
        <v>#N/A</v>
      </c>
      <c r="AC540" s="57" t="e">
        <f t="shared" ca="1" si="112"/>
        <v>#N/A</v>
      </c>
      <c r="AD540" s="57" t="e">
        <f t="shared" ca="1" si="113"/>
        <v>#N/A</v>
      </c>
      <c r="AE540" s="57" t="e">
        <f t="shared" ca="1" si="114"/>
        <v>#N/A</v>
      </c>
    </row>
    <row r="541" spans="18:31" x14ac:dyDescent="0.3">
      <c r="R541" s="57" t="e">
        <f ca="1"/>
        <v>#N/A</v>
      </c>
      <c r="S541" s="57" t="e">
        <f t="shared" ca="1" si="103"/>
        <v>#N/A</v>
      </c>
      <c r="T541" s="57" t="e">
        <f t="shared" ca="1" si="104"/>
        <v>#N/A</v>
      </c>
      <c r="U541" s="57" t="e">
        <f t="shared" ca="1" si="105"/>
        <v>#N/A</v>
      </c>
      <c r="V541" s="57" t="e">
        <f t="shared" ca="1" si="106"/>
        <v>#N/A</v>
      </c>
      <c r="W541" t="e">
        <f t="shared" ca="1" si="107"/>
        <v>#N/A</v>
      </c>
      <c r="X541" t="e">
        <f t="shared" ca="1" si="108"/>
        <v>#N/A</v>
      </c>
      <c r="Y541" t="e">
        <f t="shared" ca="1" si="109"/>
        <v>#N/A</v>
      </c>
      <c r="Z541" t="e">
        <f t="shared" ca="1" si="110"/>
        <v>#N/A</v>
      </c>
      <c r="AA541" s="85" t="e">
        <f ca="1"/>
        <v>#N/A</v>
      </c>
      <c r="AB541" s="57" t="e">
        <f t="shared" ca="1" si="111"/>
        <v>#N/A</v>
      </c>
      <c r="AC541" s="57" t="e">
        <f t="shared" ca="1" si="112"/>
        <v>#N/A</v>
      </c>
      <c r="AD541" s="57" t="e">
        <f t="shared" ca="1" si="113"/>
        <v>#N/A</v>
      </c>
      <c r="AE541" s="57" t="e">
        <f t="shared" ca="1" si="114"/>
        <v>#N/A</v>
      </c>
    </row>
    <row r="542" spans="18:31" x14ac:dyDescent="0.3">
      <c r="R542" s="57" t="e">
        <f ca="1"/>
        <v>#N/A</v>
      </c>
      <c r="S542" s="57" t="e">
        <f t="shared" ca="1" si="103"/>
        <v>#N/A</v>
      </c>
      <c r="T542" s="57" t="e">
        <f t="shared" ca="1" si="104"/>
        <v>#N/A</v>
      </c>
      <c r="U542" s="57" t="e">
        <f t="shared" ca="1" si="105"/>
        <v>#N/A</v>
      </c>
      <c r="V542" s="57" t="e">
        <f t="shared" ca="1" si="106"/>
        <v>#N/A</v>
      </c>
      <c r="W542" t="e">
        <f t="shared" ca="1" si="107"/>
        <v>#N/A</v>
      </c>
      <c r="X542" t="e">
        <f t="shared" ca="1" si="108"/>
        <v>#N/A</v>
      </c>
      <c r="Y542" t="e">
        <f t="shared" ca="1" si="109"/>
        <v>#N/A</v>
      </c>
      <c r="Z542" t="e">
        <f t="shared" ca="1" si="110"/>
        <v>#N/A</v>
      </c>
      <c r="AA542" s="85" t="e">
        <f ca="1"/>
        <v>#N/A</v>
      </c>
      <c r="AB542" s="57" t="e">
        <f t="shared" ca="1" si="111"/>
        <v>#N/A</v>
      </c>
      <c r="AC542" s="57" t="e">
        <f t="shared" ca="1" si="112"/>
        <v>#N/A</v>
      </c>
      <c r="AD542" s="57" t="e">
        <f t="shared" ca="1" si="113"/>
        <v>#N/A</v>
      </c>
      <c r="AE542" s="57" t="e">
        <f t="shared" ca="1" si="114"/>
        <v>#N/A</v>
      </c>
    </row>
    <row r="543" spans="18:31" x14ac:dyDescent="0.3">
      <c r="R543" s="57" t="e">
        <f ca="1"/>
        <v>#N/A</v>
      </c>
      <c r="S543" s="57" t="e">
        <f t="shared" ca="1" si="103"/>
        <v>#N/A</v>
      </c>
      <c r="T543" s="57" t="e">
        <f t="shared" ca="1" si="104"/>
        <v>#N/A</v>
      </c>
      <c r="U543" s="57" t="e">
        <f t="shared" ca="1" si="105"/>
        <v>#N/A</v>
      </c>
      <c r="V543" s="57" t="e">
        <f t="shared" ca="1" si="106"/>
        <v>#N/A</v>
      </c>
      <c r="W543" t="e">
        <f t="shared" ca="1" si="107"/>
        <v>#N/A</v>
      </c>
      <c r="X543" t="e">
        <f t="shared" ca="1" si="108"/>
        <v>#N/A</v>
      </c>
      <c r="Y543" t="e">
        <f t="shared" ca="1" si="109"/>
        <v>#N/A</v>
      </c>
      <c r="Z543" t="e">
        <f t="shared" ca="1" si="110"/>
        <v>#N/A</v>
      </c>
      <c r="AA543" s="85" t="e">
        <f ca="1"/>
        <v>#N/A</v>
      </c>
      <c r="AB543" s="57" t="e">
        <f t="shared" ca="1" si="111"/>
        <v>#N/A</v>
      </c>
      <c r="AC543" s="57" t="e">
        <f t="shared" ca="1" si="112"/>
        <v>#N/A</v>
      </c>
      <c r="AD543" s="57" t="e">
        <f t="shared" ca="1" si="113"/>
        <v>#N/A</v>
      </c>
      <c r="AE543" s="57" t="e">
        <f t="shared" ca="1" si="114"/>
        <v>#N/A</v>
      </c>
    </row>
    <row r="544" spans="18:31" x14ac:dyDescent="0.3">
      <c r="R544" s="57" t="e">
        <f ca="1"/>
        <v>#N/A</v>
      </c>
      <c r="S544" s="57" t="e">
        <f t="shared" ca="1" si="103"/>
        <v>#N/A</v>
      </c>
      <c r="T544" s="57" t="e">
        <f t="shared" ca="1" si="104"/>
        <v>#N/A</v>
      </c>
      <c r="U544" s="57" t="e">
        <f t="shared" ca="1" si="105"/>
        <v>#N/A</v>
      </c>
      <c r="V544" s="57" t="e">
        <f t="shared" ca="1" si="106"/>
        <v>#N/A</v>
      </c>
      <c r="W544" t="e">
        <f t="shared" ca="1" si="107"/>
        <v>#N/A</v>
      </c>
      <c r="X544" t="e">
        <f t="shared" ca="1" si="108"/>
        <v>#N/A</v>
      </c>
      <c r="Y544" t="e">
        <f t="shared" ca="1" si="109"/>
        <v>#N/A</v>
      </c>
      <c r="Z544" t="e">
        <f t="shared" ca="1" si="110"/>
        <v>#N/A</v>
      </c>
      <c r="AA544" s="85" t="e">
        <f ca="1"/>
        <v>#N/A</v>
      </c>
      <c r="AB544" s="57" t="e">
        <f t="shared" ca="1" si="111"/>
        <v>#N/A</v>
      </c>
      <c r="AC544" s="57" t="e">
        <f t="shared" ca="1" si="112"/>
        <v>#N/A</v>
      </c>
      <c r="AD544" s="57" t="e">
        <f t="shared" ca="1" si="113"/>
        <v>#N/A</v>
      </c>
      <c r="AE544" s="57" t="e">
        <f t="shared" ca="1" si="114"/>
        <v>#N/A</v>
      </c>
    </row>
    <row r="545" spans="18:31" x14ac:dyDescent="0.3">
      <c r="R545" s="57" t="e">
        <f ca="1"/>
        <v>#N/A</v>
      </c>
      <c r="S545" s="57" t="e">
        <f t="shared" ca="1" si="103"/>
        <v>#N/A</v>
      </c>
      <c r="T545" s="57" t="e">
        <f t="shared" ca="1" si="104"/>
        <v>#N/A</v>
      </c>
      <c r="U545" s="57" t="e">
        <f t="shared" ca="1" si="105"/>
        <v>#N/A</v>
      </c>
      <c r="V545" s="57" t="e">
        <f t="shared" ca="1" si="106"/>
        <v>#N/A</v>
      </c>
      <c r="W545" t="e">
        <f t="shared" ca="1" si="107"/>
        <v>#N/A</v>
      </c>
      <c r="X545" t="e">
        <f t="shared" ca="1" si="108"/>
        <v>#N/A</v>
      </c>
      <c r="Y545" t="e">
        <f t="shared" ca="1" si="109"/>
        <v>#N/A</v>
      </c>
      <c r="Z545" t="e">
        <f t="shared" ca="1" si="110"/>
        <v>#N/A</v>
      </c>
      <c r="AA545" s="85" t="e">
        <f ca="1"/>
        <v>#N/A</v>
      </c>
      <c r="AB545" s="57" t="e">
        <f t="shared" ca="1" si="111"/>
        <v>#N/A</v>
      </c>
      <c r="AC545" s="57" t="e">
        <f t="shared" ca="1" si="112"/>
        <v>#N/A</v>
      </c>
      <c r="AD545" s="57" t="e">
        <f t="shared" ca="1" si="113"/>
        <v>#N/A</v>
      </c>
      <c r="AE545" s="57" t="e">
        <f t="shared" ca="1" si="114"/>
        <v>#N/A</v>
      </c>
    </row>
    <row r="546" spans="18:31" x14ac:dyDescent="0.3">
      <c r="R546" s="57" t="e">
        <f ca="1"/>
        <v>#N/A</v>
      </c>
      <c r="S546" s="57" t="e">
        <f t="shared" ca="1" si="103"/>
        <v>#N/A</v>
      </c>
      <c r="T546" s="57" t="e">
        <f t="shared" ca="1" si="104"/>
        <v>#N/A</v>
      </c>
      <c r="U546" s="57" t="e">
        <f t="shared" ca="1" si="105"/>
        <v>#N/A</v>
      </c>
      <c r="V546" s="57" t="e">
        <f t="shared" ca="1" si="106"/>
        <v>#N/A</v>
      </c>
      <c r="W546" t="e">
        <f t="shared" ca="1" si="107"/>
        <v>#N/A</v>
      </c>
      <c r="X546" t="e">
        <f t="shared" ca="1" si="108"/>
        <v>#N/A</v>
      </c>
      <c r="Y546" t="e">
        <f t="shared" ca="1" si="109"/>
        <v>#N/A</v>
      </c>
      <c r="Z546" t="e">
        <f t="shared" ca="1" si="110"/>
        <v>#N/A</v>
      </c>
      <c r="AA546" s="85" t="e">
        <f ca="1"/>
        <v>#N/A</v>
      </c>
      <c r="AB546" s="57" t="e">
        <f t="shared" ca="1" si="111"/>
        <v>#N/A</v>
      </c>
      <c r="AC546" s="57" t="e">
        <f t="shared" ca="1" si="112"/>
        <v>#N/A</v>
      </c>
      <c r="AD546" s="57" t="e">
        <f t="shared" ca="1" si="113"/>
        <v>#N/A</v>
      </c>
      <c r="AE546" s="57" t="e">
        <f t="shared" ca="1" si="114"/>
        <v>#N/A</v>
      </c>
    </row>
    <row r="547" spans="18:31" x14ac:dyDescent="0.3">
      <c r="R547" s="57" t="e">
        <f ca="1"/>
        <v>#N/A</v>
      </c>
      <c r="S547" s="57" t="e">
        <f t="shared" ca="1" si="103"/>
        <v>#N/A</v>
      </c>
      <c r="T547" s="57" t="e">
        <f t="shared" ca="1" si="104"/>
        <v>#N/A</v>
      </c>
      <c r="U547" s="57" t="e">
        <f t="shared" ca="1" si="105"/>
        <v>#N/A</v>
      </c>
      <c r="V547" s="57" t="e">
        <f t="shared" ca="1" si="106"/>
        <v>#N/A</v>
      </c>
      <c r="W547" t="e">
        <f t="shared" ca="1" si="107"/>
        <v>#N/A</v>
      </c>
      <c r="X547" t="e">
        <f t="shared" ca="1" si="108"/>
        <v>#N/A</v>
      </c>
      <c r="Y547" t="e">
        <f t="shared" ca="1" si="109"/>
        <v>#N/A</v>
      </c>
      <c r="Z547" t="e">
        <f t="shared" ca="1" si="110"/>
        <v>#N/A</v>
      </c>
      <c r="AA547" s="85" t="e">
        <f ca="1"/>
        <v>#N/A</v>
      </c>
      <c r="AB547" s="57" t="e">
        <f t="shared" ca="1" si="111"/>
        <v>#N/A</v>
      </c>
      <c r="AC547" s="57" t="e">
        <f t="shared" ca="1" si="112"/>
        <v>#N/A</v>
      </c>
      <c r="AD547" s="57" t="e">
        <f t="shared" ca="1" si="113"/>
        <v>#N/A</v>
      </c>
      <c r="AE547" s="57" t="e">
        <f t="shared" ca="1" si="114"/>
        <v>#N/A</v>
      </c>
    </row>
    <row r="548" spans="18:31" x14ac:dyDescent="0.3">
      <c r="R548" s="57" t="e">
        <f ca="1"/>
        <v>#N/A</v>
      </c>
      <c r="S548" s="57" t="e">
        <f t="shared" ca="1" si="103"/>
        <v>#N/A</v>
      </c>
      <c r="T548" s="57" t="e">
        <f t="shared" ca="1" si="104"/>
        <v>#N/A</v>
      </c>
      <c r="U548" s="57" t="e">
        <f t="shared" ca="1" si="105"/>
        <v>#N/A</v>
      </c>
      <c r="V548" s="57" t="e">
        <f t="shared" ca="1" si="106"/>
        <v>#N/A</v>
      </c>
      <c r="W548" t="e">
        <f t="shared" ca="1" si="107"/>
        <v>#N/A</v>
      </c>
      <c r="X548" t="e">
        <f t="shared" ca="1" si="108"/>
        <v>#N/A</v>
      </c>
      <c r="Y548" t="e">
        <f t="shared" ca="1" si="109"/>
        <v>#N/A</v>
      </c>
      <c r="Z548" t="e">
        <f t="shared" ca="1" si="110"/>
        <v>#N/A</v>
      </c>
      <c r="AA548" s="85" t="e">
        <f ca="1"/>
        <v>#N/A</v>
      </c>
      <c r="AB548" s="57" t="e">
        <f t="shared" ca="1" si="111"/>
        <v>#N/A</v>
      </c>
      <c r="AC548" s="57" t="e">
        <f t="shared" ca="1" si="112"/>
        <v>#N/A</v>
      </c>
      <c r="AD548" s="57" t="e">
        <f t="shared" ca="1" si="113"/>
        <v>#N/A</v>
      </c>
      <c r="AE548" s="57" t="e">
        <f t="shared" ca="1" si="114"/>
        <v>#N/A</v>
      </c>
    </row>
    <row r="549" spans="18:31" x14ac:dyDescent="0.3">
      <c r="R549" s="57" t="e">
        <f ca="1"/>
        <v>#N/A</v>
      </c>
      <c r="S549" s="57" t="e">
        <f t="shared" ca="1" si="103"/>
        <v>#N/A</v>
      </c>
      <c r="T549" s="57" t="e">
        <f t="shared" ca="1" si="104"/>
        <v>#N/A</v>
      </c>
      <c r="U549" s="57" t="e">
        <f t="shared" ca="1" si="105"/>
        <v>#N/A</v>
      </c>
      <c r="V549" s="57" t="e">
        <f t="shared" ca="1" si="106"/>
        <v>#N/A</v>
      </c>
      <c r="W549" t="e">
        <f t="shared" ca="1" si="107"/>
        <v>#N/A</v>
      </c>
      <c r="X549" t="e">
        <f t="shared" ca="1" si="108"/>
        <v>#N/A</v>
      </c>
      <c r="Y549" t="e">
        <f t="shared" ca="1" si="109"/>
        <v>#N/A</v>
      </c>
      <c r="Z549" t="e">
        <f t="shared" ca="1" si="110"/>
        <v>#N/A</v>
      </c>
      <c r="AA549" s="85" t="e">
        <f ca="1"/>
        <v>#N/A</v>
      </c>
      <c r="AB549" s="57" t="e">
        <f t="shared" ca="1" si="111"/>
        <v>#N/A</v>
      </c>
      <c r="AC549" s="57" t="e">
        <f t="shared" ca="1" si="112"/>
        <v>#N/A</v>
      </c>
      <c r="AD549" s="57" t="e">
        <f t="shared" ca="1" si="113"/>
        <v>#N/A</v>
      </c>
      <c r="AE549" s="57" t="e">
        <f t="shared" ca="1" si="114"/>
        <v>#N/A</v>
      </c>
    </row>
    <row r="550" spans="18:31" x14ac:dyDescent="0.3">
      <c r="R550" s="57" t="e">
        <f ca="1"/>
        <v>#N/A</v>
      </c>
      <c r="S550" s="57" t="e">
        <f t="shared" ca="1" si="103"/>
        <v>#N/A</v>
      </c>
      <c r="T550" s="57" t="e">
        <f t="shared" ca="1" si="104"/>
        <v>#N/A</v>
      </c>
      <c r="U550" s="57" t="e">
        <f t="shared" ca="1" si="105"/>
        <v>#N/A</v>
      </c>
      <c r="V550" s="57" t="e">
        <f t="shared" ca="1" si="106"/>
        <v>#N/A</v>
      </c>
      <c r="W550" t="e">
        <f t="shared" ca="1" si="107"/>
        <v>#N/A</v>
      </c>
      <c r="X550" t="e">
        <f t="shared" ca="1" si="108"/>
        <v>#N/A</v>
      </c>
      <c r="Y550" t="e">
        <f t="shared" ca="1" si="109"/>
        <v>#N/A</v>
      </c>
      <c r="Z550" t="e">
        <f t="shared" ca="1" si="110"/>
        <v>#N/A</v>
      </c>
      <c r="AA550" s="85" t="e">
        <f ca="1"/>
        <v>#N/A</v>
      </c>
      <c r="AB550" s="57" t="e">
        <f t="shared" ca="1" si="111"/>
        <v>#N/A</v>
      </c>
      <c r="AC550" s="57" t="e">
        <f t="shared" ca="1" si="112"/>
        <v>#N/A</v>
      </c>
      <c r="AD550" s="57" t="e">
        <f t="shared" ca="1" si="113"/>
        <v>#N/A</v>
      </c>
      <c r="AE550" s="57" t="e">
        <f t="shared" ca="1" si="114"/>
        <v>#N/A</v>
      </c>
    </row>
    <row r="551" spans="18:31" x14ac:dyDescent="0.3">
      <c r="R551" s="57" t="e">
        <f ca="1"/>
        <v>#N/A</v>
      </c>
      <c r="S551" s="57" t="e">
        <f t="shared" ca="1" si="103"/>
        <v>#N/A</v>
      </c>
      <c r="T551" s="57" t="e">
        <f t="shared" ca="1" si="104"/>
        <v>#N/A</v>
      </c>
      <c r="U551" s="57" t="e">
        <f t="shared" ca="1" si="105"/>
        <v>#N/A</v>
      </c>
      <c r="V551" s="57" t="e">
        <f t="shared" ca="1" si="106"/>
        <v>#N/A</v>
      </c>
      <c r="W551" t="e">
        <f t="shared" ca="1" si="107"/>
        <v>#N/A</v>
      </c>
      <c r="X551" t="e">
        <f t="shared" ca="1" si="108"/>
        <v>#N/A</v>
      </c>
      <c r="Y551" t="e">
        <f t="shared" ca="1" si="109"/>
        <v>#N/A</v>
      </c>
      <c r="Z551" t="e">
        <f t="shared" ca="1" si="110"/>
        <v>#N/A</v>
      </c>
      <c r="AA551" s="85" t="e">
        <f ca="1"/>
        <v>#N/A</v>
      </c>
      <c r="AB551" s="57" t="e">
        <f t="shared" ca="1" si="111"/>
        <v>#N/A</v>
      </c>
      <c r="AC551" s="57" t="e">
        <f t="shared" ca="1" si="112"/>
        <v>#N/A</v>
      </c>
      <c r="AD551" s="57" t="e">
        <f t="shared" ca="1" si="113"/>
        <v>#N/A</v>
      </c>
      <c r="AE551" s="57" t="e">
        <f t="shared" ca="1" si="114"/>
        <v>#N/A</v>
      </c>
    </row>
    <row r="552" spans="18:31" x14ac:dyDescent="0.3">
      <c r="R552" s="57" t="e">
        <f ca="1"/>
        <v>#N/A</v>
      </c>
      <c r="S552" s="57" t="e">
        <f t="shared" ca="1" si="103"/>
        <v>#N/A</v>
      </c>
      <c r="T552" s="57" t="e">
        <f t="shared" ca="1" si="104"/>
        <v>#N/A</v>
      </c>
      <c r="U552" s="57" t="e">
        <f t="shared" ca="1" si="105"/>
        <v>#N/A</v>
      </c>
      <c r="V552" s="57" t="e">
        <f t="shared" ca="1" si="106"/>
        <v>#N/A</v>
      </c>
      <c r="W552" t="e">
        <f t="shared" ca="1" si="107"/>
        <v>#N/A</v>
      </c>
      <c r="X552" t="e">
        <f t="shared" ca="1" si="108"/>
        <v>#N/A</v>
      </c>
      <c r="Y552" t="e">
        <f t="shared" ca="1" si="109"/>
        <v>#N/A</v>
      </c>
      <c r="Z552" t="e">
        <f t="shared" ca="1" si="110"/>
        <v>#N/A</v>
      </c>
      <c r="AA552" s="85" t="e">
        <f ca="1"/>
        <v>#N/A</v>
      </c>
      <c r="AB552" s="57" t="e">
        <f t="shared" ca="1" si="111"/>
        <v>#N/A</v>
      </c>
      <c r="AC552" s="57" t="e">
        <f t="shared" ca="1" si="112"/>
        <v>#N/A</v>
      </c>
      <c r="AD552" s="57" t="e">
        <f t="shared" ca="1" si="113"/>
        <v>#N/A</v>
      </c>
      <c r="AE552" s="57" t="e">
        <f t="shared" ca="1" si="114"/>
        <v>#N/A</v>
      </c>
    </row>
    <row r="553" spans="18:31" x14ac:dyDescent="0.3">
      <c r="R553" s="57" t="e">
        <f ca="1"/>
        <v>#N/A</v>
      </c>
      <c r="S553" s="57" t="e">
        <f t="shared" ca="1" si="103"/>
        <v>#N/A</v>
      </c>
      <c r="T553" s="57" t="e">
        <f t="shared" ca="1" si="104"/>
        <v>#N/A</v>
      </c>
      <c r="U553" s="57" t="e">
        <f t="shared" ca="1" si="105"/>
        <v>#N/A</v>
      </c>
      <c r="V553" s="57" t="e">
        <f t="shared" ca="1" si="106"/>
        <v>#N/A</v>
      </c>
      <c r="W553" t="e">
        <f t="shared" ca="1" si="107"/>
        <v>#N/A</v>
      </c>
      <c r="X553" t="e">
        <f t="shared" ca="1" si="108"/>
        <v>#N/A</v>
      </c>
      <c r="Y553" t="e">
        <f t="shared" ca="1" si="109"/>
        <v>#N/A</v>
      </c>
      <c r="Z553" t="e">
        <f t="shared" ca="1" si="110"/>
        <v>#N/A</v>
      </c>
      <c r="AA553" s="85" t="e">
        <f ca="1"/>
        <v>#N/A</v>
      </c>
      <c r="AB553" s="57" t="e">
        <f t="shared" ca="1" si="111"/>
        <v>#N/A</v>
      </c>
      <c r="AC553" s="57" t="e">
        <f t="shared" ca="1" si="112"/>
        <v>#N/A</v>
      </c>
      <c r="AD553" s="57" t="e">
        <f t="shared" ca="1" si="113"/>
        <v>#N/A</v>
      </c>
      <c r="AE553" s="57" t="e">
        <f t="shared" ca="1" si="114"/>
        <v>#N/A</v>
      </c>
    </row>
    <row r="554" spans="18:31" x14ac:dyDescent="0.3">
      <c r="R554" s="57" t="e">
        <f ca="1"/>
        <v>#N/A</v>
      </c>
      <c r="S554" s="57" t="e">
        <f t="shared" ca="1" si="103"/>
        <v>#N/A</v>
      </c>
      <c r="T554" s="57" t="e">
        <f t="shared" ca="1" si="104"/>
        <v>#N/A</v>
      </c>
      <c r="U554" s="57" t="e">
        <f t="shared" ca="1" si="105"/>
        <v>#N/A</v>
      </c>
      <c r="V554" s="57" t="e">
        <f t="shared" ca="1" si="106"/>
        <v>#N/A</v>
      </c>
      <c r="W554" t="e">
        <f t="shared" ca="1" si="107"/>
        <v>#N/A</v>
      </c>
      <c r="X554" t="e">
        <f t="shared" ca="1" si="108"/>
        <v>#N/A</v>
      </c>
      <c r="Y554" t="e">
        <f t="shared" ca="1" si="109"/>
        <v>#N/A</v>
      </c>
      <c r="Z554" t="e">
        <f t="shared" ca="1" si="110"/>
        <v>#N/A</v>
      </c>
      <c r="AA554" s="85" t="e">
        <f ca="1"/>
        <v>#N/A</v>
      </c>
      <c r="AB554" s="57" t="e">
        <f t="shared" ca="1" si="111"/>
        <v>#N/A</v>
      </c>
      <c r="AC554" s="57" t="e">
        <f t="shared" ca="1" si="112"/>
        <v>#N/A</v>
      </c>
      <c r="AD554" s="57" t="e">
        <f t="shared" ca="1" si="113"/>
        <v>#N/A</v>
      </c>
      <c r="AE554" s="57" t="e">
        <f t="shared" ca="1" si="114"/>
        <v>#N/A</v>
      </c>
    </row>
    <row r="555" spans="18:31" x14ac:dyDescent="0.3">
      <c r="R555" s="57" t="e">
        <f ca="1"/>
        <v>#N/A</v>
      </c>
      <c r="S555" s="57" t="e">
        <f t="shared" ca="1" si="103"/>
        <v>#N/A</v>
      </c>
      <c r="T555" s="57" t="e">
        <f t="shared" ca="1" si="104"/>
        <v>#N/A</v>
      </c>
      <c r="U555" s="57" t="e">
        <f t="shared" ca="1" si="105"/>
        <v>#N/A</v>
      </c>
      <c r="V555" s="57" t="e">
        <f t="shared" ca="1" si="106"/>
        <v>#N/A</v>
      </c>
      <c r="W555" t="e">
        <f t="shared" ca="1" si="107"/>
        <v>#N/A</v>
      </c>
      <c r="X555" t="e">
        <f t="shared" ca="1" si="108"/>
        <v>#N/A</v>
      </c>
      <c r="Y555" t="e">
        <f t="shared" ca="1" si="109"/>
        <v>#N/A</v>
      </c>
      <c r="Z555" t="e">
        <f t="shared" ca="1" si="110"/>
        <v>#N/A</v>
      </c>
      <c r="AA555" s="85" t="e">
        <f ca="1"/>
        <v>#N/A</v>
      </c>
      <c r="AB555" s="57" t="e">
        <f t="shared" ca="1" si="111"/>
        <v>#N/A</v>
      </c>
      <c r="AC555" s="57" t="e">
        <f t="shared" ca="1" si="112"/>
        <v>#N/A</v>
      </c>
      <c r="AD555" s="57" t="e">
        <f t="shared" ca="1" si="113"/>
        <v>#N/A</v>
      </c>
      <c r="AE555" s="57" t="e">
        <f t="shared" ca="1" si="114"/>
        <v>#N/A</v>
      </c>
    </row>
    <row r="556" spans="18:31" x14ac:dyDescent="0.3">
      <c r="R556" s="57" t="e">
        <f ca="1"/>
        <v>#N/A</v>
      </c>
      <c r="S556" s="57" t="e">
        <f t="shared" ca="1" si="103"/>
        <v>#N/A</v>
      </c>
      <c r="T556" s="57" t="e">
        <f t="shared" ca="1" si="104"/>
        <v>#N/A</v>
      </c>
      <c r="U556" s="57" t="e">
        <f t="shared" ca="1" si="105"/>
        <v>#N/A</v>
      </c>
      <c r="V556" s="57" t="e">
        <f t="shared" ca="1" si="106"/>
        <v>#N/A</v>
      </c>
      <c r="W556" t="e">
        <f t="shared" ca="1" si="107"/>
        <v>#N/A</v>
      </c>
      <c r="X556" t="e">
        <f t="shared" ca="1" si="108"/>
        <v>#N/A</v>
      </c>
      <c r="Y556" t="e">
        <f t="shared" ca="1" si="109"/>
        <v>#N/A</v>
      </c>
      <c r="Z556" t="e">
        <f t="shared" ca="1" si="110"/>
        <v>#N/A</v>
      </c>
      <c r="AA556" s="85" t="e">
        <f ca="1"/>
        <v>#N/A</v>
      </c>
      <c r="AB556" s="57" t="e">
        <f t="shared" ca="1" si="111"/>
        <v>#N/A</v>
      </c>
      <c r="AC556" s="57" t="e">
        <f t="shared" ca="1" si="112"/>
        <v>#N/A</v>
      </c>
      <c r="AD556" s="57" t="e">
        <f t="shared" ca="1" si="113"/>
        <v>#N/A</v>
      </c>
      <c r="AE556" s="57" t="e">
        <f t="shared" ca="1" si="114"/>
        <v>#N/A</v>
      </c>
    </row>
    <row r="557" spans="18:31" x14ac:dyDescent="0.3">
      <c r="R557" s="57" t="e">
        <f ca="1"/>
        <v>#N/A</v>
      </c>
      <c r="S557" s="57" t="e">
        <f t="shared" ca="1" si="103"/>
        <v>#N/A</v>
      </c>
      <c r="T557" s="57" t="e">
        <f t="shared" ca="1" si="104"/>
        <v>#N/A</v>
      </c>
      <c r="U557" s="57" t="e">
        <f t="shared" ca="1" si="105"/>
        <v>#N/A</v>
      </c>
      <c r="V557" s="57" t="e">
        <f t="shared" ca="1" si="106"/>
        <v>#N/A</v>
      </c>
      <c r="W557" t="e">
        <f t="shared" ca="1" si="107"/>
        <v>#N/A</v>
      </c>
      <c r="X557" t="e">
        <f t="shared" ca="1" si="108"/>
        <v>#N/A</v>
      </c>
      <c r="Y557" t="e">
        <f t="shared" ca="1" si="109"/>
        <v>#N/A</v>
      </c>
      <c r="Z557" t="e">
        <f t="shared" ca="1" si="110"/>
        <v>#N/A</v>
      </c>
      <c r="AA557" s="85" t="e">
        <f ca="1"/>
        <v>#N/A</v>
      </c>
      <c r="AB557" s="57" t="e">
        <f t="shared" ca="1" si="111"/>
        <v>#N/A</v>
      </c>
      <c r="AC557" s="57" t="e">
        <f t="shared" ca="1" si="112"/>
        <v>#N/A</v>
      </c>
      <c r="AD557" s="57" t="e">
        <f t="shared" ca="1" si="113"/>
        <v>#N/A</v>
      </c>
      <c r="AE557" s="57" t="e">
        <f t="shared" ca="1" si="114"/>
        <v>#N/A</v>
      </c>
    </row>
    <row r="558" spans="18:31" x14ac:dyDescent="0.3">
      <c r="R558" s="57" t="e">
        <f ca="1"/>
        <v>#N/A</v>
      </c>
      <c r="S558" s="57" t="e">
        <f t="shared" ca="1" si="103"/>
        <v>#N/A</v>
      </c>
      <c r="T558" s="57" t="e">
        <f t="shared" ca="1" si="104"/>
        <v>#N/A</v>
      </c>
      <c r="U558" s="57" t="e">
        <f t="shared" ca="1" si="105"/>
        <v>#N/A</v>
      </c>
      <c r="V558" s="57" t="e">
        <f t="shared" ca="1" si="106"/>
        <v>#N/A</v>
      </c>
      <c r="W558" t="e">
        <f t="shared" ca="1" si="107"/>
        <v>#N/A</v>
      </c>
      <c r="X558" t="e">
        <f t="shared" ca="1" si="108"/>
        <v>#N/A</v>
      </c>
      <c r="Y558" t="e">
        <f t="shared" ca="1" si="109"/>
        <v>#N/A</v>
      </c>
      <c r="Z558" t="e">
        <f t="shared" ca="1" si="110"/>
        <v>#N/A</v>
      </c>
      <c r="AA558" s="85" t="e">
        <f ca="1"/>
        <v>#N/A</v>
      </c>
      <c r="AB558" s="57" t="e">
        <f t="shared" ca="1" si="111"/>
        <v>#N/A</v>
      </c>
      <c r="AC558" s="57" t="e">
        <f t="shared" ca="1" si="112"/>
        <v>#N/A</v>
      </c>
      <c r="AD558" s="57" t="e">
        <f t="shared" ca="1" si="113"/>
        <v>#N/A</v>
      </c>
      <c r="AE558" s="57" t="e">
        <f t="shared" ca="1" si="114"/>
        <v>#N/A</v>
      </c>
    </row>
    <row r="559" spans="18:31" x14ac:dyDescent="0.3">
      <c r="R559" s="57" t="e">
        <f ca="1"/>
        <v>#N/A</v>
      </c>
      <c r="S559" s="57" t="e">
        <f t="shared" ca="1" si="103"/>
        <v>#N/A</v>
      </c>
      <c r="T559" s="57" t="e">
        <f t="shared" ca="1" si="104"/>
        <v>#N/A</v>
      </c>
      <c r="U559" s="57" t="e">
        <f t="shared" ca="1" si="105"/>
        <v>#N/A</v>
      </c>
      <c r="V559" s="57" t="e">
        <f t="shared" ca="1" si="106"/>
        <v>#N/A</v>
      </c>
      <c r="W559" t="e">
        <f t="shared" ca="1" si="107"/>
        <v>#N/A</v>
      </c>
      <c r="X559" t="e">
        <f t="shared" ca="1" si="108"/>
        <v>#N/A</v>
      </c>
      <c r="Y559" t="e">
        <f t="shared" ca="1" si="109"/>
        <v>#N/A</v>
      </c>
      <c r="Z559" t="e">
        <f t="shared" ca="1" si="110"/>
        <v>#N/A</v>
      </c>
      <c r="AA559" s="85" t="e">
        <f ca="1"/>
        <v>#N/A</v>
      </c>
      <c r="AB559" s="57" t="e">
        <f t="shared" ca="1" si="111"/>
        <v>#N/A</v>
      </c>
      <c r="AC559" s="57" t="e">
        <f t="shared" ca="1" si="112"/>
        <v>#N/A</v>
      </c>
      <c r="AD559" s="57" t="e">
        <f t="shared" ca="1" si="113"/>
        <v>#N/A</v>
      </c>
      <c r="AE559" s="57" t="e">
        <f t="shared" ca="1" si="114"/>
        <v>#N/A</v>
      </c>
    </row>
    <row r="560" spans="18:31" x14ac:dyDescent="0.3">
      <c r="R560" s="57" t="e">
        <f ca="1"/>
        <v>#N/A</v>
      </c>
      <c r="S560" s="57" t="e">
        <f t="shared" ca="1" si="103"/>
        <v>#N/A</v>
      </c>
      <c r="T560" s="57" t="e">
        <f t="shared" ca="1" si="104"/>
        <v>#N/A</v>
      </c>
      <c r="U560" s="57" t="e">
        <f t="shared" ca="1" si="105"/>
        <v>#N/A</v>
      </c>
      <c r="V560" s="57" t="e">
        <f t="shared" ca="1" si="106"/>
        <v>#N/A</v>
      </c>
      <c r="W560" t="e">
        <f t="shared" ca="1" si="107"/>
        <v>#N/A</v>
      </c>
      <c r="X560" t="e">
        <f t="shared" ca="1" si="108"/>
        <v>#N/A</v>
      </c>
      <c r="Y560" t="e">
        <f t="shared" ca="1" si="109"/>
        <v>#N/A</v>
      </c>
      <c r="Z560" t="e">
        <f t="shared" ca="1" si="110"/>
        <v>#N/A</v>
      </c>
      <c r="AA560" s="85" t="e">
        <f ca="1"/>
        <v>#N/A</v>
      </c>
      <c r="AB560" s="57" t="e">
        <f t="shared" ca="1" si="111"/>
        <v>#N/A</v>
      </c>
      <c r="AC560" s="57" t="e">
        <f t="shared" ca="1" si="112"/>
        <v>#N/A</v>
      </c>
      <c r="AD560" s="57" t="e">
        <f t="shared" ca="1" si="113"/>
        <v>#N/A</v>
      </c>
      <c r="AE560" s="57" t="e">
        <f t="shared" ca="1" si="114"/>
        <v>#N/A</v>
      </c>
    </row>
    <row r="561" spans="18:31" x14ac:dyDescent="0.3">
      <c r="R561" s="57" t="e">
        <f ca="1"/>
        <v>#N/A</v>
      </c>
      <c r="S561" s="57" t="e">
        <f t="shared" ca="1" si="103"/>
        <v>#N/A</v>
      </c>
      <c r="T561" s="57" t="e">
        <f t="shared" ca="1" si="104"/>
        <v>#N/A</v>
      </c>
      <c r="U561" s="57" t="e">
        <f t="shared" ca="1" si="105"/>
        <v>#N/A</v>
      </c>
      <c r="V561" s="57" t="e">
        <f t="shared" ca="1" si="106"/>
        <v>#N/A</v>
      </c>
      <c r="W561" t="e">
        <f t="shared" ca="1" si="107"/>
        <v>#N/A</v>
      </c>
      <c r="X561" t="e">
        <f t="shared" ca="1" si="108"/>
        <v>#N/A</v>
      </c>
      <c r="Y561" t="e">
        <f t="shared" ca="1" si="109"/>
        <v>#N/A</v>
      </c>
      <c r="Z561" t="e">
        <f t="shared" ca="1" si="110"/>
        <v>#N/A</v>
      </c>
      <c r="AA561" s="85" t="e">
        <f ca="1"/>
        <v>#N/A</v>
      </c>
      <c r="AB561" s="57" t="e">
        <f t="shared" ca="1" si="111"/>
        <v>#N/A</v>
      </c>
      <c r="AC561" s="57" t="e">
        <f t="shared" ca="1" si="112"/>
        <v>#N/A</v>
      </c>
      <c r="AD561" s="57" t="e">
        <f t="shared" ca="1" si="113"/>
        <v>#N/A</v>
      </c>
      <c r="AE561" s="57" t="e">
        <f t="shared" ca="1" si="114"/>
        <v>#N/A</v>
      </c>
    </row>
    <row r="562" spans="18:31" x14ac:dyDescent="0.3">
      <c r="R562" s="57" t="e">
        <f ca="1"/>
        <v>#N/A</v>
      </c>
      <c r="S562" s="57" t="e">
        <f t="shared" ca="1" si="103"/>
        <v>#N/A</v>
      </c>
      <c r="T562" s="57" t="e">
        <f t="shared" ca="1" si="104"/>
        <v>#N/A</v>
      </c>
      <c r="U562" s="57" t="e">
        <f t="shared" ca="1" si="105"/>
        <v>#N/A</v>
      </c>
      <c r="V562" s="57" t="e">
        <f t="shared" ca="1" si="106"/>
        <v>#N/A</v>
      </c>
      <c r="W562" t="e">
        <f t="shared" ca="1" si="107"/>
        <v>#N/A</v>
      </c>
      <c r="X562" t="e">
        <f t="shared" ca="1" si="108"/>
        <v>#N/A</v>
      </c>
      <c r="Y562" t="e">
        <f t="shared" ca="1" si="109"/>
        <v>#N/A</v>
      </c>
      <c r="Z562" t="e">
        <f t="shared" ca="1" si="110"/>
        <v>#N/A</v>
      </c>
      <c r="AA562" s="85" t="e">
        <f ca="1"/>
        <v>#N/A</v>
      </c>
      <c r="AB562" s="57" t="e">
        <f t="shared" ca="1" si="111"/>
        <v>#N/A</v>
      </c>
      <c r="AC562" s="57" t="e">
        <f t="shared" ca="1" si="112"/>
        <v>#N/A</v>
      </c>
      <c r="AD562" s="57" t="e">
        <f t="shared" ca="1" si="113"/>
        <v>#N/A</v>
      </c>
      <c r="AE562" s="57" t="e">
        <f t="shared" ca="1" si="114"/>
        <v>#N/A</v>
      </c>
    </row>
    <row r="563" spans="18:31" x14ac:dyDescent="0.3">
      <c r="R563" s="57" t="e">
        <f ca="1"/>
        <v>#N/A</v>
      </c>
      <c r="S563" s="57" t="e">
        <f t="shared" ca="1" si="103"/>
        <v>#N/A</v>
      </c>
      <c r="T563" s="57" t="e">
        <f t="shared" ca="1" si="104"/>
        <v>#N/A</v>
      </c>
      <c r="U563" s="57" t="e">
        <f t="shared" ca="1" si="105"/>
        <v>#N/A</v>
      </c>
      <c r="V563" s="57" t="e">
        <f t="shared" ca="1" si="106"/>
        <v>#N/A</v>
      </c>
      <c r="W563" t="e">
        <f t="shared" ca="1" si="107"/>
        <v>#N/A</v>
      </c>
      <c r="X563" t="e">
        <f t="shared" ca="1" si="108"/>
        <v>#N/A</v>
      </c>
      <c r="Y563" t="e">
        <f t="shared" ca="1" si="109"/>
        <v>#N/A</v>
      </c>
      <c r="Z563" t="e">
        <f t="shared" ca="1" si="110"/>
        <v>#N/A</v>
      </c>
      <c r="AA563" s="85" t="e">
        <f ca="1"/>
        <v>#N/A</v>
      </c>
      <c r="AB563" s="57" t="e">
        <f t="shared" ca="1" si="111"/>
        <v>#N/A</v>
      </c>
      <c r="AC563" s="57" t="e">
        <f t="shared" ca="1" si="112"/>
        <v>#N/A</v>
      </c>
      <c r="AD563" s="57" t="e">
        <f t="shared" ca="1" si="113"/>
        <v>#N/A</v>
      </c>
      <c r="AE563" s="57" t="e">
        <f t="shared" ca="1" si="114"/>
        <v>#N/A</v>
      </c>
    </row>
    <row r="564" spans="18:31" x14ac:dyDescent="0.3">
      <c r="R564" s="57" t="e">
        <f ca="1"/>
        <v>#N/A</v>
      </c>
      <c r="S564" s="57" t="e">
        <f t="shared" ca="1" si="103"/>
        <v>#N/A</v>
      </c>
      <c r="T564" s="57" t="e">
        <f t="shared" ca="1" si="104"/>
        <v>#N/A</v>
      </c>
      <c r="U564" s="57" t="e">
        <f t="shared" ca="1" si="105"/>
        <v>#N/A</v>
      </c>
      <c r="V564" s="57" t="e">
        <f t="shared" ca="1" si="106"/>
        <v>#N/A</v>
      </c>
      <c r="W564" t="e">
        <f t="shared" ca="1" si="107"/>
        <v>#N/A</v>
      </c>
      <c r="X564" t="e">
        <f t="shared" ca="1" si="108"/>
        <v>#N/A</v>
      </c>
      <c r="Y564" t="e">
        <f t="shared" ca="1" si="109"/>
        <v>#N/A</v>
      </c>
      <c r="Z564" t="e">
        <f t="shared" ca="1" si="110"/>
        <v>#N/A</v>
      </c>
      <c r="AA564" s="85" t="e">
        <f ca="1"/>
        <v>#N/A</v>
      </c>
      <c r="AB564" s="57" t="e">
        <f t="shared" ca="1" si="111"/>
        <v>#N/A</v>
      </c>
      <c r="AC564" s="57" t="e">
        <f t="shared" ca="1" si="112"/>
        <v>#N/A</v>
      </c>
      <c r="AD564" s="57" t="e">
        <f t="shared" ca="1" si="113"/>
        <v>#N/A</v>
      </c>
      <c r="AE564" s="57" t="e">
        <f t="shared" ca="1" si="114"/>
        <v>#N/A</v>
      </c>
    </row>
    <row r="565" spans="18:31" x14ac:dyDescent="0.3">
      <c r="R565" s="57" t="e">
        <f ca="1"/>
        <v>#N/A</v>
      </c>
      <c r="S565" s="57" t="e">
        <f t="shared" ca="1" si="103"/>
        <v>#N/A</v>
      </c>
      <c r="T565" s="57" t="e">
        <f t="shared" ca="1" si="104"/>
        <v>#N/A</v>
      </c>
      <c r="U565" s="57" t="e">
        <f t="shared" ca="1" si="105"/>
        <v>#N/A</v>
      </c>
      <c r="V565" s="57" t="e">
        <f t="shared" ca="1" si="106"/>
        <v>#N/A</v>
      </c>
      <c r="W565" t="e">
        <f t="shared" ca="1" si="107"/>
        <v>#N/A</v>
      </c>
      <c r="X565" t="e">
        <f t="shared" ca="1" si="108"/>
        <v>#N/A</v>
      </c>
      <c r="Y565" t="e">
        <f t="shared" ca="1" si="109"/>
        <v>#N/A</v>
      </c>
      <c r="Z565" t="e">
        <f t="shared" ca="1" si="110"/>
        <v>#N/A</v>
      </c>
      <c r="AA565" s="85" t="e">
        <f ca="1"/>
        <v>#N/A</v>
      </c>
      <c r="AB565" s="57" t="e">
        <f t="shared" ca="1" si="111"/>
        <v>#N/A</v>
      </c>
      <c r="AC565" s="57" t="e">
        <f t="shared" ca="1" si="112"/>
        <v>#N/A</v>
      </c>
      <c r="AD565" s="57" t="e">
        <f t="shared" ca="1" si="113"/>
        <v>#N/A</v>
      </c>
      <c r="AE565" s="57" t="e">
        <f t="shared" ca="1" si="114"/>
        <v>#N/A</v>
      </c>
    </row>
    <row r="566" spans="18:31" x14ac:dyDescent="0.3">
      <c r="R566" s="57" t="e">
        <f ca="1"/>
        <v>#N/A</v>
      </c>
      <c r="S566" s="57" t="e">
        <f t="shared" ca="1" si="103"/>
        <v>#N/A</v>
      </c>
      <c r="T566" s="57" t="e">
        <f t="shared" ca="1" si="104"/>
        <v>#N/A</v>
      </c>
      <c r="U566" s="57" t="e">
        <f t="shared" ca="1" si="105"/>
        <v>#N/A</v>
      </c>
      <c r="V566" s="57" t="e">
        <f t="shared" ca="1" si="106"/>
        <v>#N/A</v>
      </c>
      <c r="W566" t="e">
        <f t="shared" ca="1" si="107"/>
        <v>#N/A</v>
      </c>
      <c r="X566" t="e">
        <f t="shared" ca="1" si="108"/>
        <v>#N/A</v>
      </c>
      <c r="Y566" t="e">
        <f t="shared" ca="1" si="109"/>
        <v>#N/A</v>
      </c>
      <c r="Z566" t="e">
        <f t="shared" ca="1" si="110"/>
        <v>#N/A</v>
      </c>
      <c r="AA566" s="85" t="e">
        <f ca="1"/>
        <v>#N/A</v>
      </c>
      <c r="AB566" s="57" t="e">
        <f t="shared" ca="1" si="111"/>
        <v>#N/A</v>
      </c>
      <c r="AC566" s="57" t="e">
        <f t="shared" ca="1" si="112"/>
        <v>#N/A</v>
      </c>
      <c r="AD566" s="57" t="e">
        <f t="shared" ca="1" si="113"/>
        <v>#N/A</v>
      </c>
      <c r="AE566" s="57" t="e">
        <f t="shared" ca="1" si="114"/>
        <v>#N/A</v>
      </c>
    </row>
    <row r="567" spans="18:31" x14ac:dyDescent="0.3">
      <c r="R567" s="57" t="e">
        <f ca="1"/>
        <v>#N/A</v>
      </c>
      <c r="S567" s="57" t="e">
        <f t="shared" ca="1" si="103"/>
        <v>#N/A</v>
      </c>
      <c r="T567" s="57" t="e">
        <f t="shared" ca="1" si="104"/>
        <v>#N/A</v>
      </c>
      <c r="U567" s="57" t="e">
        <f t="shared" ca="1" si="105"/>
        <v>#N/A</v>
      </c>
      <c r="V567" s="57" t="e">
        <f t="shared" ca="1" si="106"/>
        <v>#N/A</v>
      </c>
      <c r="W567" t="e">
        <f t="shared" ca="1" si="107"/>
        <v>#N/A</v>
      </c>
      <c r="X567" t="e">
        <f t="shared" ca="1" si="108"/>
        <v>#N/A</v>
      </c>
      <c r="Y567" t="e">
        <f t="shared" ca="1" si="109"/>
        <v>#N/A</v>
      </c>
      <c r="Z567" t="e">
        <f t="shared" ca="1" si="110"/>
        <v>#N/A</v>
      </c>
      <c r="AA567" s="85" t="e">
        <f ca="1"/>
        <v>#N/A</v>
      </c>
      <c r="AB567" s="57" t="e">
        <f t="shared" ca="1" si="111"/>
        <v>#N/A</v>
      </c>
      <c r="AC567" s="57" t="e">
        <f t="shared" ca="1" si="112"/>
        <v>#N/A</v>
      </c>
      <c r="AD567" s="57" t="e">
        <f t="shared" ca="1" si="113"/>
        <v>#N/A</v>
      </c>
      <c r="AE567" s="57" t="e">
        <f t="shared" ca="1" si="114"/>
        <v>#N/A</v>
      </c>
    </row>
    <row r="568" spans="18:31" x14ac:dyDescent="0.3">
      <c r="R568" s="57" t="e">
        <f ca="1"/>
        <v>#N/A</v>
      </c>
      <c r="S568" s="57" t="e">
        <f t="shared" ca="1" si="103"/>
        <v>#N/A</v>
      </c>
      <c r="T568" s="57" t="e">
        <f t="shared" ca="1" si="104"/>
        <v>#N/A</v>
      </c>
      <c r="U568" s="57" t="e">
        <f t="shared" ca="1" si="105"/>
        <v>#N/A</v>
      </c>
      <c r="V568" s="57" t="e">
        <f t="shared" ca="1" si="106"/>
        <v>#N/A</v>
      </c>
      <c r="W568" t="e">
        <f t="shared" ca="1" si="107"/>
        <v>#N/A</v>
      </c>
      <c r="X568" t="e">
        <f t="shared" ca="1" si="108"/>
        <v>#N/A</v>
      </c>
      <c r="Y568" t="e">
        <f t="shared" ca="1" si="109"/>
        <v>#N/A</v>
      </c>
      <c r="Z568" t="e">
        <f t="shared" ca="1" si="110"/>
        <v>#N/A</v>
      </c>
      <c r="AA568" s="85" t="e">
        <f ca="1"/>
        <v>#N/A</v>
      </c>
      <c r="AB568" s="57" t="e">
        <f t="shared" ca="1" si="111"/>
        <v>#N/A</v>
      </c>
      <c r="AC568" s="57" t="e">
        <f t="shared" ca="1" si="112"/>
        <v>#N/A</v>
      </c>
      <c r="AD568" s="57" t="e">
        <f t="shared" ca="1" si="113"/>
        <v>#N/A</v>
      </c>
      <c r="AE568" s="57" t="e">
        <f t="shared" ca="1" si="114"/>
        <v>#N/A</v>
      </c>
    </row>
    <row r="569" spans="18:31" x14ac:dyDescent="0.3">
      <c r="R569" s="57" t="e">
        <f ca="1"/>
        <v>#N/A</v>
      </c>
      <c r="S569" s="57" t="e">
        <f t="shared" ca="1" si="103"/>
        <v>#N/A</v>
      </c>
      <c r="T569" s="57" t="e">
        <f t="shared" ca="1" si="104"/>
        <v>#N/A</v>
      </c>
      <c r="U569" s="57" t="e">
        <f t="shared" ca="1" si="105"/>
        <v>#N/A</v>
      </c>
      <c r="V569" s="57" t="e">
        <f t="shared" ca="1" si="106"/>
        <v>#N/A</v>
      </c>
      <c r="W569" t="e">
        <f t="shared" ca="1" si="107"/>
        <v>#N/A</v>
      </c>
      <c r="X569" t="e">
        <f t="shared" ca="1" si="108"/>
        <v>#N/A</v>
      </c>
      <c r="Y569" t="e">
        <f t="shared" ca="1" si="109"/>
        <v>#N/A</v>
      </c>
      <c r="Z569" t="e">
        <f t="shared" ca="1" si="110"/>
        <v>#N/A</v>
      </c>
      <c r="AA569" s="85" t="e">
        <f ca="1"/>
        <v>#N/A</v>
      </c>
      <c r="AB569" s="57" t="e">
        <f t="shared" ca="1" si="111"/>
        <v>#N/A</v>
      </c>
      <c r="AC569" s="57" t="e">
        <f t="shared" ca="1" si="112"/>
        <v>#N/A</v>
      </c>
      <c r="AD569" s="57" t="e">
        <f t="shared" ca="1" si="113"/>
        <v>#N/A</v>
      </c>
      <c r="AE569" s="57" t="e">
        <f t="shared" ca="1" si="114"/>
        <v>#N/A</v>
      </c>
    </row>
    <row r="570" spans="18:31" x14ac:dyDescent="0.3">
      <c r="R570" s="57" t="e">
        <f ca="1"/>
        <v>#N/A</v>
      </c>
      <c r="S570" s="57" t="e">
        <f t="shared" ca="1" si="103"/>
        <v>#N/A</v>
      </c>
      <c r="T570" s="57" t="e">
        <f t="shared" ca="1" si="104"/>
        <v>#N/A</v>
      </c>
      <c r="U570" s="57" t="e">
        <f t="shared" ca="1" si="105"/>
        <v>#N/A</v>
      </c>
      <c r="V570" s="57" t="e">
        <f t="shared" ca="1" si="106"/>
        <v>#N/A</v>
      </c>
      <c r="W570" t="e">
        <f t="shared" ca="1" si="107"/>
        <v>#N/A</v>
      </c>
      <c r="X570" t="e">
        <f t="shared" ca="1" si="108"/>
        <v>#N/A</v>
      </c>
      <c r="Y570" t="e">
        <f t="shared" ca="1" si="109"/>
        <v>#N/A</v>
      </c>
      <c r="Z570" t="e">
        <f t="shared" ca="1" si="110"/>
        <v>#N/A</v>
      </c>
      <c r="AA570" s="85" t="e">
        <f ca="1"/>
        <v>#N/A</v>
      </c>
      <c r="AB570" s="57" t="e">
        <f t="shared" ca="1" si="111"/>
        <v>#N/A</v>
      </c>
      <c r="AC570" s="57" t="e">
        <f t="shared" ca="1" si="112"/>
        <v>#N/A</v>
      </c>
      <c r="AD570" s="57" t="e">
        <f t="shared" ca="1" si="113"/>
        <v>#N/A</v>
      </c>
      <c r="AE570" s="57" t="e">
        <f t="shared" ca="1" si="114"/>
        <v>#N/A</v>
      </c>
    </row>
    <row r="571" spans="18:31" x14ac:dyDescent="0.3">
      <c r="R571" s="57" t="e">
        <f ca="1"/>
        <v>#N/A</v>
      </c>
      <c r="S571" s="57" t="e">
        <f t="shared" ca="1" si="103"/>
        <v>#N/A</v>
      </c>
      <c r="T571" s="57" t="e">
        <f t="shared" ca="1" si="104"/>
        <v>#N/A</v>
      </c>
      <c r="U571" s="57" t="e">
        <f t="shared" ca="1" si="105"/>
        <v>#N/A</v>
      </c>
      <c r="V571" s="57" t="e">
        <f t="shared" ca="1" si="106"/>
        <v>#N/A</v>
      </c>
      <c r="W571" t="e">
        <f t="shared" ca="1" si="107"/>
        <v>#N/A</v>
      </c>
      <c r="X571" t="e">
        <f t="shared" ca="1" si="108"/>
        <v>#N/A</v>
      </c>
      <c r="Y571" t="e">
        <f t="shared" ca="1" si="109"/>
        <v>#N/A</v>
      </c>
      <c r="Z571" t="e">
        <f t="shared" ca="1" si="110"/>
        <v>#N/A</v>
      </c>
      <c r="AA571" s="85" t="e">
        <f ca="1"/>
        <v>#N/A</v>
      </c>
      <c r="AB571" s="57" t="e">
        <f t="shared" ca="1" si="111"/>
        <v>#N/A</v>
      </c>
      <c r="AC571" s="57" t="e">
        <f t="shared" ca="1" si="112"/>
        <v>#N/A</v>
      </c>
      <c r="AD571" s="57" t="e">
        <f t="shared" ca="1" si="113"/>
        <v>#N/A</v>
      </c>
      <c r="AE571" s="57" t="e">
        <f t="shared" ca="1" si="114"/>
        <v>#N/A</v>
      </c>
    </row>
    <row r="572" spans="18:31" x14ac:dyDescent="0.3">
      <c r="R572" s="57" t="e">
        <f ca="1"/>
        <v>#N/A</v>
      </c>
      <c r="S572" s="57" t="e">
        <f t="shared" ca="1" si="103"/>
        <v>#N/A</v>
      </c>
      <c r="T572" s="57" t="e">
        <f t="shared" ca="1" si="104"/>
        <v>#N/A</v>
      </c>
      <c r="U572" s="57" t="e">
        <f t="shared" ca="1" si="105"/>
        <v>#N/A</v>
      </c>
      <c r="V572" s="57" t="e">
        <f t="shared" ca="1" si="106"/>
        <v>#N/A</v>
      </c>
      <c r="W572" t="e">
        <f t="shared" ca="1" si="107"/>
        <v>#N/A</v>
      </c>
      <c r="X572" t="e">
        <f t="shared" ca="1" si="108"/>
        <v>#N/A</v>
      </c>
      <c r="Y572" t="e">
        <f t="shared" ca="1" si="109"/>
        <v>#N/A</v>
      </c>
      <c r="Z572" t="e">
        <f t="shared" ca="1" si="110"/>
        <v>#N/A</v>
      </c>
      <c r="AA572" s="85" t="e">
        <f ca="1"/>
        <v>#N/A</v>
      </c>
      <c r="AB572" s="57" t="e">
        <f t="shared" ca="1" si="111"/>
        <v>#N/A</v>
      </c>
      <c r="AC572" s="57" t="e">
        <f t="shared" ca="1" si="112"/>
        <v>#N/A</v>
      </c>
      <c r="AD572" s="57" t="e">
        <f t="shared" ca="1" si="113"/>
        <v>#N/A</v>
      </c>
      <c r="AE572" s="57" t="e">
        <f t="shared" ca="1" si="114"/>
        <v>#N/A</v>
      </c>
    </row>
    <row r="573" spans="18:31" x14ac:dyDescent="0.3">
      <c r="R573" s="57" t="e">
        <f ca="1"/>
        <v>#N/A</v>
      </c>
      <c r="S573" s="57" t="e">
        <f t="shared" ca="1" si="103"/>
        <v>#N/A</v>
      </c>
      <c r="T573" s="57" t="e">
        <f t="shared" ca="1" si="104"/>
        <v>#N/A</v>
      </c>
      <c r="U573" s="57" t="e">
        <f t="shared" ca="1" si="105"/>
        <v>#N/A</v>
      </c>
      <c r="V573" s="57" t="e">
        <f t="shared" ca="1" si="106"/>
        <v>#N/A</v>
      </c>
      <c r="W573" t="e">
        <f t="shared" ca="1" si="107"/>
        <v>#N/A</v>
      </c>
      <c r="X573" t="e">
        <f t="shared" ca="1" si="108"/>
        <v>#N/A</v>
      </c>
      <c r="Y573" t="e">
        <f t="shared" ca="1" si="109"/>
        <v>#N/A</v>
      </c>
      <c r="Z573" t="e">
        <f t="shared" ca="1" si="110"/>
        <v>#N/A</v>
      </c>
      <c r="AA573" s="85" t="e">
        <f ca="1"/>
        <v>#N/A</v>
      </c>
      <c r="AB573" s="57" t="e">
        <f t="shared" ca="1" si="111"/>
        <v>#N/A</v>
      </c>
      <c r="AC573" s="57" t="e">
        <f t="shared" ca="1" si="112"/>
        <v>#N/A</v>
      </c>
      <c r="AD573" s="57" t="e">
        <f t="shared" ca="1" si="113"/>
        <v>#N/A</v>
      </c>
      <c r="AE573" s="57" t="e">
        <f t="shared" ca="1" si="114"/>
        <v>#N/A</v>
      </c>
    </row>
    <row r="574" spans="18:31" x14ac:dyDescent="0.3">
      <c r="R574" s="57" t="e">
        <f ca="1"/>
        <v>#N/A</v>
      </c>
      <c r="S574" s="57" t="e">
        <f t="shared" ca="1" si="103"/>
        <v>#N/A</v>
      </c>
      <c r="T574" s="57" t="e">
        <f t="shared" ca="1" si="104"/>
        <v>#N/A</v>
      </c>
      <c r="U574" s="57" t="e">
        <f t="shared" ca="1" si="105"/>
        <v>#N/A</v>
      </c>
      <c r="V574" s="57" t="e">
        <f t="shared" ca="1" si="106"/>
        <v>#N/A</v>
      </c>
      <c r="W574" t="e">
        <f t="shared" ca="1" si="107"/>
        <v>#N/A</v>
      </c>
      <c r="X574" t="e">
        <f t="shared" ca="1" si="108"/>
        <v>#N/A</v>
      </c>
      <c r="Y574" t="e">
        <f t="shared" ca="1" si="109"/>
        <v>#N/A</v>
      </c>
      <c r="Z574" t="e">
        <f t="shared" ca="1" si="110"/>
        <v>#N/A</v>
      </c>
      <c r="AA574" s="85" t="e">
        <f ca="1"/>
        <v>#N/A</v>
      </c>
      <c r="AB574" s="57" t="e">
        <f t="shared" ca="1" si="111"/>
        <v>#N/A</v>
      </c>
      <c r="AC574" s="57" t="e">
        <f t="shared" ca="1" si="112"/>
        <v>#N/A</v>
      </c>
      <c r="AD574" s="57" t="e">
        <f t="shared" ca="1" si="113"/>
        <v>#N/A</v>
      </c>
      <c r="AE574" s="57" t="e">
        <f t="shared" ca="1" si="114"/>
        <v>#N/A</v>
      </c>
    </row>
    <row r="575" spans="18:31" x14ac:dyDescent="0.3">
      <c r="R575" s="57" t="e">
        <f ca="1"/>
        <v>#N/A</v>
      </c>
      <c r="S575" s="57" t="e">
        <f t="shared" ca="1" si="103"/>
        <v>#N/A</v>
      </c>
      <c r="T575" s="57" t="e">
        <f t="shared" ca="1" si="104"/>
        <v>#N/A</v>
      </c>
      <c r="U575" s="57" t="e">
        <f t="shared" ca="1" si="105"/>
        <v>#N/A</v>
      </c>
      <c r="V575" s="57" t="e">
        <f t="shared" ca="1" si="106"/>
        <v>#N/A</v>
      </c>
      <c r="W575" t="e">
        <f t="shared" ca="1" si="107"/>
        <v>#N/A</v>
      </c>
      <c r="X575" t="e">
        <f t="shared" ca="1" si="108"/>
        <v>#N/A</v>
      </c>
      <c r="Y575" t="e">
        <f t="shared" ca="1" si="109"/>
        <v>#N/A</v>
      </c>
      <c r="Z575" t="e">
        <f t="shared" ca="1" si="110"/>
        <v>#N/A</v>
      </c>
      <c r="AA575" s="85" t="e">
        <f ca="1"/>
        <v>#N/A</v>
      </c>
      <c r="AB575" s="57" t="e">
        <f t="shared" ca="1" si="111"/>
        <v>#N/A</v>
      </c>
      <c r="AC575" s="57" t="e">
        <f t="shared" ca="1" si="112"/>
        <v>#N/A</v>
      </c>
      <c r="AD575" s="57" t="e">
        <f t="shared" ca="1" si="113"/>
        <v>#N/A</v>
      </c>
      <c r="AE575" s="57" t="e">
        <f t="shared" ca="1" si="114"/>
        <v>#N/A</v>
      </c>
    </row>
    <row r="576" spans="18:31" x14ac:dyDescent="0.3">
      <c r="R576" s="57" t="e">
        <f ca="1"/>
        <v>#N/A</v>
      </c>
      <c r="S576" s="57" t="e">
        <f t="shared" ca="1" si="103"/>
        <v>#N/A</v>
      </c>
      <c r="T576" s="57" t="e">
        <f t="shared" ca="1" si="104"/>
        <v>#N/A</v>
      </c>
      <c r="U576" s="57" t="e">
        <f t="shared" ca="1" si="105"/>
        <v>#N/A</v>
      </c>
      <c r="V576" s="57" t="e">
        <f t="shared" ca="1" si="106"/>
        <v>#N/A</v>
      </c>
      <c r="W576" t="e">
        <f t="shared" ca="1" si="107"/>
        <v>#N/A</v>
      </c>
      <c r="X576" t="e">
        <f t="shared" ca="1" si="108"/>
        <v>#N/A</v>
      </c>
      <c r="Y576" t="e">
        <f t="shared" ca="1" si="109"/>
        <v>#N/A</v>
      </c>
      <c r="Z576" t="e">
        <f t="shared" ca="1" si="110"/>
        <v>#N/A</v>
      </c>
      <c r="AA576" s="85" t="e">
        <f ca="1"/>
        <v>#N/A</v>
      </c>
      <c r="AB576" s="57" t="e">
        <f t="shared" ca="1" si="111"/>
        <v>#N/A</v>
      </c>
      <c r="AC576" s="57" t="e">
        <f t="shared" ca="1" si="112"/>
        <v>#N/A</v>
      </c>
      <c r="AD576" s="57" t="e">
        <f t="shared" ca="1" si="113"/>
        <v>#N/A</v>
      </c>
      <c r="AE576" s="57" t="e">
        <f t="shared" ca="1" si="114"/>
        <v>#N/A</v>
      </c>
    </row>
    <row r="577" spans="18:31" x14ac:dyDescent="0.3">
      <c r="R577" s="57" t="e">
        <f ca="1"/>
        <v>#N/A</v>
      </c>
      <c r="S577" s="57" t="e">
        <f t="shared" ca="1" si="103"/>
        <v>#N/A</v>
      </c>
      <c r="T577" s="57" t="e">
        <f t="shared" ca="1" si="104"/>
        <v>#N/A</v>
      </c>
      <c r="U577" s="57" t="e">
        <f t="shared" ca="1" si="105"/>
        <v>#N/A</v>
      </c>
      <c r="V577" s="57" t="e">
        <f t="shared" ca="1" si="106"/>
        <v>#N/A</v>
      </c>
      <c r="W577" t="e">
        <f t="shared" ca="1" si="107"/>
        <v>#N/A</v>
      </c>
      <c r="X577" t="e">
        <f t="shared" ca="1" si="108"/>
        <v>#N/A</v>
      </c>
      <c r="Y577" t="e">
        <f t="shared" ca="1" si="109"/>
        <v>#N/A</v>
      </c>
      <c r="Z577" t="e">
        <f t="shared" ca="1" si="110"/>
        <v>#N/A</v>
      </c>
      <c r="AA577" s="85" t="e">
        <f ca="1"/>
        <v>#N/A</v>
      </c>
      <c r="AB577" s="57" t="e">
        <f t="shared" ca="1" si="111"/>
        <v>#N/A</v>
      </c>
      <c r="AC577" s="57" t="e">
        <f t="shared" ca="1" si="112"/>
        <v>#N/A</v>
      </c>
      <c r="AD577" s="57" t="e">
        <f t="shared" ca="1" si="113"/>
        <v>#N/A</v>
      </c>
      <c r="AE577" s="57" t="e">
        <f t="shared" ca="1" si="114"/>
        <v>#N/A</v>
      </c>
    </row>
    <row r="578" spans="18:31" x14ac:dyDescent="0.3">
      <c r="R578" s="57" t="e">
        <f ca="1"/>
        <v>#N/A</v>
      </c>
      <c r="S578" s="57" t="e">
        <f t="shared" ca="1" si="103"/>
        <v>#N/A</v>
      </c>
      <c r="T578" s="57" t="e">
        <f t="shared" ca="1" si="104"/>
        <v>#N/A</v>
      </c>
      <c r="U578" s="57" t="e">
        <f t="shared" ca="1" si="105"/>
        <v>#N/A</v>
      </c>
      <c r="V578" s="57" t="e">
        <f t="shared" ca="1" si="106"/>
        <v>#N/A</v>
      </c>
      <c r="W578" t="e">
        <f t="shared" ca="1" si="107"/>
        <v>#N/A</v>
      </c>
      <c r="X578" t="e">
        <f t="shared" ca="1" si="108"/>
        <v>#N/A</v>
      </c>
      <c r="Y578" t="e">
        <f t="shared" ca="1" si="109"/>
        <v>#N/A</v>
      </c>
      <c r="Z578" t="e">
        <f t="shared" ca="1" si="110"/>
        <v>#N/A</v>
      </c>
      <c r="AA578" s="85" t="e">
        <f ca="1"/>
        <v>#N/A</v>
      </c>
      <c r="AB578" s="57" t="e">
        <f t="shared" ca="1" si="111"/>
        <v>#N/A</v>
      </c>
      <c r="AC578" s="57" t="e">
        <f t="shared" ca="1" si="112"/>
        <v>#N/A</v>
      </c>
      <c r="AD578" s="57" t="e">
        <f t="shared" ca="1" si="113"/>
        <v>#N/A</v>
      </c>
      <c r="AE578" s="57" t="e">
        <f t="shared" ca="1" si="114"/>
        <v>#N/A</v>
      </c>
    </row>
    <row r="579" spans="18:31" x14ac:dyDescent="0.3">
      <c r="R579" s="57" t="e">
        <f ca="1"/>
        <v>#N/A</v>
      </c>
      <c r="S579" s="57" t="e">
        <f t="shared" ca="1" si="103"/>
        <v>#N/A</v>
      </c>
      <c r="T579" s="57" t="e">
        <f t="shared" ca="1" si="104"/>
        <v>#N/A</v>
      </c>
      <c r="U579" s="57" t="e">
        <f t="shared" ca="1" si="105"/>
        <v>#N/A</v>
      </c>
      <c r="V579" s="57" t="e">
        <f t="shared" ca="1" si="106"/>
        <v>#N/A</v>
      </c>
      <c r="W579" t="e">
        <f t="shared" ca="1" si="107"/>
        <v>#N/A</v>
      </c>
      <c r="X579" t="e">
        <f t="shared" ca="1" si="108"/>
        <v>#N/A</v>
      </c>
      <c r="Y579" t="e">
        <f t="shared" ca="1" si="109"/>
        <v>#N/A</v>
      </c>
      <c r="Z579" t="e">
        <f t="shared" ca="1" si="110"/>
        <v>#N/A</v>
      </c>
      <c r="AA579" s="85" t="e">
        <f ca="1"/>
        <v>#N/A</v>
      </c>
      <c r="AB579" s="57" t="e">
        <f t="shared" ca="1" si="111"/>
        <v>#N/A</v>
      </c>
      <c r="AC579" s="57" t="e">
        <f t="shared" ca="1" si="112"/>
        <v>#N/A</v>
      </c>
      <c r="AD579" s="57" t="e">
        <f t="shared" ca="1" si="113"/>
        <v>#N/A</v>
      </c>
      <c r="AE579" s="57" t="e">
        <f t="shared" ca="1" si="114"/>
        <v>#N/A</v>
      </c>
    </row>
    <row r="580" spans="18:31" x14ac:dyDescent="0.3">
      <c r="R580" s="57" t="e">
        <f ca="1"/>
        <v>#N/A</v>
      </c>
      <c r="S580" s="57" t="e">
        <f t="shared" ca="1" si="103"/>
        <v>#N/A</v>
      </c>
      <c r="T580" s="57" t="e">
        <f t="shared" ca="1" si="104"/>
        <v>#N/A</v>
      </c>
      <c r="U580" s="57" t="e">
        <f t="shared" ca="1" si="105"/>
        <v>#N/A</v>
      </c>
      <c r="V580" s="57" t="e">
        <f t="shared" ca="1" si="106"/>
        <v>#N/A</v>
      </c>
      <c r="W580" t="e">
        <f t="shared" ca="1" si="107"/>
        <v>#N/A</v>
      </c>
      <c r="X580" t="e">
        <f t="shared" ca="1" si="108"/>
        <v>#N/A</v>
      </c>
      <c r="Y580" t="e">
        <f t="shared" ca="1" si="109"/>
        <v>#N/A</v>
      </c>
      <c r="Z580" t="e">
        <f t="shared" ca="1" si="110"/>
        <v>#N/A</v>
      </c>
      <c r="AA580" s="85" t="e">
        <f ca="1"/>
        <v>#N/A</v>
      </c>
      <c r="AB580" s="57" t="e">
        <f t="shared" ca="1" si="111"/>
        <v>#N/A</v>
      </c>
      <c r="AC580" s="57" t="e">
        <f t="shared" ca="1" si="112"/>
        <v>#N/A</v>
      </c>
      <c r="AD580" s="57" t="e">
        <f t="shared" ca="1" si="113"/>
        <v>#N/A</v>
      </c>
      <c r="AE580" s="57" t="e">
        <f t="shared" ca="1" si="114"/>
        <v>#N/A</v>
      </c>
    </row>
    <row r="581" spans="18:31" x14ac:dyDescent="0.3">
      <c r="R581" s="57" t="e">
        <f ca="1"/>
        <v>#N/A</v>
      </c>
      <c r="S581" s="57" t="e">
        <f t="shared" ca="1" si="103"/>
        <v>#N/A</v>
      </c>
      <c r="T581" s="57" t="e">
        <f t="shared" ca="1" si="104"/>
        <v>#N/A</v>
      </c>
      <c r="U581" s="57" t="e">
        <f t="shared" ca="1" si="105"/>
        <v>#N/A</v>
      </c>
      <c r="V581" s="57" t="e">
        <f t="shared" ca="1" si="106"/>
        <v>#N/A</v>
      </c>
      <c r="W581" t="e">
        <f t="shared" ca="1" si="107"/>
        <v>#N/A</v>
      </c>
      <c r="X581" t="e">
        <f t="shared" ca="1" si="108"/>
        <v>#N/A</v>
      </c>
      <c r="Y581" t="e">
        <f t="shared" ca="1" si="109"/>
        <v>#N/A</v>
      </c>
      <c r="Z581" t="e">
        <f t="shared" ca="1" si="110"/>
        <v>#N/A</v>
      </c>
      <c r="AA581" s="85" t="e">
        <f ca="1"/>
        <v>#N/A</v>
      </c>
      <c r="AB581" s="57" t="e">
        <f t="shared" ca="1" si="111"/>
        <v>#N/A</v>
      </c>
      <c r="AC581" s="57" t="e">
        <f t="shared" ca="1" si="112"/>
        <v>#N/A</v>
      </c>
      <c r="AD581" s="57" t="e">
        <f t="shared" ca="1" si="113"/>
        <v>#N/A</v>
      </c>
      <c r="AE581" s="57" t="e">
        <f t="shared" ca="1" si="114"/>
        <v>#N/A</v>
      </c>
    </row>
    <row r="582" spans="18:31" x14ac:dyDescent="0.3">
      <c r="R582" s="57" t="e">
        <f ca="1"/>
        <v>#N/A</v>
      </c>
      <c r="S582" s="57" t="e">
        <f t="shared" ca="1" si="103"/>
        <v>#N/A</v>
      </c>
      <c r="T582" s="57" t="e">
        <f t="shared" ca="1" si="104"/>
        <v>#N/A</v>
      </c>
      <c r="U582" s="57" t="e">
        <f t="shared" ca="1" si="105"/>
        <v>#N/A</v>
      </c>
      <c r="V582" s="57" t="e">
        <f t="shared" ca="1" si="106"/>
        <v>#N/A</v>
      </c>
      <c r="W582" t="e">
        <f t="shared" ca="1" si="107"/>
        <v>#N/A</v>
      </c>
      <c r="X582" t="e">
        <f t="shared" ca="1" si="108"/>
        <v>#N/A</v>
      </c>
      <c r="Y582" t="e">
        <f t="shared" ca="1" si="109"/>
        <v>#N/A</v>
      </c>
      <c r="Z582" t="e">
        <f t="shared" ca="1" si="110"/>
        <v>#N/A</v>
      </c>
      <c r="AA582" s="85" t="e">
        <f ca="1"/>
        <v>#N/A</v>
      </c>
      <c r="AB582" s="57" t="e">
        <f t="shared" ca="1" si="111"/>
        <v>#N/A</v>
      </c>
      <c r="AC582" s="57" t="e">
        <f t="shared" ca="1" si="112"/>
        <v>#N/A</v>
      </c>
      <c r="AD582" s="57" t="e">
        <f t="shared" ca="1" si="113"/>
        <v>#N/A</v>
      </c>
      <c r="AE582" s="57" t="e">
        <f t="shared" ca="1" si="114"/>
        <v>#N/A</v>
      </c>
    </row>
    <row r="583" spans="18:31" x14ac:dyDescent="0.3">
      <c r="R583" s="57" t="e">
        <f ca="1"/>
        <v>#N/A</v>
      </c>
      <c r="S583" s="57" t="e">
        <f t="shared" ca="1" si="103"/>
        <v>#N/A</v>
      </c>
      <c r="T583" s="57" t="e">
        <f t="shared" ca="1" si="104"/>
        <v>#N/A</v>
      </c>
      <c r="U583" s="57" t="e">
        <f t="shared" ca="1" si="105"/>
        <v>#N/A</v>
      </c>
      <c r="V583" s="57" t="e">
        <f t="shared" ca="1" si="106"/>
        <v>#N/A</v>
      </c>
      <c r="W583" t="e">
        <f t="shared" ca="1" si="107"/>
        <v>#N/A</v>
      </c>
      <c r="X583" t="e">
        <f t="shared" ca="1" si="108"/>
        <v>#N/A</v>
      </c>
      <c r="Y583" t="e">
        <f t="shared" ca="1" si="109"/>
        <v>#N/A</v>
      </c>
      <c r="Z583" t="e">
        <f t="shared" ca="1" si="110"/>
        <v>#N/A</v>
      </c>
      <c r="AA583" s="85" t="e">
        <f ca="1"/>
        <v>#N/A</v>
      </c>
      <c r="AB583" s="57" t="e">
        <f t="shared" ca="1" si="111"/>
        <v>#N/A</v>
      </c>
      <c r="AC583" s="57" t="e">
        <f t="shared" ca="1" si="112"/>
        <v>#N/A</v>
      </c>
      <c r="AD583" s="57" t="e">
        <f t="shared" ca="1" si="113"/>
        <v>#N/A</v>
      </c>
      <c r="AE583" s="57" t="e">
        <f t="shared" ca="1" si="114"/>
        <v>#N/A</v>
      </c>
    </row>
    <row r="584" spans="18:31" x14ac:dyDescent="0.3">
      <c r="R584" s="57" t="e">
        <f ca="1"/>
        <v>#N/A</v>
      </c>
      <c r="S584" s="57" t="e">
        <f t="shared" ca="1" si="103"/>
        <v>#N/A</v>
      </c>
      <c r="T584" s="57" t="e">
        <f t="shared" ca="1" si="104"/>
        <v>#N/A</v>
      </c>
      <c r="U584" s="57" t="e">
        <f t="shared" ca="1" si="105"/>
        <v>#N/A</v>
      </c>
      <c r="V584" s="57" t="e">
        <f t="shared" ca="1" si="106"/>
        <v>#N/A</v>
      </c>
      <c r="W584" t="e">
        <f t="shared" ca="1" si="107"/>
        <v>#N/A</v>
      </c>
      <c r="X584" t="e">
        <f t="shared" ca="1" si="108"/>
        <v>#N/A</v>
      </c>
      <c r="Y584" t="e">
        <f t="shared" ca="1" si="109"/>
        <v>#N/A</v>
      </c>
      <c r="Z584" t="e">
        <f t="shared" ca="1" si="110"/>
        <v>#N/A</v>
      </c>
      <c r="AA584" s="85" t="e">
        <f ca="1"/>
        <v>#N/A</v>
      </c>
      <c r="AB584" s="57" t="e">
        <f t="shared" ca="1" si="111"/>
        <v>#N/A</v>
      </c>
      <c r="AC584" s="57" t="e">
        <f t="shared" ca="1" si="112"/>
        <v>#N/A</v>
      </c>
      <c r="AD584" s="57" t="e">
        <f t="shared" ca="1" si="113"/>
        <v>#N/A</v>
      </c>
      <c r="AE584" s="57" t="e">
        <f t="shared" ca="1" si="114"/>
        <v>#N/A</v>
      </c>
    </row>
    <row r="585" spans="18:31" x14ac:dyDescent="0.3">
      <c r="R585" s="57" t="e">
        <f ca="1"/>
        <v>#N/A</v>
      </c>
      <c r="S585" s="57" t="e">
        <f t="shared" ca="1" si="103"/>
        <v>#N/A</v>
      </c>
      <c r="T585" s="57" t="e">
        <f t="shared" ca="1" si="104"/>
        <v>#N/A</v>
      </c>
      <c r="U585" s="57" t="e">
        <f t="shared" ca="1" si="105"/>
        <v>#N/A</v>
      </c>
      <c r="V585" s="57" t="e">
        <f t="shared" ca="1" si="106"/>
        <v>#N/A</v>
      </c>
      <c r="W585" t="e">
        <f t="shared" ca="1" si="107"/>
        <v>#N/A</v>
      </c>
      <c r="X585" t="e">
        <f t="shared" ca="1" si="108"/>
        <v>#N/A</v>
      </c>
      <c r="Y585" t="e">
        <f t="shared" ca="1" si="109"/>
        <v>#N/A</v>
      </c>
      <c r="Z585" t="e">
        <f t="shared" ca="1" si="110"/>
        <v>#N/A</v>
      </c>
      <c r="AA585" s="85" t="e">
        <f ca="1"/>
        <v>#N/A</v>
      </c>
      <c r="AB585" s="57" t="e">
        <f t="shared" ca="1" si="111"/>
        <v>#N/A</v>
      </c>
      <c r="AC585" s="57" t="e">
        <f t="shared" ca="1" si="112"/>
        <v>#N/A</v>
      </c>
      <c r="AD585" s="57" t="e">
        <f t="shared" ca="1" si="113"/>
        <v>#N/A</v>
      </c>
      <c r="AE585" s="57" t="e">
        <f t="shared" ca="1" si="114"/>
        <v>#N/A</v>
      </c>
    </row>
    <row r="586" spans="18:31" x14ac:dyDescent="0.3">
      <c r="R586" s="57" t="e">
        <f ca="1"/>
        <v>#N/A</v>
      </c>
      <c r="S586" s="57" t="e">
        <f t="shared" ca="1" si="103"/>
        <v>#N/A</v>
      </c>
      <c r="T586" s="57" t="e">
        <f t="shared" ca="1" si="104"/>
        <v>#N/A</v>
      </c>
      <c r="U586" s="57" t="e">
        <f t="shared" ca="1" si="105"/>
        <v>#N/A</v>
      </c>
      <c r="V586" s="57" t="e">
        <f t="shared" ca="1" si="106"/>
        <v>#N/A</v>
      </c>
      <c r="W586" t="e">
        <f t="shared" ca="1" si="107"/>
        <v>#N/A</v>
      </c>
      <c r="X586" t="e">
        <f t="shared" ca="1" si="108"/>
        <v>#N/A</v>
      </c>
      <c r="Y586" t="e">
        <f t="shared" ca="1" si="109"/>
        <v>#N/A</v>
      </c>
      <c r="Z586" t="e">
        <f t="shared" ca="1" si="110"/>
        <v>#N/A</v>
      </c>
      <c r="AA586" s="85" t="e">
        <f ca="1"/>
        <v>#N/A</v>
      </c>
      <c r="AB586" s="57" t="e">
        <f t="shared" ca="1" si="111"/>
        <v>#N/A</v>
      </c>
      <c r="AC586" s="57" t="e">
        <f t="shared" ca="1" si="112"/>
        <v>#N/A</v>
      </c>
      <c r="AD586" s="57" t="e">
        <f t="shared" ca="1" si="113"/>
        <v>#N/A</v>
      </c>
      <c r="AE586" s="57" t="e">
        <f t="shared" ca="1" si="114"/>
        <v>#N/A</v>
      </c>
    </row>
    <row r="587" spans="18:31" x14ac:dyDescent="0.3">
      <c r="R587" s="57" t="e">
        <f ca="1"/>
        <v>#N/A</v>
      </c>
      <c r="S587" s="57" t="e">
        <f t="shared" ca="1" si="103"/>
        <v>#N/A</v>
      </c>
      <c r="T587" s="57" t="e">
        <f t="shared" ca="1" si="104"/>
        <v>#N/A</v>
      </c>
      <c r="U587" s="57" t="e">
        <f t="shared" ca="1" si="105"/>
        <v>#N/A</v>
      </c>
      <c r="V587" s="57" t="e">
        <f t="shared" ca="1" si="106"/>
        <v>#N/A</v>
      </c>
      <c r="W587" t="e">
        <f t="shared" ca="1" si="107"/>
        <v>#N/A</v>
      </c>
      <c r="X587" t="e">
        <f t="shared" ca="1" si="108"/>
        <v>#N/A</v>
      </c>
      <c r="Y587" t="e">
        <f t="shared" ca="1" si="109"/>
        <v>#N/A</v>
      </c>
      <c r="Z587" t="e">
        <f t="shared" ca="1" si="110"/>
        <v>#N/A</v>
      </c>
      <c r="AA587" s="85" t="e">
        <f ca="1"/>
        <v>#N/A</v>
      </c>
      <c r="AB587" s="57" t="e">
        <f t="shared" ca="1" si="111"/>
        <v>#N/A</v>
      </c>
      <c r="AC587" s="57" t="e">
        <f t="shared" ca="1" si="112"/>
        <v>#N/A</v>
      </c>
      <c r="AD587" s="57" t="e">
        <f t="shared" ca="1" si="113"/>
        <v>#N/A</v>
      </c>
      <c r="AE587" s="57" t="e">
        <f t="shared" ca="1" si="114"/>
        <v>#N/A</v>
      </c>
    </row>
    <row r="588" spans="18:31" x14ac:dyDescent="0.3">
      <c r="R588" s="57" t="e">
        <f ca="1"/>
        <v>#N/A</v>
      </c>
      <c r="S588" s="57" t="e">
        <f t="shared" ref="S588:S651" ca="1" si="115">IF(R588&gt;1,R588,"")</f>
        <v>#N/A</v>
      </c>
      <c r="T588" s="57" t="e">
        <f t="shared" ref="T588:T651" ca="1" si="116">VLOOKUP(S588,ModelOutputs,2,FALSE)</f>
        <v>#N/A</v>
      </c>
      <c r="U588" s="57" t="e">
        <f t="shared" ref="U588:U651" ca="1" si="117">VLOOKUP(S588,ModelOutputs,7,FALSE)</f>
        <v>#N/A</v>
      </c>
      <c r="V588" s="57" t="e">
        <f t="shared" ref="V588:V651" ca="1" si="118">VLOOKUP(S588,ModelOutputs,6,FALSE)</f>
        <v>#N/A</v>
      </c>
      <c r="W588" t="e">
        <f t="shared" ref="W588:W651" ca="1" si="119">VLOOKUP(S588,ModelOutputs,10,FALSE)*AWC</f>
        <v>#N/A</v>
      </c>
      <c r="X588" t="e">
        <f t="shared" ref="X588:X651" ca="1" si="120">VLOOKUP(S588,ModelOutputs,11,FALSE)+X587</f>
        <v>#N/A</v>
      </c>
      <c r="Y588" t="e">
        <f t="shared" ref="Y588:Y651" ca="1" si="121">VLOOKUP(S588,ModelOutputs,12,FALSE)</f>
        <v>#N/A</v>
      </c>
      <c r="Z588" t="e">
        <f t="shared" ref="Z588:Z651" ca="1" si="122">VLOOKUP(S588,ModelOutputs,13,FALSE)</f>
        <v>#N/A</v>
      </c>
      <c r="AA588" s="85" t="e">
        <f ca="1"/>
        <v>#N/A</v>
      </c>
      <c r="AB588" s="57" t="e">
        <f t="shared" ref="AB588:AB651" ca="1" si="123">IF(AA588&gt;1,AA588,"")</f>
        <v>#N/A</v>
      </c>
      <c r="AC588" s="57" t="e">
        <f t="shared" ref="AC588:AC651" ca="1" si="124">VLOOKUP(AB588,ModelOutputs,2,FALSE)</f>
        <v>#N/A</v>
      </c>
      <c r="AD588" s="57" t="e">
        <f t="shared" ref="AD588:AD651" ca="1" si="125">VLOOKUP(AB588,ModelOutputs,7,FALSE)</f>
        <v>#N/A</v>
      </c>
      <c r="AE588" s="57" t="e">
        <f t="shared" ref="AE588:AE651" ca="1" si="126">VLOOKUP(AB588,ModelOutputs,6,FALSE)</f>
        <v>#N/A</v>
      </c>
    </row>
    <row r="589" spans="18:31" x14ac:dyDescent="0.3">
      <c r="R589" s="57" t="e">
        <f ca="1"/>
        <v>#N/A</v>
      </c>
      <c r="S589" s="57" t="e">
        <f t="shared" ca="1" si="115"/>
        <v>#N/A</v>
      </c>
      <c r="T589" s="57" t="e">
        <f t="shared" ca="1" si="116"/>
        <v>#N/A</v>
      </c>
      <c r="U589" s="57" t="e">
        <f t="shared" ca="1" si="117"/>
        <v>#N/A</v>
      </c>
      <c r="V589" s="57" t="e">
        <f t="shared" ca="1" si="118"/>
        <v>#N/A</v>
      </c>
      <c r="W589" t="e">
        <f t="shared" ca="1" si="119"/>
        <v>#N/A</v>
      </c>
      <c r="X589" t="e">
        <f t="shared" ca="1" si="120"/>
        <v>#N/A</v>
      </c>
      <c r="Y589" t="e">
        <f t="shared" ca="1" si="121"/>
        <v>#N/A</v>
      </c>
      <c r="Z589" t="e">
        <f t="shared" ca="1" si="122"/>
        <v>#N/A</v>
      </c>
      <c r="AA589" s="85" t="e">
        <f ca="1"/>
        <v>#N/A</v>
      </c>
      <c r="AB589" s="57" t="e">
        <f t="shared" ca="1" si="123"/>
        <v>#N/A</v>
      </c>
      <c r="AC589" s="57" t="e">
        <f t="shared" ca="1" si="124"/>
        <v>#N/A</v>
      </c>
      <c r="AD589" s="57" t="e">
        <f t="shared" ca="1" si="125"/>
        <v>#N/A</v>
      </c>
      <c r="AE589" s="57" t="e">
        <f t="shared" ca="1" si="126"/>
        <v>#N/A</v>
      </c>
    </row>
    <row r="590" spans="18:31" x14ac:dyDescent="0.3">
      <c r="R590" s="57" t="e">
        <f ca="1"/>
        <v>#N/A</v>
      </c>
      <c r="S590" s="57" t="e">
        <f t="shared" ca="1" si="115"/>
        <v>#N/A</v>
      </c>
      <c r="T590" s="57" t="e">
        <f t="shared" ca="1" si="116"/>
        <v>#N/A</v>
      </c>
      <c r="U590" s="57" t="e">
        <f t="shared" ca="1" si="117"/>
        <v>#N/A</v>
      </c>
      <c r="V590" s="57" t="e">
        <f t="shared" ca="1" si="118"/>
        <v>#N/A</v>
      </c>
      <c r="W590" t="e">
        <f t="shared" ca="1" si="119"/>
        <v>#N/A</v>
      </c>
      <c r="X590" t="e">
        <f t="shared" ca="1" si="120"/>
        <v>#N/A</v>
      </c>
      <c r="Y590" t="e">
        <f t="shared" ca="1" si="121"/>
        <v>#N/A</v>
      </c>
      <c r="Z590" t="e">
        <f t="shared" ca="1" si="122"/>
        <v>#N/A</v>
      </c>
      <c r="AA590" s="85" t="e">
        <f ca="1"/>
        <v>#N/A</v>
      </c>
      <c r="AB590" s="57" t="e">
        <f t="shared" ca="1" si="123"/>
        <v>#N/A</v>
      </c>
      <c r="AC590" s="57" t="e">
        <f t="shared" ca="1" si="124"/>
        <v>#N/A</v>
      </c>
      <c r="AD590" s="57" t="e">
        <f t="shared" ca="1" si="125"/>
        <v>#N/A</v>
      </c>
      <c r="AE590" s="57" t="e">
        <f t="shared" ca="1" si="126"/>
        <v>#N/A</v>
      </c>
    </row>
    <row r="591" spans="18:31" x14ac:dyDescent="0.3">
      <c r="R591" s="57" t="e">
        <f ca="1"/>
        <v>#N/A</v>
      </c>
      <c r="S591" s="57" t="e">
        <f t="shared" ca="1" si="115"/>
        <v>#N/A</v>
      </c>
      <c r="T591" s="57" t="e">
        <f t="shared" ca="1" si="116"/>
        <v>#N/A</v>
      </c>
      <c r="U591" s="57" t="e">
        <f t="shared" ca="1" si="117"/>
        <v>#N/A</v>
      </c>
      <c r="V591" s="57" t="e">
        <f t="shared" ca="1" si="118"/>
        <v>#N/A</v>
      </c>
      <c r="W591" t="e">
        <f t="shared" ca="1" si="119"/>
        <v>#N/A</v>
      </c>
      <c r="X591" t="e">
        <f t="shared" ca="1" si="120"/>
        <v>#N/A</v>
      </c>
      <c r="Y591" t="e">
        <f t="shared" ca="1" si="121"/>
        <v>#N/A</v>
      </c>
      <c r="Z591" t="e">
        <f t="shared" ca="1" si="122"/>
        <v>#N/A</v>
      </c>
      <c r="AA591" s="85" t="e">
        <f ca="1"/>
        <v>#N/A</v>
      </c>
      <c r="AB591" s="57" t="e">
        <f t="shared" ca="1" si="123"/>
        <v>#N/A</v>
      </c>
      <c r="AC591" s="57" t="e">
        <f t="shared" ca="1" si="124"/>
        <v>#N/A</v>
      </c>
      <c r="AD591" s="57" t="e">
        <f t="shared" ca="1" si="125"/>
        <v>#N/A</v>
      </c>
      <c r="AE591" s="57" t="e">
        <f t="shared" ca="1" si="126"/>
        <v>#N/A</v>
      </c>
    </row>
    <row r="592" spans="18:31" x14ac:dyDescent="0.3">
      <c r="R592" s="57" t="e">
        <f ca="1"/>
        <v>#N/A</v>
      </c>
      <c r="S592" s="57" t="e">
        <f t="shared" ca="1" si="115"/>
        <v>#N/A</v>
      </c>
      <c r="T592" s="57" t="e">
        <f t="shared" ca="1" si="116"/>
        <v>#N/A</v>
      </c>
      <c r="U592" s="57" t="e">
        <f t="shared" ca="1" si="117"/>
        <v>#N/A</v>
      </c>
      <c r="V592" s="57" t="e">
        <f t="shared" ca="1" si="118"/>
        <v>#N/A</v>
      </c>
      <c r="W592" t="e">
        <f t="shared" ca="1" si="119"/>
        <v>#N/A</v>
      </c>
      <c r="X592" t="e">
        <f t="shared" ca="1" si="120"/>
        <v>#N/A</v>
      </c>
      <c r="Y592" t="e">
        <f t="shared" ca="1" si="121"/>
        <v>#N/A</v>
      </c>
      <c r="Z592" t="e">
        <f t="shared" ca="1" si="122"/>
        <v>#N/A</v>
      </c>
      <c r="AA592" s="85" t="e">
        <f ca="1"/>
        <v>#N/A</v>
      </c>
      <c r="AB592" s="57" t="e">
        <f t="shared" ca="1" si="123"/>
        <v>#N/A</v>
      </c>
      <c r="AC592" s="57" t="e">
        <f t="shared" ca="1" si="124"/>
        <v>#N/A</v>
      </c>
      <c r="AD592" s="57" t="e">
        <f t="shared" ca="1" si="125"/>
        <v>#N/A</v>
      </c>
      <c r="AE592" s="57" t="e">
        <f t="shared" ca="1" si="126"/>
        <v>#N/A</v>
      </c>
    </row>
    <row r="593" spans="18:31" x14ac:dyDescent="0.3">
      <c r="R593" s="57" t="e">
        <f ca="1"/>
        <v>#N/A</v>
      </c>
      <c r="S593" s="57" t="e">
        <f t="shared" ca="1" si="115"/>
        <v>#N/A</v>
      </c>
      <c r="T593" s="57" t="e">
        <f t="shared" ca="1" si="116"/>
        <v>#N/A</v>
      </c>
      <c r="U593" s="57" t="e">
        <f t="shared" ca="1" si="117"/>
        <v>#N/A</v>
      </c>
      <c r="V593" s="57" t="e">
        <f t="shared" ca="1" si="118"/>
        <v>#N/A</v>
      </c>
      <c r="W593" t="e">
        <f t="shared" ca="1" si="119"/>
        <v>#N/A</v>
      </c>
      <c r="X593" t="e">
        <f t="shared" ca="1" si="120"/>
        <v>#N/A</v>
      </c>
      <c r="Y593" t="e">
        <f t="shared" ca="1" si="121"/>
        <v>#N/A</v>
      </c>
      <c r="Z593" t="e">
        <f t="shared" ca="1" si="122"/>
        <v>#N/A</v>
      </c>
      <c r="AA593" s="85" t="e">
        <f ca="1"/>
        <v>#N/A</v>
      </c>
      <c r="AB593" s="57" t="e">
        <f t="shared" ca="1" si="123"/>
        <v>#N/A</v>
      </c>
      <c r="AC593" s="57" t="e">
        <f t="shared" ca="1" si="124"/>
        <v>#N/A</v>
      </c>
      <c r="AD593" s="57" t="e">
        <f t="shared" ca="1" si="125"/>
        <v>#N/A</v>
      </c>
      <c r="AE593" s="57" t="e">
        <f t="shared" ca="1" si="126"/>
        <v>#N/A</v>
      </c>
    </row>
    <row r="594" spans="18:31" x14ac:dyDescent="0.3">
      <c r="R594" s="57" t="e">
        <f ca="1"/>
        <v>#N/A</v>
      </c>
      <c r="S594" s="57" t="e">
        <f t="shared" ca="1" si="115"/>
        <v>#N/A</v>
      </c>
      <c r="T594" s="57" t="e">
        <f t="shared" ca="1" si="116"/>
        <v>#N/A</v>
      </c>
      <c r="U594" s="57" t="e">
        <f t="shared" ca="1" si="117"/>
        <v>#N/A</v>
      </c>
      <c r="V594" s="57" t="e">
        <f t="shared" ca="1" si="118"/>
        <v>#N/A</v>
      </c>
      <c r="W594" t="e">
        <f t="shared" ca="1" si="119"/>
        <v>#N/A</v>
      </c>
      <c r="X594" t="e">
        <f t="shared" ca="1" si="120"/>
        <v>#N/A</v>
      </c>
      <c r="Y594" t="e">
        <f t="shared" ca="1" si="121"/>
        <v>#N/A</v>
      </c>
      <c r="Z594" t="e">
        <f t="shared" ca="1" si="122"/>
        <v>#N/A</v>
      </c>
      <c r="AA594" s="85" t="e">
        <f ca="1"/>
        <v>#N/A</v>
      </c>
      <c r="AB594" s="57" t="e">
        <f t="shared" ca="1" si="123"/>
        <v>#N/A</v>
      </c>
      <c r="AC594" s="57" t="e">
        <f t="shared" ca="1" si="124"/>
        <v>#N/A</v>
      </c>
      <c r="AD594" s="57" t="e">
        <f t="shared" ca="1" si="125"/>
        <v>#N/A</v>
      </c>
      <c r="AE594" s="57" t="e">
        <f t="shared" ca="1" si="126"/>
        <v>#N/A</v>
      </c>
    </row>
    <row r="595" spans="18:31" x14ac:dyDescent="0.3">
      <c r="R595" s="57" t="e">
        <f ca="1"/>
        <v>#N/A</v>
      </c>
      <c r="S595" s="57" t="e">
        <f t="shared" ca="1" si="115"/>
        <v>#N/A</v>
      </c>
      <c r="T595" s="57" t="e">
        <f t="shared" ca="1" si="116"/>
        <v>#N/A</v>
      </c>
      <c r="U595" s="57" t="e">
        <f t="shared" ca="1" si="117"/>
        <v>#N/A</v>
      </c>
      <c r="V595" s="57" t="e">
        <f t="shared" ca="1" si="118"/>
        <v>#N/A</v>
      </c>
      <c r="W595" t="e">
        <f t="shared" ca="1" si="119"/>
        <v>#N/A</v>
      </c>
      <c r="X595" t="e">
        <f t="shared" ca="1" si="120"/>
        <v>#N/A</v>
      </c>
      <c r="Y595" t="e">
        <f t="shared" ca="1" si="121"/>
        <v>#N/A</v>
      </c>
      <c r="Z595" t="e">
        <f t="shared" ca="1" si="122"/>
        <v>#N/A</v>
      </c>
      <c r="AA595" s="85" t="e">
        <f ca="1"/>
        <v>#N/A</v>
      </c>
      <c r="AB595" s="57" t="e">
        <f t="shared" ca="1" si="123"/>
        <v>#N/A</v>
      </c>
      <c r="AC595" s="57" t="e">
        <f t="shared" ca="1" si="124"/>
        <v>#N/A</v>
      </c>
      <c r="AD595" s="57" t="e">
        <f t="shared" ca="1" si="125"/>
        <v>#N/A</v>
      </c>
      <c r="AE595" s="57" t="e">
        <f t="shared" ca="1" si="126"/>
        <v>#N/A</v>
      </c>
    </row>
    <row r="596" spans="18:31" x14ac:dyDescent="0.3">
      <c r="R596" s="57" t="e">
        <f ca="1"/>
        <v>#N/A</v>
      </c>
      <c r="S596" s="57" t="e">
        <f t="shared" ca="1" si="115"/>
        <v>#N/A</v>
      </c>
      <c r="T596" s="57" t="e">
        <f t="shared" ca="1" si="116"/>
        <v>#N/A</v>
      </c>
      <c r="U596" s="57" t="e">
        <f t="shared" ca="1" si="117"/>
        <v>#N/A</v>
      </c>
      <c r="V596" s="57" t="e">
        <f t="shared" ca="1" si="118"/>
        <v>#N/A</v>
      </c>
      <c r="W596" t="e">
        <f t="shared" ca="1" si="119"/>
        <v>#N/A</v>
      </c>
      <c r="X596" t="e">
        <f t="shared" ca="1" si="120"/>
        <v>#N/A</v>
      </c>
      <c r="Y596" t="e">
        <f t="shared" ca="1" si="121"/>
        <v>#N/A</v>
      </c>
      <c r="Z596" t="e">
        <f t="shared" ca="1" si="122"/>
        <v>#N/A</v>
      </c>
      <c r="AA596" s="85" t="e">
        <f ca="1"/>
        <v>#N/A</v>
      </c>
      <c r="AB596" s="57" t="e">
        <f t="shared" ca="1" si="123"/>
        <v>#N/A</v>
      </c>
      <c r="AC596" s="57" t="e">
        <f t="shared" ca="1" si="124"/>
        <v>#N/A</v>
      </c>
      <c r="AD596" s="57" t="e">
        <f t="shared" ca="1" si="125"/>
        <v>#N/A</v>
      </c>
      <c r="AE596" s="57" t="e">
        <f t="shared" ca="1" si="126"/>
        <v>#N/A</v>
      </c>
    </row>
    <row r="597" spans="18:31" x14ac:dyDescent="0.3">
      <c r="R597" s="57" t="e">
        <f ca="1"/>
        <v>#N/A</v>
      </c>
      <c r="S597" s="57" t="e">
        <f t="shared" ca="1" si="115"/>
        <v>#N/A</v>
      </c>
      <c r="T597" s="57" t="e">
        <f t="shared" ca="1" si="116"/>
        <v>#N/A</v>
      </c>
      <c r="U597" s="57" t="e">
        <f t="shared" ca="1" si="117"/>
        <v>#N/A</v>
      </c>
      <c r="V597" s="57" t="e">
        <f t="shared" ca="1" si="118"/>
        <v>#N/A</v>
      </c>
      <c r="W597" t="e">
        <f t="shared" ca="1" si="119"/>
        <v>#N/A</v>
      </c>
      <c r="X597" t="e">
        <f t="shared" ca="1" si="120"/>
        <v>#N/A</v>
      </c>
      <c r="Y597" t="e">
        <f t="shared" ca="1" si="121"/>
        <v>#N/A</v>
      </c>
      <c r="Z597" t="e">
        <f t="shared" ca="1" si="122"/>
        <v>#N/A</v>
      </c>
      <c r="AA597" s="85" t="e">
        <f ca="1"/>
        <v>#N/A</v>
      </c>
      <c r="AB597" s="57" t="e">
        <f t="shared" ca="1" si="123"/>
        <v>#N/A</v>
      </c>
      <c r="AC597" s="57" t="e">
        <f t="shared" ca="1" si="124"/>
        <v>#N/A</v>
      </c>
      <c r="AD597" s="57" t="e">
        <f t="shared" ca="1" si="125"/>
        <v>#N/A</v>
      </c>
      <c r="AE597" s="57" t="e">
        <f t="shared" ca="1" si="126"/>
        <v>#N/A</v>
      </c>
    </row>
    <row r="598" spans="18:31" x14ac:dyDescent="0.3">
      <c r="R598" s="57" t="e">
        <f ca="1"/>
        <v>#N/A</v>
      </c>
      <c r="S598" s="57" t="e">
        <f t="shared" ca="1" si="115"/>
        <v>#N/A</v>
      </c>
      <c r="T598" s="57" t="e">
        <f t="shared" ca="1" si="116"/>
        <v>#N/A</v>
      </c>
      <c r="U598" s="57" t="e">
        <f t="shared" ca="1" si="117"/>
        <v>#N/A</v>
      </c>
      <c r="V598" s="57" t="e">
        <f t="shared" ca="1" si="118"/>
        <v>#N/A</v>
      </c>
      <c r="W598" t="e">
        <f t="shared" ca="1" si="119"/>
        <v>#N/A</v>
      </c>
      <c r="X598" t="e">
        <f t="shared" ca="1" si="120"/>
        <v>#N/A</v>
      </c>
      <c r="Y598" t="e">
        <f t="shared" ca="1" si="121"/>
        <v>#N/A</v>
      </c>
      <c r="Z598" t="e">
        <f t="shared" ca="1" si="122"/>
        <v>#N/A</v>
      </c>
      <c r="AA598" s="85" t="e">
        <f ca="1"/>
        <v>#N/A</v>
      </c>
      <c r="AB598" s="57" t="e">
        <f t="shared" ca="1" si="123"/>
        <v>#N/A</v>
      </c>
      <c r="AC598" s="57" t="e">
        <f t="shared" ca="1" si="124"/>
        <v>#N/A</v>
      </c>
      <c r="AD598" s="57" t="e">
        <f t="shared" ca="1" si="125"/>
        <v>#N/A</v>
      </c>
      <c r="AE598" s="57" t="e">
        <f t="shared" ca="1" si="126"/>
        <v>#N/A</v>
      </c>
    </row>
    <row r="599" spans="18:31" x14ac:dyDescent="0.3">
      <c r="R599" s="57" t="e">
        <f ca="1"/>
        <v>#N/A</v>
      </c>
      <c r="S599" s="57" t="e">
        <f t="shared" ca="1" si="115"/>
        <v>#N/A</v>
      </c>
      <c r="T599" s="57" t="e">
        <f t="shared" ca="1" si="116"/>
        <v>#N/A</v>
      </c>
      <c r="U599" s="57" t="e">
        <f t="shared" ca="1" si="117"/>
        <v>#N/A</v>
      </c>
      <c r="V599" s="57" t="e">
        <f t="shared" ca="1" si="118"/>
        <v>#N/A</v>
      </c>
      <c r="W599" t="e">
        <f t="shared" ca="1" si="119"/>
        <v>#N/A</v>
      </c>
      <c r="X599" t="e">
        <f t="shared" ca="1" si="120"/>
        <v>#N/A</v>
      </c>
      <c r="Y599" t="e">
        <f t="shared" ca="1" si="121"/>
        <v>#N/A</v>
      </c>
      <c r="Z599" t="e">
        <f t="shared" ca="1" si="122"/>
        <v>#N/A</v>
      </c>
      <c r="AA599" s="85" t="e">
        <f ca="1"/>
        <v>#N/A</v>
      </c>
      <c r="AB599" s="57" t="e">
        <f t="shared" ca="1" si="123"/>
        <v>#N/A</v>
      </c>
      <c r="AC599" s="57" t="e">
        <f t="shared" ca="1" si="124"/>
        <v>#N/A</v>
      </c>
      <c r="AD599" s="57" t="e">
        <f t="shared" ca="1" si="125"/>
        <v>#N/A</v>
      </c>
      <c r="AE599" s="57" t="e">
        <f t="shared" ca="1" si="126"/>
        <v>#N/A</v>
      </c>
    </row>
    <row r="600" spans="18:31" x14ac:dyDescent="0.3">
      <c r="R600" s="57" t="e">
        <f ca="1"/>
        <v>#N/A</v>
      </c>
      <c r="S600" s="57" t="e">
        <f t="shared" ca="1" si="115"/>
        <v>#N/A</v>
      </c>
      <c r="T600" s="57" t="e">
        <f t="shared" ca="1" si="116"/>
        <v>#N/A</v>
      </c>
      <c r="U600" s="57" t="e">
        <f t="shared" ca="1" si="117"/>
        <v>#N/A</v>
      </c>
      <c r="V600" s="57" t="e">
        <f t="shared" ca="1" si="118"/>
        <v>#N/A</v>
      </c>
      <c r="W600" t="e">
        <f t="shared" ca="1" si="119"/>
        <v>#N/A</v>
      </c>
      <c r="X600" t="e">
        <f t="shared" ca="1" si="120"/>
        <v>#N/A</v>
      </c>
      <c r="Y600" t="e">
        <f t="shared" ca="1" si="121"/>
        <v>#N/A</v>
      </c>
      <c r="Z600" t="e">
        <f t="shared" ca="1" si="122"/>
        <v>#N/A</v>
      </c>
      <c r="AA600" s="85" t="e">
        <f ca="1"/>
        <v>#N/A</v>
      </c>
      <c r="AB600" s="57" t="e">
        <f t="shared" ca="1" si="123"/>
        <v>#N/A</v>
      </c>
      <c r="AC600" s="57" t="e">
        <f t="shared" ca="1" si="124"/>
        <v>#N/A</v>
      </c>
      <c r="AD600" s="57" t="e">
        <f t="shared" ca="1" si="125"/>
        <v>#N/A</v>
      </c>
      <c r="AE600" s="57" t="e">
        <f t="shared" ca="1" si="126"/>
        <v>#N/A</v>
      </c>
    </row>
    <row r="601" spans="18:31" x14ac:dyDescent="0.3">
      <c r="R601" s="57" t="e">
        <f ca="1"/>
        <v>#N/A</v>
      </c>
      <c r="S601" s="57" t="e">
        <f t="shared" ca="1" si="115"/>
        <v>#N/A</v>
      </c>
      <c r="T601" s="57" t="e">
        <f t="shared" ca="1" si="116"/>
        <v>#N/A</v>
      </c>
      <c r="U601" s="57" t="e">
        <f t="shared" ca="1" si="117"/>
        <v>#N/A</v>
      </c>
      <c r="V601" s="57" t="e">
        <f t="shared" ca="1" si="118"/>
        <v>#N/A</v>
      </c>
      <c r="W601" t="e">
        <f t="shared" ca="1" si="119"/>
        <v>#N/A</v>
      </c>
      <c r="X601" t="e">
        <f t="shared" ca="1" si="120"/>
        <v>#N/A</v>
      </c>
      <c r="Y601" t="e">
        <f t="shared" ca="1" si="121"/>
        <v>#N/A</v>
      </c>
      <c r="Z601" t="e">
        <f t="shared" ca="1" si="122"/>
        <v>#N/A</v>
      </c>
      <c r="AA601" s="85" t="e">
        <f ca="1"/>
        <v>#N/A</v>
      </c>
      <c r="AB601" s="57" t="e">
        <f t="shared" ca="1" si="123"/>
        <v>#N/A</v>
      </c>
      <c r="AC601" s="57" t="e">
        <f t="shared" ca="1" si="124"/>
        <v>#N/A</v>
      </c>
      <c r="AD601" s="57" t="e">
        <f t="shared" ca="1" si="125"/>
        <v>#N/A</v>
      </c>
      <c r="AE601" s="57" t="e">
        <f t="shared" ca="1" si="126"/>
        <v>#N/A</v>
      </c>
    </row>
    <row r="602" spans="18:31" x14ac:dyDescent="0.3">
      <c r="R602" s="57" t="e">
        <f ca="1"/>
        <v>#N/A</v>
      </c>
      <c r="S602" s="57" t="e">
        <f t="shared" ca="1" si="115"/>
        <v>#N/A</v>
      </c>
      <c r="T602" s="57" t="e">
        <f t="shared" ca="1" si="116"/>
        <v>#N/A</v>
      </c>
      <c r="U602" s="57" t="e">
        <f t="shared" ca="1" si="117"/>
        <v>#N/A</v>
      </c>
      <c r="V602" s="57" t="e">
        <f t="shared" ca="1" si="118"/>
        <v>#N/A</v>
      </c>
      <c r="W602" t="e">
        <f t="shared" ca="1" si="119"/>
        <v>#N/A</v>
      </c>
      <c r="X602" t="e">
        <f t="shared" ca="1" si="120"/>
        <v>#N/A</v>
      </c>
      <c r="Y602" t="e">
        <f t="shared" ca="1" si="121"/>
        <v>#N/A</v>
      </c>
      <c r="Z602" t="e">
        <f t="shared" ca="1" si="122"/>
        <v>#N/A</v>
      </c>
      <c r="AA602" s="85" t="e">
        <f ca="1"/>
        <v>#N/A</v>
      </c>
      <c r="AB602" s="57" t="e">
        <f t="shared" ca="1" si="123"/>
        <v>#N/A</v>
      </c>
      <c r="AC602" s="57" t="e">
        <f t="shared" ca="1" si="124"/>
        <v>#N/A</v>
      </c>
      <c r="AD602" s="57" t="e">
        <f t="shared" ca="1" si="125"/>
        <v>#N/A</v>
      </c>
      <c r="AE602" s="57" t="e">
        <f t="shared" ca="1" si="126"/>
        <v>#N/A</v>
      </c>
    </row>
    <row r="603" spans="18:31" x14ac:dyDescent="0.3">
      <c r="R603" s="57" t="e">
        <f ca="1"/>
        <v>#N/A</v>
      </c>
      <c r="S603" s="57" t="e">
        <f t="shared" ca="1" si="115"/>
        <v>#N/A</v>
      </c>
      <c r="T603" s="57" t="e">
        <f t="shared" ca="1" si="116"/>
        <v>#N/A</v>
      </c>
      <c r="U603" s="57" t="e">
        <f t="shared" ca="1" si="117"/>
        <v>#N/A</v>
      </c>
      <c r="V603" s="57" t="e">
        <f t="shared" ca="1" si="118"/>
        <v>#N/A</v>
      </c>
      <c r="W603" t="e">
        <f t="shared" ca="1" si="119"/>
        <v>#N/A</v>
      </c>
      <c r="X603" t="e">
        <f t="shared" ca="1" si="120"/>
        <v>#N/A</v>
      </c>
      <c r="Y603" t="e">
        <f t="shared" ca="1" si="121"/>
        <v>#N/A</v>
      </c>
      <c r="Z603" t="e">
        <f t="shared" ca="1" si="122"/>
        <v>#N/A</v>
      </c>
      <c r="AA603" s="85" t="e">
        <f ca="1"/>
        <v>#N/A</v>
      </c>
      <c r="AB603" s="57" t="e">
        <f t="shared" ca="1" si="123"/>
        <v>#N/A</v>
      </c>
      <c r="AC603" s="57" t="e">
        <f t="shared" ca="1" si="124"/>
        <v>#N/A</v>
      </c>
      <c r="AD603" s="57" t="e">
        <f t="shared" ca="1" si="125"/>
        <v>#N/A</v>
      </c>
      <c r="AE603" s="57" t="e">
        <f t="shared" ca="1" si="126"/>
        <v>#N/A</v>
      </c>
    </row>
    <row r="604" spans="18:31" x14ac:dyDescent="0.3">
      <c r="R604" s="57" t="e">
        <f ca="1"/>
        <v>#N/A</v>
      </c>
      <c r="S604" s="57" t="e">
        <f t="shared" ca="1" si="115"/>
        <v>#N/A</v>
      </c>
      <c r="T604" s="57" t="e">
        <f t="shared" ca="1" si="116"/>
        <v>#N/A</v>
      </c>
      <c r="U604" s="57" t="e">
        <f t="shared" ca="1" si="117"/>
        <v>#N/A</v>
      </c>
      <c r="V604" s="57" t="e">
        <f t="shared" ca="1" si="118"/>
        <v>#N/A</v>
      </c>
      <c r="W604" t="e">
        <f t="shared" ca="1" si="119"/>
        <v>#N/A</v>
      </c>
      <c r="X604" t="e">
        <f t="shared" ca="1" si="120"/>
        <v>#N/A</v>
      </c>
      <c r="Y604" t="e">
        <f t="shared" ca="1" si="121"/>
        <v>#N/A</v>
      </c>
      <c r="Z604" t="e">
        <f t="shared" ca="1" si="122"/>
        <v>#N/A</v>
      </c>
      <c r="AA604" s="85" t="e">
        <f ca="1"/>
        <v>#N/A</v>
      </c>
      <c r="AB604" s="57" t="e">
        <f t="shared" ca="1" si="123"/>
        <v>#N/A</v>
      </c>
      <c r="AC604" s="57" t="e">
        <f t="shared" ca="1" si="124"/>
        <v>#N/A</v>
      </c>
      <c r="AD604" s="57" t="e">
        <f t="shared" ca="1" si="125"/>
        <v>#N/A</v>
      </c>
      <c r="AE604" s="57" t="e">
        <f t="shared" ca="1" si="126"/>
        <v>#N/A</v>
      </c>
    </row>
    <row r="605" spans="18:31" x14ac:dyDescent="0.3">
      <c r="R605" s="57" t="e">
        <f ca="1"/>
        <v>#N/A</v>
      </c>
      <c r="S605" s="57" t="e">
        <f t="shared" ca="1" si="115"/>
        <v>#N/A</v>
      </c>
      <c r="T605" s="57" t="e">
        <f t="shared" ca="1" si="116"/>
        <v>#N/A</v>
      </c>
      <c r="U605" s="57" t="e">
        <f t="shared" ca="1" si="117"/>
        <v>#N/A</v>
      </c>
      <c r="V605" s="57" t="e">
        <f t="shared" ca="1" si="118"/>
        <v>#N/A</v>
      </c>
      <c r="W605" t="e">
        <f t="shared" ca="1" si="119"/>
        <v>#N/A</v>
      </c>
      <c r="X605" t="e">
        <f t="shared" ca="1" si="120"/>
        <v>#N/A</v>
      </c>
      <c r="Y605" t="e">
        <f t="shared" ca="1" si="121"/>
        <v>#N/A</v>
      </c>
      <c r="Z605" t="e">
        <f t="shared" ca="1" si="122"/>
        <v>#N/A</v>
      </c>
      <c r="AA605" s="85" t="e">
        <f ca="1"/>
        <v>#N/A</v>
      </c>
      <c r="AB605" s="57" t="e">
        <f t="shared" ca="1" si="123"/>
        <v>#N/A</v>
      </c>
      <c r="AC605" s="57" t="e">
        <f t="shared" ca="1" si="124"/>
        <v>#N/A</v>
      </c>
      <c r="AD605" s="57" t="e">
        <f t="shared" ca="1" si="125"/>
        <v>#N/A</v>
      </c>
      <c r="AE605" s="57" t="e">
        <f t="shared" ca="1" si="126"/>
        <v>#N/A</v>
      </c>
    </row>
    <row r="606" spans="18:31" x14ac:dyDescent="0.3">
      <c r="R606" s="57" t="e">
        <f ca="1"/>
        <v>#N/A</v>
      </c>
      <c r="S606" s="57" t="e">
        <f t="shared" ca="1" si="115"/>
        <v>#N/A</v>
      </c>
      <c r="T606" s="57" t="e">
        <f t="shared" ca="1" si="116"/>
        <v>#N/A</v>
      </c>
      <c r="U606" s="57" t="e">
        <f t="shared" ca="1" si="117"/>
        <v>#N/A</v>
      </c>
      <c r="V606" s="57" t="e">
        <f t="shared" ca="1" si="118"/>
        <v>#N/A</v>
      </c>
      <c r="W606" t="e">
        <f t="shared" ca="1" si="119"/>
        <v>#N/A</v>
      </c>
      <c r="X606" t="e">
        <f t="shared" ca="1" si="120"/>
        <v>#N/A</v>
      </c>
      <c r="Y606" t="e">
        <f t="shared" ca="1" si="121"/>
        <v>#N/A</v>
      </c>
      <c r="Z606" t="e">
        <f t="shared" ca="1" si="122"/>
        <v>#N/A</v>
      </c>
      <c r="AA606" s="85" t="e">
        <f ca="1"/>
        <v>#N/A</v>
      </c>
      <c r="AB606" s="57" t="e">
        <f t="shared" ca="1" si="123"/>
        <v>#N/A</v>
      </c>
      <c r="AC606" s="57" t="e">
        <f t="shared" ca="1" si="124"/>
        <v>#N/A</v>
      </c>
      <c r="AD606" s="57" t="e">
        <f t="shared" ca="1" si="125"/>
        <v>#N/A</v>
      </c>
      <c r="AE606" s="57" t="e">
        <f t="shared" ca="1" si="126"/>
        <v>#N/A</v>
      </c>
    </row>
    <row r="607" spans="18:31" x14ac:dyDescent="0.3">
      <c r="R607" s="57" t="e">
        <f ca="1"/>
        <v>#N/A</v>
      </c>
      <c r="S607" s="57" t="e">
        <f t="shared" ca="1" si="115"/>
        <v>#N/A</v>
      </c>
      <c r="T607" s="57" t="e">
        <f t="shared" ca="1" si="116"/>
        <v>#N/A</v>
      </c>
      <c r="U607" s="57" t="e">
        <f t="shared" ca="1" si="117"/>
        <v>#N/A</v>
      </c>
      <c r="V607" s="57" t="e">
        <f t="shared" ca="1" si="118"/>
        <v>#N/A</v>
      </c>
      <c r="W607" t="e">
        <f t="shared" ca="1" si="119"/>
        <v>#N/A</v>
      </c>
      <c r="X607" t="e">
        <f t="shared" ca="1" si="120"/>
        <v>#N/A</v>
      </c>
      <c r="Y607" t="e">
        <f t="shared" ca="1" si="121"/>
        <v>#N/A</v>
      </c>
      <c r="Z607" t="e">
        <f t="shared" ca="1" si="122"/>
        <v>#N/A</v>
      </c>
      <c r="AA607" s="85" t="e">
        <f ca="1"/>
        <v>#N/A</v>
      </c>
      <c r="AB607" s="57" t="e">
        <f t="shared" ca="1" si="123"/>
        <v>#N/A</v>
      </c>
      <c r="AC607" s="57" t="e">
        <f t="shared" ca="1" si="124"/>
        <v>#N/A</v>
      </c>
      <c r="AD607" s="57" t="e">
        <f t="shared" ca="1" si="125"/>
        <v>#N/A</v>
      </c>
      <c r="AE607" s="57" t="e">
        <f t="shared" ca="1" si="126"/>
        <v>#N/A</v>
      </c>
    </row>
    <row r="608" spans="18:31" x14ac:dyDescent="0.3">
      <c r="R608" s="57" t="e">
        <f ca="1"/>
        <v>#N/A</v>
      </c>
      <c r="S608" s="57" t="e">
        <f t="shared" ca="1" si="115"/>
        <v>#N/A</v>
      </c>
      <c r="T608" s="57" t="e">
        <f t="shared" ca="1" si="116"/>
        <v>#N/A</v>
      </c>
      <c r="U608" s="57" t="e">
        <f t="shared" ca="1" si="117"/>
        <v>#N/A</v>
      </c>
      <c r="V608" s="57" t="e">
        <f t="shared" ca="1" si="118"/>
        <v>#N/A</v>
      </c>
      <c r="W608" t="e">
        <f t="shared" ca="1" si="119"/>
        <v>#N/A</v>
      </c>
      <c r="X608" t="e">
        <f t="shared" ca="1" si="120"/>
        <v>#N/A</v>
      </c>
      <c r="Y608" t="e">
        <f t="shared" ca="1" si="121"/>
        <v>#N/A</v>
      </c>
      <c r="Z608" t="e">
        <f t="shared" ca="1" si="122"/>
        <v>#N/A</v>
      </c>
      <c r="AA608" s="85" t="e">
        <f ca="1"/>
        <v>#N/A</v>
      </c>
      <c r="AB608" s="57" t="e">
        <f t="shared" ca="1" si="123"/>
        <v>#N/A</v>
      </c>
      <c r="AC608" s="57" t="e">
        <f t="shared" ca="1" si="124"/>
        <v>#N/A</v>
      </c>
      <c r="AD608" s="57" t="e">
        <f t="shared" ca="1" si="125"/>
        <v>#N/A</v>
      </c>
      <c r="AE608" s="57" t="e">
        <f t="shared" ca="1" si="126"/>
        <v>#N/A</v>
      </c>
    </row>
    <row r="609" spans="18:31" x14ac:dyDescent="0.3">
      <c r="R609" s="57" t="e">
        <f ca="1"/>
        <v>#N/A</v>
      </c>
      <c r="S609" s="57" t="e">
        <f t="shared" ca="1" si="115"/>
        <v>#N/A</v>
      </c>
      <c r="T609" s="57" t="e">
        <f t="shared" ca="1" si="116"/>
        <v>#N/A</v>
      </c>
      <c r="U609" s="57" t="e">
        <f t="shared" ca="1" si="117"/>
        <v>#N/A</v>
      </c>
      <c r="V609" s="57" t="e">
        <f t="shared" ca="1" si="118"/>
        <v>#N/A</v>
      </c>
      <c r="W609" t="e">
        <f t="shared" ca="1" si="119"/>
        <v>#N/A</v>
      </c>
      <c r="X609" t="e">
        <f t="shared" ca="1" si="120"/>
        <v>#N/A</v>
      </c>
      <c r="Y609" t="e">
        <f t="shared" ca="1" si="121"/>
        <v>#N/A</v>
      </c>
      <c r="Z609" t="e">
        <f t="shared" ca="1" si="122"/>
        <v>#N/A</v>
      </c>
      <c r="AA609" s="85" t="e">
        <f ca="1"/>
        <v>#N/A</v>
      </c>
      <c r="AB609" s="57" t="e">
        <f t="shared" ca="1" si="123"/>
        <v>#N/A</v>
      </c>
      <c r="AC609" s="57" t="e">
        <f t="shared" ca="1" si="124"/>
        <v>#N/A</v>
      </c>
      <c r="AD609" s="57" t="e">
        <f t="shared" ca="1" si="125"/>
        <v>#N/A</v>
      </c>
      <c r="AE609" s="57" t="e">
        <f t="shared" ca="1" si="126"/>
        <v>#N/A</v>
      </c>
    </row>
    <row r="610" spans="18:31" x14ac:dyDescent="0.3">
      <c r="R610" s="57" t="e">
        <f ca="1"/>
        <v>#N/A</v>
      </c>
      <c r="S610" s="57" t="e">
        <f t="shared" ca="1" si="115"/>
        <v>#N/A</v>
      </c>
      <c r="T610" s="57" t="e">
        <f t="shared" ca="1" si="116"/>
        <v>#N/A</v>
      </c>
      <c r="U610" s="57" t="e">
        <f t="shared" ca="1" si="117"/>
        <v>#N/A</v>
      </c>
      <c r="V610" s="57" t="e">
        <f t="shared" ca="1" si="118"/>
        <v>#N/A</v>
      </c>
      <c r="W610" t="e">
        <f t="shared" ca="1" si="119"/>
        <v>#N/A</v>
      </c>
      <c r="X610" t="e">
        <f t="shared" ca="1" si="120"/>
        <v>#N/A</v>
      </c>
      <c r="Y610" t="e">
        <f t="shared" ca="1" si="121"/>
        <v>#N/A</v>
      </c>
      <c r="Z610" t="e">
        <f t="shared" ca="1" si="122"/>
        <v>#N/A</v>
      </c>
      <c r="AA610" s="85" t="e">
        <f ca="1"/>
        <v>#N/A</v>
      </c>
      <c r="AB610" s="57" t="e">
        <f t="shared" ca="1" si="123"/>
        <v>#N/A</v>
      </c>
      <c r="AC610" s="57" t="e">
        <f t="shared" ca="1" si="124"/>
        <v>#N/A</v>
      </c>
      <c r="AD610" s="57" t="e">
        <f t="shared" ca="1" si="125"/>
        <v>#N/A</v>
      </c>
      <c r="AE610" s="57" t="e">
        <f t="shared" ca="1" si="126"/>
        <v>#N/A</v>
      </c>
    </row>
    <row r="611" spans="18:31" x14ac:dyDescent="0.3">
      <c r="R611" s="57" t="e">
        <f ca="1"/>
        <v>#N/A</v>
      </c>
      <c r="S611" s="57" t="e">
        <f t="shared" ca="1" si="115"/>
        <v>#N/A</v>
      </c>
      <c r="T611" s="57" t="e">
        <f t="shared" ca="1" si="116"/>
        <v>#N/A</v>
      </c>
      <c r="U611" s="57" t="e">
        <f t="shared" ca="1" si="117"/>
        <v>#N/A</v>
      </c>
      <c r="V611" s="57" t="e">
        <f t="shared" ca="1" si="118"/>
        <v>#N/A</v>
      </c>
      <c r="W611" t="e">
        <f t="shared" ca="1" si="119"/>
        <v>#N/A</v>
      </c>
      <c r="X611" t="e">
        <f t="shared" ca="1" si="120"/>
        <v>#N/A</v>
      </c>
      <c r="Y611" t="e">
        <f t="shared" ca="1" si="121"/>
        <v>#N/A</v>
      </c>
      <c r="Z611" t="e">
        <f t="shared" ca="1" si="122"/>
        <v>#N/A</v>
      </c>
      <c r="AA611" s="85" t="e">
        <f ca="1"/>
        <v>#N/A</v>
      </c>
      <c r="AB611" s="57" t="e">
        <f t="shared" ca="1" si="123"/>
        <v>#N/A</v>
      </c>
      <c r="AC611" s="57" t="e">
        <f t="shared" ca="1" si="124"/>
        <v>#N/A</v>
      </c>
      <c r="AD611" s="57" t="e">
        <f t="shared" ca="1" si="125"/>
        <v>#N/A</v>
      </c>
      <c r="AE611" s="57" t="e">
        <f t="shared" ca="1" si="126"/>
        <v>#N/A</v>
      </c>
    </row>
    <row r="612" spans="18:31" x14ac:dyDescent="0.3">
      <c r="R612" s="57" t="e">
        <f ca="1"/>
        <v>#N/A</v>
      </c>
      <c r="S612" s="57" t="e">
        <f t="shared" ca="1" si="115"/>
        <v>#N/A</v>
      </c>
      <c r="T612" s="57" t="e">
        <f t="shared" ca="1" si="116"/>
        <v>#N/A</v>
      </c>
      <c r="U612" s="57" t="e">
        <f t="shared" ca="1" si="117"/>
        <v>#N/A</v>
      </c>
      <c r="V612" s="57" t="e">
        <f t="shared" ca="1" si="118"/>
        <v>#N/A</v>
      </c>
      <c r="W612" t="e">
        <f t="shared" ca="1" si="119"/>
        <v>#N/A</v>
      </c>
      <c r="X612" t="e">
        <f t="shared" ca="1" si="120"/>
        <v>#N/A</v>
      </c>
      <c r="Y612" t="e">
        <f t="shared" ca="1" si="121"/>
        <v>#N/A</v>
      </c>
      <c r="Z612" t="e">
        <f t="shared" ca="1" si="122"/>
        <v>#N/A</v>
      </c>
      <c r="AA612" s="85" t="e">
        <f ca="1"/>
        <v>#N/A</v>
      </c>
      <c r="AB612" s="57" t="e">
        <f t="shared" ca="1" si="123"/>
        <v>#N/A</v>
      </c>
      <c r="AC612" s="57" t="e">
        <f t="shared" ca="1" si="124"/>
        <v>#N/A</v>
      </c>
      <c r="AD612" s="57" t="e">
        <f t="shared" ca="1" si="125"/>
        <v>#N/A</v>
      </c>
      <c r="AE612" s="57" t="e">
        <f t="shared" ca="1" si="126"/>
        <v>#N/A</v>
      </c>
    </row>
    <row r="613" spans="18:31" x14ac:dyDescent="0.3">
      <c r="R613" s="57" t="e">
        <f ca="1"/>
        <v>#N/A</v>
      </c>
      <c r="S613" s="57" t="e">
        <f t="shared" ca="1" si="115"/>
        <v>#N/A</v>
      </c>
      <c r="T613" s="57" t="e">
        <f t="shared" ca="1" si="116"/>
        <v>#N/A</v>
      </c>
      <c r="U613" s="57" t="e">
        <f t="shared" ca="1" si="117"/>
        <v>#N/A</v>
      </c>
      <c r="V613" s="57" t="e">
        <f t="shared" ca="1" si="118"/>
        <v>#N/A</v>
      </c>
      <c r="W613" t="e">
        <f t="shared" ca="1" si="119"/>
        <v>#N/A</v>
      </c>
      <c r="X613" t="e">
        <f t="shared" ca="1" si="120"/>
        <v>#N/A</v>
      </c>
      <c r="Y613" t="e">
        <f t="shared" ca="1" si="121"/>
        <v>#N/A</v>
      </c>
      <c r="Z613" t="e">
        <f t="shared" ca="1" si="122"/>
        <v>#N/A</v>
      </c>
      <c r="AA613" s="85" t="e">
        <f ca="1"/>
        <v>#N/A</v>
      </c>
      <c r="AB613" s="57" t="e">
        <f t="shared" ca="1" si="123"/>
        <v>#N/A</v>
      </c>
      <c r="AC613" s="57" t="e">
        <f t="shared" ca="1" si="124"/>
        <v>#N/A</v>
      </c>
      <c r="AD613" s="57" t="e">
        <f t="shared" ca="1" si="125"/>
        <v>#N/A</v>
      </c>
      <c r="AE613" s="57" t="e">
        <f t="shared" ca="1" si="126"/>
        <v>#N/A</v>
      </c>
    </row>
    <row r="614" spans="18:31" x14ac:dyDescent="0.3">
      <c r="R614" s="57" t="e">
        <f ca="1"/>
        <v>#N/A</v>
      </c>
      <c r="S614" s="57" t="e">
        <f t="shared" ca="1" si="115"/>
        <v>#N/A</v>
      </c>
      <c r="T614" s="57" t="e">
        <f t="shared" ca="1" si="116"/>
        <v>#N/A</v>
      </c>
      <c r="U614" s="57" t="e">
        <f t="shared" ca="1" si="117"/>
        <v>#N/A</v>
      </c>
      <c r="V614" s="57" t="e">
        <f t="shared" ca="1" si="118"/>
        <v>#N/A</v>
      </c>
      <c r="W614" t="e">
        <f t="shared" ca="1" si="119"/>
        <v>#N/A</v>
      </c>
      <c r="X614" t="e">
        <f t="shared" ca="1" si="120"/>
        <v>#N/A</v>
      </c>
      <c r="Y614" t="e">
        <f t="shared" ca="1" si="121"/>
        <v>#N/A</v>
      </c>
      <c r="Z614" t="e">
        <f t="shared" ca="1" si="122"/>
        <v>#N/A</v>
      </c>
      <c r="AA614" s="85" t="e">
        <f ca="1"/>
        <v>#N/A</v>
      </c>
      <c r="AB614" s="57" t="e">
        <f t="shared" ca="1" si="123"/>
        <v>#N/A</v>
      </c>
      <c r="AC614" s="57" t="e">
        <f t="shared" ca="1" si="124"/>
        <v>#N/A</v>
      </c>
      <c r="AD614" s="57" t="e">
        <f t="shared" ca="1" si="125"/>
        <v>#N/A</v>
      </c>
      <c r="AE614" s="57" t="e">
        <f t="shared" ca="1" si="126"/>
        <v>#N/A</v>
      </c>
    </row>
    <row r="615" spans="18:31" x14ac:dyDescent="0.3">
      <c r="R615" s="57" t="e">
        <f ca="1"/>
        <v>#N/A</v>
      </c>
      <c r="S615" s="57" t="e">
        <f t="shared" ca="1" si="115"/>
        <v>#N/A</v>
      </c>
      <c r="T615" s="57" t="e">
        <f t="shared" ca="1" si="116"/>
        <v>#N/A</v>
      </c>
      <c r="U615" s="57" t="e">
        <f t="shared" ca="1" si="117"/>
        <v>#N/A</v>
      </c>
      <c r="V615" s="57" t="e">
        <f t="shared" ca="1" si="118"/>
        <v>#N/A</v>
      </c>
      <c r="W615" t="e">
        <f t="shared" ca="1" si="119"/>
        <v>#N/A</v>
      </c>
      <c r="X615" t="e">
        <f t="shared" ca="1" si="120"/>
        <v>#N/A</v>
      </c>
      <c r="Y615" t="e">
        <f t="shared" ca="1" si="121"/>
        <v>#N/A</v>
      </c>
      <c r="Z615" t="e">
        <f t="shared" ca="1" si="122"/>
        <v>#N/A</v>
      </c>
      <c r="AA615" s="85" t="e">
        <f ca="1"/>
        <v>#N/A</v>
      </c>
      <c r="AB615" s="57" t="e">
        <f t="shared" ca="1" si="123"/>
        <v>#N/A</v>
      </c>
      <c r="AC615" s="57" t="e">
        <f t="shared" ca="1" si="124"/>
        <v>#N/A</v>
      </c>
      <c r="AD615" s="57" t="e">
        <f t="shared" ca="1" si="125"/>
        <v>#N/A</v>
      </c>
      <c r="AE615" s="57" t="e">
        <f t="shared" ca="1" si="126"/>
        <v>#N/A</v>
      </c>
    </row>
    <row r="616" spans="18:31" x14ac:dyDescent="0.3">
      <c r="R616" s="57" t="e">
        <f ca="1"/>
        <v>#N/A</v>
      </c>
      <c r="S616" s="57" t="e">
        <f t="shared" ca="1" si="115"/>
        <v>#N/A</v>
      </c>
      <c r="T616" s="57" t="e">
        <f t="shared" ca="1" si="116"/>
        <v>#N/A</v>
      </c>
      <c r="U616" s="57" t="e">
        <f t="shared" ca="1" si="117"/>
        <v>#N/A</v>
      </c>
      <c r="V616" s="57" t="e">
        <f t="shared" ca="1" si="118"/>
        <v>#N/A</v>
      </c>
      <c r="W616" t="e">
        <f t="shared" ca="1" si="119"/>
        <v>#N/A</v>
      </c>
      <c r="X616" t="e">
        <f t="shared" ca="1" si="120"/>
        <v>#N/A</v>
      </c>
      <c r="Y616" t="e">
        <f t="shared" ca="1" si="121"/>
        <v>#N/A</v>
      </c>
      <c r="Z616" t="e">
        <f t="shared" ca="1" si="122"/>
        <v>#N/A</v>
      </c>
      <c r="AA616" s="85" t="e">
        <f ca="1"/>
        <v>#N/A</v>
      </c>
      <c r="AB616" s="57" t="e">
        <f t="shared" ca="1" si="123"/>
        <v>#N/A</v>
      </c>
      <c r="AC616" s="57" t="e">
        <f t="shared" ca="1" si="124"/>
        <v>#N/A</v>
      </c>
      <c r="AD616" s="57" t="e">
        <f t="shared" ca="1" si="125"/>
        <v>#N/A</v>
      </c>
      <c r="AE616" s="57" t="e">
        <f t="shared" ca="1" si="126"/>
        <v>#N/A</v>
      </c>
    </row>
    <row r="617" spans="18:31" x14ac:dyDescent="0.3">
      <c r="R617" s="57" t="e">
        <f ca="1"/>
        <v>#N/A</v>
      </c>
      <c r="S617" s="57" t="e">
        <f t="shared" ca="1" si="115"/>
        <v>#N/A</v>
      </c>
      <c r="T617" s="57" t="e">
        <f t="shared" ca="1" si="116"/>
        <v>#N/A</v>
      </c>
      <c r="U617" s="57" t="e">
        <f t="shared" ca="1" si="117"/>
        <v>#N/A</v>
      </c>
      <c r="V617" s="57" t="e">
        <f t="shared" ca="1" si="118"/>
        <v>#N/A</v>
      </c>
      <c r="W617" t="e">
        <f t="shared" ca="1" si="119"/>
        <v>#N/A</v>
      </c>
      <c r="X617" t="e">
        <f t="shared" ca="1" si="120"/>
        <v>#N/A</v>
      </c>
      <c r="Y617" t="e">
        <f t="shared" ca="1" si="121"/>
        <v>#N/A</v>
      </c>
      <c r="Z617" t="e">
        <f t="shared" ca="1" si="122"/>
        <v>#N/A</v>
      </c>
      <c r="AA617" s="85" t="e">
        <f ca="1"/>
        <v>#N/A</v>
      </c>
      <c r="AB617" s="57" t="e">
        <f t="shared" ca="1" si="123"/>
        <v>#N/A</v>
      </c>
      <c r="AC617" s="57" t="e">
        <f t="shared" ca="1" si="124"/>
        <v>#N/A</v>
      </c>
      <c r="AD617" s="57" t="e">
        <f t="shared" ca="1" si="125"/>
        <v>#N/A</v>
      </c>
      <c r="AE617" s="57" t="e">
        <f t="shared" ca="1" si="126"/>
        <v>#N/A</v>
      </c>
    </row>
    <row r="618" spans="18:31" x14ac:dyDescent="0.3">
      <c r="R618" s="57" t="e">
        <f ca="1"/>
        <v>#N/A</v>
      </c>
      <c r="S618" s="57" t="e">
        <f t="shared" ca="1" si="115"/>
        <v>#N/A</v>
      </c>
      <c r="T618" s="57" t="e">
        <f t="shared" ca="1" si="116"/>
        <v>#N/A</v>
      </c>
      <c r="U618" s="57" t="e">
        <f t="shared" ca="1" si="117"/>
        <v>#N/A</v>
      </c>
      <c r="V618" s="57" t="e">
        <f t="shared" ca="1" si="118"/>
        <v>#N/A</v>
      </c>
      <c r="W618" t="e">
        <f t="shared" ca="1" si="119"/>
        <v>#N/A</v>
      </c>
      <c r="X618" t="e">
        <f t="shared" ca="1" si="120"/>
        <v>#N/A</v>
      </c>
      <c r="Y618" t="e">
        <f t="shared" ca="1" si="121"/>
        <v>#N/A</v>
      </c>
      <c r="Z618" t="e">
        <f t="shared" ca="1" si="122"/>
        <v>#N/A</v>
      </c>
      <c r="AA618" s="85" t="e">
        <f ca="1"/>
        <v>#N/A</v>
      </c>
      <c r="AB618" s="57" t="e">
        <f t="shared" ca="1" si="123"/>
        <v>#N/A</v>
      </c>
      <c r="AC618" s="57" t="e">
        <f t="shared" ca="1" si="124"/>
        <v>#N/A</v>
      </c>
      <c r="AD618" s="57" t="e">
        <f t="shared" ca="1" si="125"/>
        <v>#N/A</v>
      </c>
      <c r="AE618" s="57" t="e">
        <f t="shared" ca="1" si="126"/>
        <v>#N/A</v>
      </c>
    </row>
    <row r="619" spans="18:31" x14ac:dyDescent="0.3">
      <c r="R619" s="57" t="e">
        <f ca="1"/>
        <v>#N/A</v>
      </c>
      <c r="S619" s="57" t="e">
        <f t="shared" ca="1" si="115"/>
        <v>#N/A</v>
      </c>
      <c r="T619" s="57" t="e">
        <f t="shared" ca="1" si="116"/>
        <v>#N/A</v>
      </c>
      <c r="U619" s="57" t="e">
        <f t="shared" ca="1" si="117"/>
        <v>#N/A</v>
      </c>
      <c r="V619" s="57" t="e">
        <f t="shared" ca="1" si="118"/>
        <v>#N/A</v>
      </c>
      <c r="W619" t="e">
        <f t="shared" ca="1" si="119"/>
        <v>#N/A</v>
      </c>
      <c r="X619" t="e">
        <f t="shared" ca="1" si="120"/>
        <v>#N/A</v>
      </c>
      <c r="Y619" t="e">
        <f t="shared" ca="1" si="121"/>
        <v>#N/A</v>
      </c>
      <c r="Z619" t="e">
        <f t="shared" ca="1" si="122"/>
        <v>#N/A</v>
      </c>
      <c r="AA619" s="85" t="e">
        <f ca="1"/>
        <v>#N/A</v>
      </c>
      <c r="AB619" s="57" t="e">
        <f t="shared" ca="1" si="123"/>
        <v>#N/A</v>
      </c>
      <c r="AC619" s="57" t="e">
        <f t="shared" ca="1" si="124"/>
        <v>#N/A</v>
      </c>
      <c r="AD619" s="57" t="e">
        <f t="shared" ca="1" si="125"/>
        <v>#N/A</v>
      </c>
      <c r="AE619" s="57" t="e">
        <f t="shared" ca="1" si="126"/>
        <v>#N/A</v>
      </c>
    </row>
    <row r="620" spans="18:31" x14ac:dyDescent="0.3">
      <c r="R620" s="57" t="e">
        <f ca="1"/>
        <v>#N/A</v>
      </c>
      <c r="S620" s="57" t="e">
        <f t="shared" ca="1" si="115"/>
        <v>#N/A</v>
      </c>
      <c r="T620" s="57" t="e">
        <f t="shared" ca="1" si="116"/>
        <v>#N/A</v>
      </c>
      <c r="U620" s="57" t="e">
        <f t="shared" ca="1" si="117"/>
        <v>#N/A</v>
      </c>
      <c r="V620" s="57" t="e">
        <f t="shared" ca="1" si="118"/>
        <v>#N/A</v>
      </c>
      <c r="W620" t="e">
        <f t="shared" ca="1" si="119"/>
        <v>#N/A</v>
      </c>
      <c r="X620" t="e">
        <f t="shared" ca="1" si="120"/>
        <v>#N/A</v>
      </c>
      <c r="Y620" t="e">
        <f t="shared" ca="1" si="121"/>
        <v>#N/A</v>
      </c>
      <c r="Z620" t="e">
        <f t="shared" ca="1" si="122"/>
        <v>#N/A</v>
      </c>
      <c r="AA620" s="85" t="e">
        <f ca="1"/>
        <v>#N/A</v>
      </c>
      <c r="AB620" s="57" t="e">
        <f t="shared" ca="1" si="123"/>
        <v>#N/A</v>
      </c>
      <c r="AC620" s="57" t="e">
        <f t="shared" ca="1" si="124"/>
        <v>#N/A</v>
      </c>
      <c r="AD620" s="57" t="e">
        <f t="shared" ca="1" si="125"/>
        <v>#N/A</v>
      </c>
      <c r="AE620" s="57" t="e">
        <f t="shared" ca="1" si="126"/>
        <v>#N/A</v>
      </c>
    </row>
    <row r="621" spans="18:31" x14ac:dyDescent="0.3">
      <c r="R621" s="57" t="e">
        <f ca="1"/>
        <v>#N/A</v>
      </c>
      <c r="S621" s="57" t="e">
        <f t="shared" ca="1" si="115"/>
        <v>#N/A</v>
      </c>
      <c r="T621" s="57" t="e">
        <f t="shared" ca="1" si="116"/>
        <v>#N/A</v>
      </c>
      <c r="U621" s="57" t="e">
        <f t="shared" ca="1" si="117"/>
        <v>#N/A</v>
      </c>
      <c r="V621" s="57" t="e">
        <f t="shared" ca="1" si="118"/>
        <v>#N/A</v>
      </c>
      <c r="W621" t="e">
        <f t="shared" ca="1" si="119"/>
        <v>#N/A</v>
      </c>
      <c r="X621" t="e">
        <f t="shared" ca="1" si="120"/>
        <v>#N/A</v>
      </c>
      <c r="Y621" t="e">
        <f t="shared" ca="1" si="121"/>
        <v>#N/A</v>
      </c>
      <c r="Z621" t="e">
        <f t="shared" ca="1" si="122"/>
        <v>#N/A</v>
      </c>
      <c r="AA621" s="85" t="e">
        <f ca="1"/>
        <v>#N/A</v>
      </c>
      <c r="AB621" s="57" t="e">
        <f t="shared" ca="1" si="123"/>
        <v>#N/A</v>
      </c>
      <c r="AC621" s="57" t="e">
        <f t="shared" ca="1" si="124"/>
        <v>#N/A</v>
      </c>
      <c r="AD621" s="57" t="e">
        <f t="shared" ca="1" si="125"/>
        <v>#N/A</v>
      </c>
      <c r="AE621" s="57" t="e">
        <f t="shared" ca="1" si="126"/>
        <v>#N/A</v>
      </c>
    </row>
    <row r="622" spans="18:31" x14ac:dyDescent="0.3">
      <c r="R622" s="57" t="e">
        <f ca="1"/>
        <v>#N/A</v>
      </c>
      <c r="S622" s="57" t="e">
        <f t="shared" ca="1" si="115"/>
        <v>#N/A</v>
      </c>
      <c r="T622" s="57" t="e">
        <f t="shared" ca="1" si="116"/>
        <v>#N/A</v>
      </c>
      <c r="U622" s="57" t="e">
        <f t="shared" ca="1" si="117"/>
        <v>#N/A</v>
      </c>
      <c r="V622" s="57" t="e">
        <f t="shared" ca="1" si="118"/>
        <v>#N/A</v>
      </c>
      <c r="W622" t="e">
        <f t="shared" ca="1" si="119"/>
        <v>#N/A</v>
      </c>
      <c r="X622" t="e">
        <f t="shared" ca="1" si="120"/>
        <v>#N/A</v>
      </c>
      <c r="Y622" t="e">
        <f t="shared" ca="1" si="121"/>
        <v>#N/A</v>
      </c>
      <c r="Z622" t="e">
        <f t="shared" ca="1" si="122"/>
        <v>#N/A</v>
      </c>
      <c r="AA622" s="85" t="e">
        <f ca="1"/>
        <v>#N/A</v>
      </c>
      <c r="AB622" s="57" t="e">
        <f t="shared" ca="1" si="123"/>
        <v>#N/A</v>
      </c>
      <c r="AC622" s="57" t="e">
        <f t="shared" ca="1" si="124"/>
        <v>#N/A</v>
      </c>
      <c r="AD622" s="57" t="e">
        <f t="shared" ca="1" si="125"/>
        <v>#N/A</v>
      </c>
      <c r="AE622" s="57" t="e">
        <f t="shared" ca="1" si="126"/>
        <v>#N/A</v>
      </c>
    </row>
    <row r="623" spans="18:31" x14ac:dyDescent="0.3">
      <c r="R623" s="57" t="e">
        <f ca="1"/>
        <v>#N/A</v>
      </c>
      <c r="S623" s="57" t="e">
        <f t="shared" ca="1" si="115"/>
        <v>#N/A</v>
      </c>
      <c r="T623" s="57" t="e">
        <f t="shared" ca="1" si="116"/>
        <v>#N/A</v>
      </c>
      <c r="U623" s="57" t="e">
        <f t="shared" ca="1" si="117"/>
        <v>#N/A</v>
      </c>
      <c r="V623" s="57" t="e">
        <f t="shared" ca="1" si="118"/>
        <v>#N/A</v>
      </c>
      <c r="W623" t="e">
        <f t="shared" ca="1" si="119"/>
        <v>#N/A</v>
      </c>
      <c r="X623" t="e">
        <f t="shared" ca="1" si="120"/>
        <v>#N/A</v>
      </c>
      <c r="Y623" t="e">
        <f t="shared" ca="1" si="121"/>
        <v>#N/A</v>
      </c>
      <c r="Z623" t="e">
        <f t="shared" ca="1" si="122"/>
        <v>#N/A</v>
      </c>
      <c r="AA623" s="85" t="e">
        <f ca="1"/>
        <v>#N/A</v>
      </c>
      <c r="AB623" s="57" t="e">
        <f t="shared" ca="1" si="123"/>
        <v>#N/A</v>
      </c>
      <c r="AC623" s="57" t="e">
        <f t="shared" ca="1" si="124"/>
        <v>#N/A</v>
      </c>
      <c r="AD623" s="57" t="e">
        <f t="shared" ca="1" si="125"/>
        <v>#N/A</v>
      </c>
      <c r="AE623" s="57" t="e">
        <f t="shared" ca="1" si="126"/>
        <v>#N/A</v>
      </c>
    </row>
    <row r="624" spans="18:31" x14ac:dyDescent="0.3">
      <c r="R624" s="57" t="e">
        <f ca="1"/>
        <v>#N/A</v>
      </c>
      <c r="S624" s="57" t="e">
        <f t="shared" ca="1" si="115"/>
        <v>#N/A</v>
      </c>
      <c r="T624" s="57" t="e">
        <f t="shared" ca="1" si="116"/>
        <v>#N/A</v>
      </c>
      <c r="U624" s="57" t="e">
        <f t="shared" ca="1" si="117"/>
        <v>#N/A</v>
      </c>
      <c r="V624" s="57" t="e">
        <f t="shared" ca="1" si="118"/>
        <v>#N/A</v>
      </c>
      <c r="W624" t="e">
        <f t="shared" ca="1" si="119"/>
        <v>#N/A</v>
      </c>
      <c r="X624" t="e">
        <f t="shared" ca="1" si="120"/>
        <v>#N/A</v>
      </c>
      <c r="Y624" t="e">
        <f t="shared" ca="1" si="121"/>
        <v>#N/A</v>
      </c>
      <c r="Z624" t="e">
        <f t="shared" ca="1" si="122"/>
        <v>#N/A</v>
      </c>
      <c r="AA624" s="85" t="e">
        <f ca="1"/>
        <v>#N/A</v>
      </c>
      <c r="AB624" s="57" t="e">
        <f t="shared" ca="1" si="123"/>
        <v>#N/A</v>
      </c>
      <c r="AC624" s="57" t="e">
        <f t="shared" ca="1" si="124"/>
        <v>#N/A</v>
      </c>
      <c r="AD624" s="57" t="e">
        <f t="shared" ca="1" si="125"/>
        <v>#N/A</v>
      </c>
      <c r="AE624" s="57" t="e">
        <f t="shared" ca="1" si="126"/>
        <v>#N/A</v>
      </c>
    </row>
    <row r="625" spans="18:31" x14ac:dyDescent="0.3">
      <c r="R625" s="57" t="e">
        <f ca="1"/>
        <v>#N/A</v>
      </c>
      <c r="S625" s="57" t="e">
        <f t="shared" ca="1" si="115"/>
        <v>#N/A</v>
      </c>
      <c r="T625" s="57" t="e">
        <f t="shared" ca="1" si="116"/>
        <v>#N/A</v>
      </c>
      <c r="U625" s="57" t="e">
        <f t="shared" ca="1" si="117"/>
        <v>#N/A</v>
      </c>
      <c r="V625" s="57" t="e">
        <f t="shared" ca="1" si="118"/>
        <v>#N/A</v>
      </c>
      <c r="W625" t="e">
        <f t="shared" ca="1" si="119"/>
        <v>#N/A</v>
      </c>
      <c r="X625" t="e">
        <f t="shared" ca="1" si="120"/>
        <v>#N/A</v>
      </c>
      <c r="Y625" t="e">
        <f t="shared" ca="1" si="121"/>
        <v>#N/A</v>
      </c>
      <c r="Z625" t="e">
        <f t="shared" ca="1" si="122"/>
        <v>#N/A</v>
      </c>
      <c r="AA625" s="85" t="e">
        <f ca="1"/>
        <v>#N/A</v>
      </c>
      <c r="AB625" s="57" t="e">
        <f t="shared" ca="1" si="123"/>
        <v>#N/A</v>
      </c>
      <c r="AC625" s="57" t="e">
        <f t="shared" ca="1" si="124"/>
        <v>#N/A</v>
      </c>
      <c r="AD625" s="57" t="e">
        <f t="shared" ca="1" si="125"/>
        <v>#N/A</v>
      </c>
      <c r="AE625" s="57" t="e">
        <f t="shared" ca="1" si="126"/>
        <v>#N/A</v>
      </c>
    </row>
    <row r="626" spans="18:31" x14ac:dyDescent="0.3">
      <c r="R626" s="57" t="e">
        <f ca="1"/>
        <v>#N/A</v>
      </c>
      <c r="S626" s="57" t="e">
        <f t="shared" ca="1" si="115"/>
        <v>#N/A</v>
      </c>
      <c r="T626" s="57" t="e">
        <f t="shared" ca="1" si="116"/>
        <v>#N/A</v>
      </c>
      <c r="U626" s="57" t="e">
        <f t="shared" ca="1" si="117"/>
        <v>#N/A</v>
      </c>
      <c r="V626" s="57" t="e">
        <f t="shared" ca="1" si="118"/>
        <v>#N/A</v>
      </c>
      <c r="W626" t="e">
        <f t="shared" ca="1" si="119"/>
        <v>#N/A</v>
      </c>
      <c r="X626" t="e">
        <f t="shared" ca="1" si="120"/>
        <v>#N/A</v>
      </c>
      <c r="Y626" t="e">
        <f t="shared" ca="1" si="121"/>
        <v>#N/A</v>
      </c>
      <c r="Z626" t="e">
        <f t="shared" ca="1" si="122"/>
        <v>#N/A</v>
      </c>
      <c r="AA626" s="85" t="e">
        <f ca="1"/>
        <v>#N/A</v>
      </c>
      <c r="AB626" s="57" t="e">
        <f t="shared" ca="1" si="123"/>
        <v>#N/A</v>
      </c>
      <c r="AC626" s="57" t="e">
        <f t="shared" ca="1" si="124"/>
        <v>#N/A</v>
      </c>
      <c r="AD626" s="57" t="e">
        <f t="shared" ca="1" si="125"/>
        <v>#N/A</v>
      </c>
      <c r="AE626" s="57" t="e">
        <f t="shared" ca="1" si="126"/>
        <v>#N/A</v>
      </c>
    </row>
    <row r="627" spans="18:31" x14ac:dyDescent="0.3">
      <c r="R627" s="57" t="e">
        <f ca="1"/>
        <v>#N/A</v>
      </c>
      <c r="S627" s="57" t="e">
        <f t="shared" ca="1" si="115"/>
        <v>#N/A</v>
      </c>
      <c r="T627" s="57" t="e">
        <f t="shared" ca="1" si="116"/>
        <v>#N/A</v>
      </c>
      <c r="U627" s="57" t="e">
        <f t="shared" ca="1" si="117"/>
        <v>#N/A</v>
      </c>
      <c r="V627" s="57" t="e">
        <f t="shared" ca="1" si="118"/>
        <v>#N/A</v>
      </c>
      <c r="W627" t="e">
        <f t="shared" ca="1" si="119"/>
        <v>#N/A</v>
      </c>
      <c r="X627" t="e">
        <f t="shared" ca="1" si="120"/>
        <v>#N/A</v>
      </c>
      <c r="Y627" t="e">
        <f t="shared" ca="1" si="121"/>
        <v>#N/A</v>
      </c>
      <c r="Z627" t="e">
        <f t="shared" ca="1" si="122"/>
        <v>#N/A</v>
      </c>
      <c r="AA627" s="85" t="e">
        <f ca="1"/>
        <v>#N/A</v>
      </c>
      <c r="AB627" s="57" t="e">
        <f t="shared" ca="1" si="123"/>
        <v>#N/A</v>
      </c>
      <c r="AC627" s="57" t="e">
        <f t="shared" ca="1" si="124"/>
        <v>#N/A</v>
      </c>
      <c r="AD627" s="57" t="e">
        <f t="shared" ca="1" si="125"/>
        <v>#N/A</v>
      </c>
      <c r="AE627" s="57" t="e">
        <f t="shared" ca="1" si="126"/>
        <v>#N/A</v>
      </c>
    </row>
    <row r="628" spans="18:31" x14ac:dyDescent="0.3">
      <c r="R628" s="57" t="e">
        <f ca="1"/>
        <v>#N/A</v>
      </c>
      <c r="S628" s="57" t="e">
        <f t="shared" ca="1" si="115"/>
        <v>#N/A</v>
      </c>
      <c r="T628" s="57" t="e">
        <f t="shared" ca="1" si="116"/>
        <v>#N/A</v>
      </c>
      <c r="U628" s="57" t="e">
        <f t="shared" ca="1" si="117"/>
        <v>#N/A</v>
      </c>
      <c r="V628" s="57" t="e">
        <f t="shared" ca="1" si="118"/>
        <v>#N/A</v>
      </c>
      <c r="W628" t="e">
        <f t="shared" ca="1" si="119"/>
        <v>#N/A</v>
      </c>
      <c r="X628" t="e">
        <f t="shared" ca="1" si="120"/>
        <v>#N/A</v>
      </c>
      <c r="Y628" t="e">
        <f t="shared" ca="1" si="121"/>
        <v>#N/A</v>
      </c>
      <c r="Z628" t="e">
        <f t="shared" ca="1" si="122"/>
        <v>#N/A</v>
      </c>
      <c r="AA628" s="85" t="e">
        <f ca="1"/>
        <v>#N/A</v>
      </c>
      <c r="AB628" s="57" t="e">
        <f t="shared" ca="1" si="123"/>
        <v>#N/A</v>
      </c>
      <c r="AC628" s="57" t="e">
        <f t="shared" ca="1" si="124"/>
        <v>#N/A</v>
      </c>
      <c r="AD628" s="57" t="e">
        <f t="shared" ca="1" si="125"/>
        <v>#N/A</v>
      </c>
      <c r="AE628" s="57" t="e">
        <f t="shared" ca="1" si="126"/>
        <v>#N/A</v>
      </c>
    </row>
    <row r="629" spans="18:31" x14ac:dyDescent="0.3">
      <c r="R629" s="57" t="e">
        <f ca="1"/>
        <v>#N/A</v>
      </c>
      <c r="S629" s="57" t="e">
        <f t="shared" ca="1" si="115"/>
        <v>#N/A</v>
      </c>
      <c r="T629" s="57" t="e">
        <f t="shared" ca="1" si="116"/>
        <v>#N/A</v>
      </c>
      <c r="U629" s="57" t="e">
        <f t="shared" ca="1" si="117"/>
        <v>#N/A</v>
      </c>
      <c r="V629" s="57" t="e">
        <f t="shared" ca="1" si="118"/>
        <v>#N/A</v>
      </c>
      <c r="W629" t="e">
        <f t="shared" ca="1" si="119"/>
        <v>#N/A</v>
      </c>
      <c r="X629" t="e">
        <f t="shared" ca="1" si="120"/>
        <v>#N/A</v>
      </c>
      <c r="Y629" t="e">
        <f t="shared" ca="1" si="121"/>
        <v>#N/A</v>
      </c>
      <c r="Z629" t="e">
        <f t="shared" ca="1" si="122"/>
        <v>#N/A</v>
      </c>
      <c r="AA629" s="85" t="e">
        <f ca="1"/>
        <v>#N/A</v>
      </c>
      <c r="AB629" s="57" t="e">
        <f t="shared" ca="1" si="123"/>
        <v>#N/A</v>
      </c>
      <c r="AC629" s="57" t="e">
        <f t="shared" ca="1" si="124"/>
        <v>#N/A</v>
      </c>
      <c r="AD629" s="57" t="e">
        <f t="shared" ca="1" si="125"/>
        <v>#N/A</v>
      </c>
      <c r="AE629" s="57" t="e">
        <f t="shared" ca="1" si="126"/>
        <v>#N/A</v>
      </c>
    </row>
    <row r="630" spans="18:31" x14ac:dyDescent="0.3">
      <c r="R630" s="57" t="e">
        <f ca="1"/>
        <v>#N/A</v>
      </c>
      <c r="S630" s="57" t="e">
        <f t="shared" ca="1" si="115"/>
        <v>#N/A</v>
      </c>
      <c r="T630" s="57" t="e">
        <f t="shared" ca="1" si="116"/>
        <v>#N/A</v>
      </c>
      <c r="U630" s="57" t="e">
        <f t="shared" ca="1" si="117"/>
        <v>#N/A</v>
      </c>
      <c r="V630" s="57" t="e">
        <f t="shared" ca="1" si="118"/>
        <v>#N/A</v>
      </c>
      <c r="W630" t="e">
        <f t="shared" ca="1" si="119"/>
        <v>#N/A</v>
      </c>
      <c r="X630" t="e">
        <f t="shared" ca="1" si="120"/>
        <v>#N/A</v>
      </c>
      <c r="Y630" t="e">
        <f t="shared" ca="1" si="121"/>
        <v>#N/A</v>
      </c>
      <c r="Z630" t="e">
        <f t="shared" ca="1" si="122"/>
        <v>#N/A</v>
      </c>
      <c r="AA630" s="85" t="e">
        <f ca="1"/>
        <v>#N/A</v>
      </c>
      <c r="AB630" s="57" t="e">
        <f t="shared" ca="1" si="123"/>
        <v>#N/A</v>
      </c>
      <c r="AC630" s="57" t="e">
        <f t="shared" ca="1" si="124"/>
        <v>#N/A</v>
      </c>
      <c r="AD630" s="57" t="e">
        <f t="shared" ca="1" si="125"/>
        <v>#N/A</v>
      </c>
      <c r="AE630" s="57" t="e">
        <f t="shared" ca="1" si="126"/>
        <v>#N/A</v>
      </c>
    </row>
    <row r="631" spans="18:31" x14ac:dyDescent="0.3">
      <c r="R631" s="57" t="e">
        <f ca="1"/>
        <v>#N/A</v>
      </c>
      <c r="S631" s="57" t="e">
        <f t="shared" ca="1" si="115"/>
        <v>#N/A</v>
      </c>
      <c r="T631" s="57" t="e">
        <f t="shared" ca="1" si="116"/>
        <v>#N/A</v>
      </c>
      <c r="U631" s="57" t="e">
        <f t="shared" ca="1" si="117"/>
        <v>#N/A</v>
      </c>
      <c r="V631" s="57" t="e">
        <f t="shared" ca="1" si="118"/>
        <v>#N/A</v>
      </c>
      <c r="W631" t="e">
        <f t="shared" ca="1" si="119"/>
        <v>#N/A</v>
      </c>
      <c r="X631" t="e">
        <f t="shared" ca="1" si="120"/>
        <v>#N/A</v>
      </c>
      <c r="Y631" t="e">
        <f t="shared" ca="1" si="121"/>
        <v>#N/A</v>
      </c>
      <c r="Z631" t="e">
        <f t="shared" ca="1" si="122"/>
        <v>#N/A</v>
      </c>
      <c r="AA631" s="85" t="e">
        <f ca="1"/>
        <v>#N/A</v>
      </c>
      <c r="AB631" s="57" t="e">
        <f t="shared" ca="1" si="123"/>
        <v>#N/A</v>
      </c>
      <c r="AC631" s="57" t="e">
        <f t="shared" ca="1" si="124"/>
        <v>#N/A</v>
      </c>
      <c r="AD631" s="57" t="e">
        <f t="shared" ca="1" si="125"/>
        <v>#N/A</v>
      </c>
      <c r="AE631" s="57" t="e">
        <f t="shared" ca="1" si="126"/>
        <v>#N/A</v>
      </c>
    </row>
    <row r="632" spans="18:31" x14ac:dyDescent="0.3">
      <c r="R632" s="57" t="e">
        <f ca="1"/>
        <v>#N/A</v>
      </c>
      <c r="S632" s="57" t="e">
        <f t="shared" ca="1" si="115"/>
        <v>#N/A</v>
      </c>
      <c r="T632" s="57" t="e">
        <f t="shared" ca="1" si="116"/>
        <v>#N/A</v>
      </c>
      <c r="U632" s="57" t="e">
        <f t="shared" ca="1" si="117"/>
        <v>#N/A</v>
      </c>
      <c r="V632" s="57" t="e">
        <f t="shared" ca="1" si="118"/>
        <v>#N/A</v>
      </c>
      <c r="W632" t="e">
        <f t="shared" ca="1" si="119"/>
        <v>#N/A</v>
      </c>
      <c r="X632" t="e">
        <f t="shared" ca="1" si="120"/>
        <v>#N/A</v>
      </c>
      <c r="Y632" t="e">
        <f t="shared" ca="1" si="121"/>
        <v>#N/A</v>
      </c>
      <c r="Z632" t="e">
        <f t="shared" ca="1" si="122"/>
        <v>#N/A</v>
      </c>
      <c r="AA632" s="85" t="e">
        <f ca="1"/>
        <v>#N/A</v>
      </c>
      <c r="AB632" s="57" t="e">
        <f t="shared" ca="1" si="123"/>
        <v>#N/A</v>
      </c>
      <c r="AC632" s="57" t="e">
        <f t="shared" ca="1" si="124"/>
        <v>#N/A</v>
      </c>
      <c r="AD632" s="57" t="e">
        <f t="shared" ca="1" si="125"/>
        <v>#N/A</v>
      </c>
      <c r="AE632" s="57" t="e">
        <f t="shared" ca="1" si="126"/>
        <v>#N/A</v>
      </c>
    </row>
    <row r="633" spans="18:31" x14ac:dyDescent="0.3">
      <c r="R633" s="57" t="e">
        <f ca="1"/>
        <v>#N/A</v>
      </c>
      <c r="S633" s="57" t="e">
        <f t="shared" ca="1" si="115"/>
        <v>#N/A</v>
      </c>
      <c r="T633" s="57" t="e">
        <f t="shared" ca="1" si="116"/>
        <v>#N/A</v>
      </c>
      <c r="U633" s="57" t="e">
        <f t="shared" ca="1" si="117"/>
        <v>#N/A</v>
      </c>
      <c r="V633" s="57" t="e">
        <f t="shared" ca="1" si="118"/>
        <v>#N/A</v>
      </c>
      <c r="W633" t="e">
        <f t="shared" ca="1" si="119"/>
        <v>#N/A</v>
      </c>
      <c r="X633" t="e">
        <f t="shared" ca="1" si="120"/>
        <v>#N/A</v>
      </c>
      <c r="Y633" t="e">
        <f t="shared" ca="1" si="121"/>
        <v>#N/A</v>
      </c>
      <c r="Z633" t="e">
        <f t="shared" ca="1" si="122"/>
        <v>#N/A</v>
      </c>
      <c r="AA633" s="85" t="e">
        <f ca="1"/>
        <v>#N/A</v>
      </c>
      <c r="AB633" s="57" t="e">
        <f t="shared" ca="1" si="123"/>
        <v>#N/A</v>
      </c>
      <c r="AC633" s="57" t="e">
        <f t="shared" ca="1" si="124"/>
        <v>#N/A</v>
      </c>
      <c r="AD633" s="57" t="e">
        <f t="shared" ca="1" si="125"/>
        <v>#N/A</v>
      </c>
      <c r="AE633" s="57" t="e">
        <f t="shared" ca="1" si="126"/>
        <v>#N/A</v>
      </c>
    </row>
    <row r="634" spans="18:31" x14ac:dyDescent="0.3">
      <c r="R634" s="57" t="e">
        <f ca="1"/>
        <v>#N/A</v>
      </c>
      <c r="S634" s="57" t="e">
        <f t="shared" ca="1" si="115"/>
        <v>#N/A</v>
      </c>
      <c r="T634" s="57" t="e">
        <f t="shared" ca="1" si="116"/>
        <v>#N/A</v>
      </c>
      <c r="U634" s="57" t="e">
        <f t="shared" ca="1" si="117"/>
        <v>#N/A</v>
      </c>
      <c r="V634" s="57" t="e">
        <f t="shared" ca="1" si="118"/>
        <v>#N/A</v>
      </c>
      <c r="W634" t="e">
        <f t="shared" ca="1" si="119"/>
        <v>#N/A</v>
      </c>
      <c r="X634" t="e">
        <f t="shared" ca="1" si="120"/>
        <v>#N/A</v>
      </c>
      <c r="Y634" t="e">
        <f t="shared" ca="1" si="121"/>
        <v>#N/A</v>
      </c>
      <c r="Z634" t="e">
        <f t="shared" ca="1" si="122"/>
        <v>#N/A</v>
      </c>
      <c r="AA634" s="85" t="e">
        <f ca="1"/>
        <v>#N/A</v>
      </c>
      <c r="AB634" s="57" t="e">
        <f t="shared" ca="1" si="123"/>
        <v>#N/A</v>
      </c>
      <c r="AC634" s="57" t="e">
        <f t="shared" ca="1" si="124"/>
        <v>#N/A</v>
      </c>
      <c r="AD634" s="57" t="e">
        <f t="shared" ca="1" si="125"/>
        <v>#N/A</v>
      </c>
      <c r="AE634" s="57" t="e">
        <f t="shared" ca="1" si="126"/>
        <v>#N/A</v>
      </c>
    </row>
    <row r="635" spans="18:31" x14ac:dyDescent="0.3">
      <c r="R635" s="57" t="e">
        <f ca="1"/>
        <v>#N/A</v>
      </c>
      <c r="S635" s="57" t="e">
        <f t="shared" ca="1" si="115"/>
        <v>#N/A</v>
      </c>
      <c r="T635" s="57" t="e">
        <f t="shared" ca="1" si="116"/>
        <v>#N/A</v>
      </c>
      <c r="U635" s="57" t="e">
        <f t="shared" ca="1" si="117"/>
        <v>#N/A</v>
      </c>
      <c r="V635" s="57" t="e">
        <f t="shared" ca="1" si="118"/>
        <v>#N/A</v>
      </c>
      <c r="W635" t="e">
        <f t="shared" ca="1" si="119"/>
        <v>#N/A</v>
      </c>
      <c r="X635" t="e">
        <f t="shared" ca="1" si="120"/>
        <v>#N/A</v>
      </c>
      <c r="Y635" t="e">
        <f t="shared" ca="1" si="121"/>
        <v>#N/A</v>
      </c>
      <c r="Z635" t="e">
        <f t="shared" ca="1" si="122"/>
        <v>#N/A</v>
      </c>
      <c r="AA635" s="85" t="e">
        <f ca="1"/>
        <v>#N/A</v>
      </c>
      <c r="AB635" s="57" t="e">
        <f t="shared" ca="1" si="123"/>
        <v>#N/A</v>
      </c>
      <c r="AC635" s="57" t="e">
        <f t="shared" ca="1" si="124"/>
        <v>#N/A</v>
      </c>
      <c r="AD635" s="57" t="e">
        <f t="shared" ca="1" si="125"/>
        <v>#N/A</v>
      </c>
      <c r="AE635" s="57" t="e">
        <f t="shared" ca="1" si="126"/>
        <v>#N/A</v>
      </c>
    </row>
    <row r="636" spans="18:31" x14ac:dyDescent="0.3">
      <c r="R636" s="57" t="e">
        <f ca="1"/>
        <v>#N/A</v>
      </c>
      <c r="S636" s="57" t="e">
        <f t="shared" ca="1" si="115"/>
        <v>#N/A</v>
      </c>
      <c r="T636" s="57" t="e">
        <f t="shared" ca="1" si="116"/>
        <v>#N/A</v>
      </c>
      <c r="U636" s="57" t="e">
        <f t="shared" ca="1" si="117"/>
        <v>#N/A</v>
      </c>
      <c r="V636" s="57" t="e">
        <f t="shared" ca="1" si="118"/>
        <v>#N/A</v>
      </c>
      <c r="W636" t="e">
        <f t="shared" ca="1" si="119"/>
        <v>#N/A</v>
      </c>
      <c r="X636" t="e">
        <f t="shared" ca="1" si="120"/>
        <v>#N/A</v>
      </c>
      <c r="Y636" t="e">
        <f t="shared" ca="1" si="121"/>
        <v>#N/A</v>
      </c>
      <c r="Z636" t="e">
        <f t="shared" ca="1" si="122"/>
        <v>#N/A</v>
      </c>
      <c r="AA636" s="85" t="e">
        <f ca="1"/>
        <v>#N/A</v>
      </c>
      <c r="AB636" s="57" t="e">
        <f t="shared" ca="1" si="123"/>
        <v>#N/A</v>
      </c>
      <c r="AC636" s="57" t="e">
        <f t="shared" ca="1" si="124"/>
        <v>#N/A</v>
      </c>
      <c r="AD636" s="57" t="e">
        <f t="shared" ca="1" si="125"/>
        <v>#N/A</v>
      </c>
      <c r="AE636" s="57" t="e">
        <f t="shared" ca="1" si="126"/>
        <v>#N/A</v>
      </c>
    </row>
    <row r="637" spans="18:31" x14ac:dyDescent="0.3">
      <c r="R637" s="57" t="e">
        <f ca="1"/>
        <v>#N/A</v>
      </c>
      <c r="S637" s="57" t="e">
        <f t="shared" ca="1" si="115"/>
        <v>#N/A</v>
      </c>
      <c r="T637" s="57" t="e">
        <f t="shared" ca="1" si="116"/>
        <v>#N/A</v>
      </c>
      <c r="U637" s="57" t="e">
        <f t="shared" ca="1" si="117"/>
        <v>#N/A</v>
      </c>
      <c r="V637" s="57" t="e">
        <f t="shared" ca="1" si="118"/>
        <v>#N/A</v>
      </c>
      <c r="W637" t="e">
        <f t="shared" ca="1" si="119"/>
        <v>#N/A</v>
      </c>
      <c r="X637" t="e">
        <f t="shared" ca="1" si="120"/>
        <v>#N/A</v>
      </c>
      <c r="Y637" t="e">
        <f t="shared" ca="1" si="121"/>
        <v>#N/A</v>
      </c>
      <c r="Z637" t="e">
        <f t="shared" ca="1" si="122"/>
        <v>#N/A</v>
      </c>
      <c r="AA637" s="85" t="e">
        <f ca="1"/>
        <v>#N/A</v>
      </c>
      <c r="AB637" s="57" t="e">
        <f t="shared" ca="1" si="123"/>
        <v>#N/A</v>
      </c>
      <c r="AC637" s="57" t="e">
        <f t="shared" ca="1" si="124"/>
        <v>#N/A</v>
      </c>
      <c r="AD637" s="57" t="e">
        <f t="shared" ca="1" si="125"/>
        <v>#N/A</v>
      </c>
      <c r="AE637" s="57" t="e">
        <f t="shared" ca="1" si="126"/>
        <v>#N/A</v>
      </c>
    </row>
    <row r="638" spans="18:31" x14ac:dyDescent="0.3">
      <c r="R638" s="57" t="e">
        <f ca="1"/>
        <v>#N/A</v>
      </c>
      <c r="S638" s="57" t="e">
        <f t="shared" ca="1" si="115"/>
        <v>#N/A</v>
      </c>
      <c r="T638" s="57" t="e">
        <f t="shared" ca="1" si="116"/>
        <v>#N/A</v>
      </c>
      <c r="U638" s="57" t="e">
        <f t="shared" ca="1" si="117"/>
        <v>#N/A</v>
      </c>
      <c r="V638" s="57" t="e">
        <f t="shared" ca="1" si="118"/>
        <v>#N/A</v>
      </c>
      <c r="W638" t="e">
        <f t="shared" ca="1" si="119"/>
        <v>#N/A</v>
      </c>
      <c r="X638" t="e">
        <f t="shared" ca="1" si="120"/>
        <v>#N/A</v>
      </c>
      <c r="Y638" t="e">
        <f t="shared" ca="1" si="121"/>
        <v>#N/A</v>
      </c>
      <c r="Z638" t="e">
        <f t="shared" ca="1" si="122"/>
        <v>#N/A</v>
      </c>
      <c r="AA638" s="85" t="e">
        <f ca="1"/>
        <v>#N/A</v>
      </c>
      <c r="AB638" s="57" t="e">
        <f t="shared" ca="1" si="123"/>
        <v>#N/A</v>
      </c>
      <c r="AC638" s="57" t="e">
        <f t="shared" ca="1" si="124"/>
        <v>#N/A</v>
      </c>
      <c r="AD638" s="57" t="e">
        <f t="shared" ca="1" si="125"/>
        <v>#N/A</v>
      </c>
      <c r="AE638" s="57" t="e">
        <f t="shared" ca="1" si="126"/>
        <v>#N/A</v>
      </c>
    </row>
    <row r="639" spans="18:31" x14ac:dyDescent="0.3">
      <c r="R639" s="57" t="e">
        <f ca="1"/>
        <v>#N/A</v>
      </c>
      <c r="S639" s="57" t="e">
        <f t="shared" ca="1" si="115"/>
        <v>#N/A</v>
      </c>
      <c r="T639" s="57" t="e">
        <f t="shared" ca="1" si="116"/>
        <v>#N/A</v>
      </c>
      <c r="U639" s="57" t="e">
        <f t="shared" ca="1" si="117"/>
        <v>#N/A</v>
      </c>
      <c r="V639" s="57" t="e">
        <f t="shared" ca="1" si="118"/>
        <v>#N/A</v>
      </c>
      <c r="W639" t="e">
        <f t="shared" ca="1" si="119"/>
        <v>#N/A</v>
      </c>
      <c r="X639" t="e">
        <f t="shared" ca="1" si="120"/>
        <v>#N/A</v>
      </c>
      <c r="Y639" t="e">
        <f t="shared" ca="1" si="121"/>
        <v>#N/A</v>
      </c>
      <c r="Z639" t="e">
        <f t="shared" ca="1" si="122"/>
        <v>#N/A</v>
      </c>
      <c r="AA639" s="85" t="e">
        <f ca="1"/>
        <v>#N/A</v>
      </c>
      <c r="AB639" s="57" t="e">
        <f t="shared" ca="1" si="123"/>
        <v>#N/A</v>
      </c>
      <c r="AC639" s="57" t="e">
        <f t="shared" ca="1" si="124"/>
        <v>#N/A</v>
      </c>
      <c r="AD639" s="57" t="e">
        <f t="shared" ca="1" si="125"/>
        <v>#N/A</v>
      </c>
      <c r="AE639" s="57" t="e">
        <f t="shared" ca="1" si="126"/>
        <v>#N/A</v>
      </c>
    </row>
    <row r="640" spans="18:31" x14ac:dyDescent="0.3">
      <c r="R640" s="57" t="e">
        <f ca="1"/>
        <v>#N/A</v>
      </c>
      <c r="S640" s="57" t="e">
        <f t="shared" ca="1" si="115"/>
        <v>#N/A</v>
      </c>
      <c r="T640" s="57" t="e">
        <f t="shared" ca="1" si="116"/>
        <v>#N/A</v>
      </c>
      <c r="U640" s="57" t="e">
        <f t="shared" ca="1" si="117"/>
        <v>#N/A</v>
      </c>
      <c r="V640" s="57" t="e">
        <f t="shared" ca="1" si="118"/>
        <v>#N/A</v>
      </c>
      <c r="W640" t="e">
        <f t="shared" ca="1" si="119"/>
        <v>#N/A</v>
      </c>
      <c r="X640" t="e">
        <f t="shared" ca="1" si="120"/>
        <v>#N/A</v>
      </c>
      <c r="Y640" t="e">
        <f t="shared" ca="1" si="121"/>
        <v>#N/A</v>
      </c>
      <c r="Z640" t="e">
        <f t="shared" ca="1" si="122"/>
        <v>#N/A</v>
      </c>
      <c r="AA640" s="85" t="e">
        <f ca="1"/>
        <v>#N/A</v>
      </c>
      <c r="AB640" s="57" t="e">
        <f t="shared" ca="1" si="123"/>
        <v>#N/A</v>
      </c>
      <c r="AC640" s="57" t="e">
        <f t="shared" ca="1" si="124"/>
        <v>#N/A</v>
      </c>
      <c r="AD640" s="57" t="e">
        <f t="shared" ca="1" si="125"/>
        <v>#N/A</v>
      </c>
      <c r="AE640" s="57" t="e">
        <f t="shared" ca="1" si="126"/>
        <v>#N/A</v>
      </c>
    </row>
    <row r="641" spans="18:31" x14ac:dyDescent="0.3">
      <c r="R641" s="57" t="e">
        <f ca="1"/>
        <v>#N/A</v>
      </c>
      <c r="S641" s="57" t="e">
        <f t="shared" ca="1" si="115"/>
        <v>#N/A</v>
      </c>
      <c r="T641" s="57" t="e">
        <f t="shared" ca="1" si="116"/>
        <v>#N/A</v>
      </c>
      <c r="U641" s="57" t="e">
        <f t="shared" ca="1" si="117"/>
        <v>#N/A</v>
      </c>
      <c r="V641" s="57" t="e">
        <f t="shared" ca="1" si="118"/>
        <v>#N/A</v>
      </c>
      <c r="W641" t="e">
        <f t="shared" ca="1" si="119"/>
        <v>#N/A</v>
      </c>
      <c r="X641" t="e">
        <f t="shared" ca="1" si="120"/>
        <v>#N/A</v>
      </c>
      <c r="Y641" t="e">
        <f t="shared" ca="1" si="121"/>
        <v>#N/A</v>
      </c>
      <c r="Z641" t="e">
        <f t="shared" ca="1" si="122"/>
        <v>#N/A</v>
      </c>
      <c r="AA641" s="85" t="e">
        <f ca="1"/>
        <v>#N/A</v>
      </c>
      <c r="AB641" s="57" t="e">
        <f t="shared" ca="1" si="123"/>
        <v>#N/A</v>
      </c>
      <c r="AC641" s="57" t="e">
        <f t="shared" ca="1" si="124"/>
        <v>#N/A</v>
      </c>
      <c r="AD641" s="57" t="e">
        <f t="shared" ca="1" si="125"/>
        <v>#N/A</v>
      </c>
      <c r="AE641" s="57" t="e">
        <f t="shared" ca="1" si="126"/>
        <v>#N/A</v>
      </c>
    </row>
    <row r="642" spans="18:31" x14ac:dyDescent="0.3">
      <c r="R642" s="57" t="e">
        <f ca="1"/>
        <v>#N/A</v>
      </c>
      <c r="S642" s="57" t="e">
        <f t="shared" ca="1" si="115"/>
        <v>#N/A</v>
      </c>
      <c r="T642" s="57" t="e">
        <f t="shared" ca="1" si="116"/>
        <v>#N/A</v>
      </c>
      <c r="U642" s="57" t="e">
        <f t="shared" ca="1" si="117"/>
        <v>#N/A</v>
      </c>
      <c r="V642" s="57" t="e">
        <f t="shared" ca="1" si="118"/>
        <v>#N/A</v>
      </c>
      <c r="W642" t="e">
        <f t="shared" ca="1" si="119"/>
        <v>#N/A</v>
      </c>
      <c r="X642" t="e">
        <f t="shared" ca="1" si="120"/>
        <v>#N/A</v>
      </c>
      <c r="Y642" t="e">
        <f t="shared" ca="1" si="121"/>
        <v>#N/A</v>
      </c>
      <c r="Z642" t="e">
        <f t="shared" ca="1" si="122"/>
        <v>#N/A</v>
      </c>
      <c r="AA642" s="85" t="e">
        <f ca="1"/>
        <v>#N/A</v>
      </c>
      <c r="AB642" s="57" t="e">
        <f t="shared" ca="1" si="123"/>
        <v>#N/A</v>
      </c>
      <c r="AC642" s="57" t="e">
        <f t="shared" ca="1" si="124"/>
        <v>#N/A</v>
      </c>
      <c r="AD642" s="57" t="e">
        <f t="shared" ca="1" si="125"/>
        <v>#N/A</v>
      </c>
      <c r="AE642" s="57" t="e">
        <f t="shared" ca="1" si="126"/>
        <v>#N/A</v>
      </c>
    </row>
    <row r="643" spans="18:31" x14ac:dyDescent="0.3">
      <c r="R643" s="57" t="e">
        <f ca="1"/>
        <v>#N/A</v>
      </c>
      <c r="S643" s="57" t="e">
        <f t="shared" ca="1" si="115"/>
        <v>#N/A</v>
      </c>
      <c r="T643" s="57" t="e">
        <f t="shared" ca="1" si="116"/>
        <v>#N/A</v>
      </c>
      <c r="U643" s="57" t="e">
        <f t="shared" ca="1" si="117"/>
        <v>#N/A</v>
      </c>
      <c r="V643" s="57" t="e">
        <f t="shared" ca="1" si="118"/>
        <v>#N/A</v>
      </c>
      <c r="W643" t="e">
        <f t="shared" ca="1" si="119"/>
        <v>#N/A</v>
      </c>
      <c r="X643" t="e">
        <f t="shared" ca="1" si="120"/>
        <v>#N/A</v>
      </c>
      <c r="Y643" t="e">
        <f t="shared" ca="1" si="121"/>
        <v>#N/A</v>
      </c>
      <c r="Z643" t="e">
        <f t="shared" ca="1" si="122"/>
        <v>#N/A</v>
      </c>
      <c r="AA643" s="85" t="e">
        <f ca="1"/>
        <v>#N/A</v>
      </c>
      <c r="AB643" s="57" t="e">
        <f t="shared" ca="1" si="123"/>
        <v>#N/A</v>
      </c>
      <c r="AC643" s="57" t="e">
        <f t="shared" ca="1" si="124"/>
        <v>#N/A</v>
      </c>
      <c r="AD643" s="57" t="e">
        <f t="shared" ca="1" si="125"/>
        <v>#N/A</v>
      </c>
      <c r="AE643" s="57" t="e">
        <f t="shared" ca="1" si="126"/>
        <v>#N/A</v>
      </c>
    </row>
    <row r="644" spans="18:31" x14ac:dyDescent="0.3">
      <c r="R644" s="57" t="e">
        <f ca="1"/>
        <v>#N/A</v>
      </c>
      <c r="S644" s="57" t="e">
        <f t="shared" ca="1" si="115"/>
        <v>#N/A</v>
      </c>
      <c r="T644" s="57" t="e">
        <f t="shared" ca="1" si="116"/>
        <v>#N/A</v>
      </c>
      <c r="U644" s="57" t="e">
        <f t="shared" ca="1" si="117"/>
        <v>#N/A</v>
      </c>
      <c r="V644" s="57" t="e">
        <f t="shared" ca="1" si="118"/>
        <v>#N/A</v>
      </c>
      <c r="W644" t="e">
        <f t="shared" ca="1" si="119"/>
        <v>#N/A</v>
      </c>
      <c r="X644" t="e">
        <f t="shared" ca="1" si="120"/>
        <v>#N/A</v>
      </c>
      <c r="Y644" t="e">
        <f t="shared" ca="1" si="121"/>
        <v>#N/A</v>
      </c>
      <c r="Z644" t="e">
        <f t="shared" ca="1" si="122"/>
        <v>#N/A</v>
      </c>
      <c r="AA644" s="85" t="e">
        <f ca="1"/>
        <v>#N/A</v>
      </c>
      <c r="AB644" s="57" t="e">
        <f t="shared" ca="1" si="123"/>
        <v>#N/A</v>
      </c>
      <c r="AC644" s="57" t="e">
        <f t="shared" ca="1" si="124"/>
        <v>#N/A</v>
      </c>
      <c r="AD644" s="57" t="e">
        <f t="shared" ca="1" si="125"/>
        <v>#N/A</v>
      </c>
      <c r="AE644" s="57" t="e">
        <f t="shared" ca="1" si="126"/>
        <v>#N/A</v>
      </c>
    </row>
    <row r="645" spans="18:31" x14ac:dyDescent="0.3">
      <c r="R645" s="57" t="e">
        <f ca="1"/>
        <v>#N/A</v>
      </c>
      <c r="S645" s="57" t="e">
        <f t="shared" ca="1" si="115"/>
        <v>#N/A</v>
      </c>
      <c r="T645" s="57" t="e">
        <f t="shared" ca="1" si="116"/>
        <v>#N/A</v>
      </c>
      <c r="U645" s="57" t="e">
        <f t="shared" ca="1" si="117"/>
        <v>#N/A</v>
      </c>
      <c r="V645" s="57" t="e">
        <f t="shared" ca="1" si="118"/>
        <v>#N/A</v>
      </c>
      <c r="W645" t="e">
        <f t="shared" ca="1" si="119"/>
        <v>#N/A</v>
      </c>
      <c r="X645" t="e">
        <f t="shared" ca="1" si="120"/>
        <v>#N/A</v>
      </c>
      <c r="Y645" t="e">
        <f t="shared" ca="1" si="121"/>
        <v>#N/A</v>
      </c>
      <c r="Z645" t="e">
        <f t="shared" ca="1" si="122"/>
        <v>#N/A</v>
      </c>
      <c r="AA645" s="85" t="e">
        <f ca="1"/>
        <v>#N/A</v>
      </c>
      <c r="AB645" s="57" t="e">
        <f t="shared" ca="1" si="123"/>
        <v>#N/A</v>
      </c>
      <c r="AC645" s="57" t="e">
        <f t="shared" ca="1" si="124"/>
        <v>#N/A</v>
      </c>
      <c r="AD645" s="57" t="e">
        <f t="shared" ca="1" si="125"/>
        <v>#N/A</v>
      </c>
      <c r="AE645" s="57" t="e">
        <f t="shared" ca="1" si="126"/>
        <v>#N/A</v>
      </c>
    </row>
    <row r="646" spans="18:31" x14ac:dyDescent="0.3">
      <c r="R646" s="57" t="e">
        <f ca="1"/>
        <v>#N/A</v>
      </c>
      <c r="S646" s="57" t="e">
        <f t="shared" ca="1" si="115"/>
        <v>#N/A</v>
      </c>
      <c r="T646" s="57" t="e">
        <f t="shared" ca="1" si="116"/>
        <v>#N/A</v>
      </c>
      <c r="U646" s="57" t="e">
        <f t="shared" ca="1" si="117"/>
        <v>#N/A</v>
      </c>
      <c r="V646" s="57" t="e">
        <f t="shared" ca="1" si="118"/>
        <v>#N/A</v>
      </c>
      <c r="W646" t="e">
        <f t="shared" ca="1" si="119"/>
        <v>#N/A</v>
      </c>
      <c r="X646" t="e">
        <f t="shared" ca="1" si="120"/>
        <v>#N/A</v>
      </c>
      <c r="Y646" t="e">
        <f t="shared" ca="1" si="121"/>
        <v>#N/A</v>
      </c>
      <c r="Z646" t="e">
        <f t="shared" ca="1" si="122"/>
        <v>#N/A</v>
      </c>
      <c r="AA646" s="85" t="e">
        <f ca="1"/>
        <v>#N/A</v>
      </c>
      <c r="AB646" s="57" t="e">
        <f t="shared" ca="1" si="123"/>
        <v>#N/A</v>
      </c>
      <c r="AC646" s="57" t="e">
        <f t="shared" ca="1" si="124"/>
        <v>#N/A</v>
      </c>
      <c r="AD646" s="57" t="e">
        <f t="shared" ca="1" si="125"/>
        <v>#N/A</v>
      </c>
      <c r="AE646" s="57" t="e">
        <f t="shared" ca="1" si="126"/>
        <v>#N/A</v>
      </c>
    </row>
    <row r="647" spans="18:31" x14ac:dyDescent="0.3">
      <c r="R647" s="57" t="e">
        <f ca="1"/>
        <v>#N/A</v>
      </c>
      <c r="S647" s="57" t="e">
        <f t="shared" ca="1" si="115"/>
        <v>#N/A</v>
      </c>
      <c r="T647" s="57" t="e">
        <f t="shared" ca="1" si="116"/>
        <v>#N/A</v>
      </c>
      <c r="U647" s="57" t="e">
        <f t="shared" ca="1" si="117"/>
        <v>#N/A</v>
      </c>
      <c r="V647" s="57" t="e">
        <f t="shared" ca="1" si="118"/>
        <v>#N/A</v>
      </c>
      <c r="W647" t="e">
        <f t="shared" ca="1" si="119"/>
        <v>#N/A</v>
      </c>
      <c r="X647" t="e">
        <f t="shared" ca="1" si="120"/>
        <v>#N/A</v>
      </c>
      <c r="Y647" t="e">
        <f t="shared" ca="1" si="121"/>
        <v>#N/A</v>
      </c>
      <c r="Z647" t="e">
        <f t="shared" ca="1" si="122"/>
        <v>#N/A</v>
      </c>
      <c r="AA647" s="85" t="e">
        <f ca="1"/>
        <v>#N/A</v>
      </c>
      <c r="AB647" s="57" t="e">
        <f t="shared" ca="1" si="123"/>
        <v>#N/A</v>
      </c>
      <c r="AC647" s="57" t="e">
        <f t="shared" ca="1" si="124"/>
        <v>#N/A</v>
      </c>
      <c r="AD647" s="57" t="e">
        <f t="shared" ca="1" si="125"/>
        <v>#N/A</v>
      </c>
      <c r="AE647" s="57" t="e">
        <f t="shared" ca="1" si="126"/>
        <v>#N/A</v>
      </c>
    </row>
    <row r="648" spans="18:31" x14ac:dyDescent="0.3">
      <c r="R648" s="57" t="e">
        <f ca="1"/>
        <v>#N/A</v>
      </c>
      <c r="S648" s="57" t="e">
        <f t="shared" ca="1" si="115"/>
        <v>#N/A</v>
      </c>
      <c r="T648" s="57" t="e">
        <f t="shared" ca="1" si="116"/>
        <v>#N/A</v>
      </c>
      <c r="U648" s="57" t="e">
        <f t="shared" ca="1" si="117"/>
        <v>#N/A</v>
      </c>
      <c r="V648" s="57" t="e">
        <f t="shared" ca="1" si="118"/>
        <v>#N/A</v>
      </c>
      <c r="W648" t="e">
        <f t="shared" ca="1" si="119"/>
        <v>#N/A</v>
      </c>
      <c r="X648" t="e">
        <f t="shared" ca="1" si="120"/>
        <v>#N/A</v>
      </c>
      <c r="Y648" t="e">
        <f t="shared" ca="1" si="121"/>
        <v>#N/A</v>
      </c>
      <c r="Z648" t="e">
        <f t="shared" ca="1" si="122"/>
        <v>#N/A</v>
      </c>
      <c r="AA648" s="85" t="e">
        <f ca="1"/>
        <v>#N/A</v>
      </c>
      <c r="AB648" s="57" t="e">
        <f t="shared" ca="1" si="123"/>
        <v>#N/A</v>
      </c>
      <c r="AC648" s="57" t="e">
        <f t="shared" ca="1" si="124"/>
        <v>#N/A</v>
      </c>
      <c r="AD648" s="57" t="e">
        <f t="shared" ca="1" si="125"/>
        <v>#N/A</v>
      </c>
      <c r="AE648" s="57" t="e">
        <f t="shared" ca="1" si="126"/>
        <v>#N/A</v>
      </c>
    </row>
    <row r="649" spans="18:31" x14ac:dyDescent="0.3">
      <c r="R649" s="57" t="e">
        <f ca="1"/>
        <v>#N/A</v>
      </c>
      <c r="S649" s="57" t="e">
        <f t="shared" ca="1" si="115"/>
        <v>#N/A</v>
      </c>
      <c r="T649" s="57" t="e">
        <f t="shared" ca="1" si="116"/>
        <v>#N/A</v>
      </c>
      <c r="U649" s="57" t="e">
        <f t="shared" ca="1" si="117"/>
        <v>#N/A</v>
      </c>
      <c r="V649" s="57" t="e">
        <f t="shared" ca="1" si="118"/>
        <v>#N/A</v>
      </c>
      <c r="W649" t="e">
        <f t="shared" ca="1" si="119"/>
        <v>#N/A</v>
      </c>
      <c r="X649" t="e">
        <f t="shared" ca="1" si="120"/>
        <v>#N/A</v>
      </c>
      <c r="Y649" t="e">
        <f t="shared" ca="1" si="121"/>
        <v>#N/A</v>
      </c>
      <c r="Z649" t="e">
        <f t="shared" ca="1" si="122"/>
        <v>#N/A</v>
      </c>
      <c r="AA649" s="85" t="e">
        <f ca="1"/>
        <v>#N/A</v>
      </c>
      <c r="AB649" s="57" t="e">
        <f t="shared" ca="1" si="123"/>
        <v>#N/A</v>
      </c>
      <c r="AC649" s="57" t="e">
        <f t="shared" ca="1" si="124"/>
        <v>#N/A</v>
      </c>
      <c r="AD649" s="57" t="e">
        <f t="shared" ca="1" si="125"/>
        <v>#N/A</v>
      </c>
      <c r="AE649" s="57" t="e">
        <f t="shared" ca="1" si="126"/>
        <v>#N/A</v>
      </c>
    </row>
    <row r="650" spans="18:31" x14ac:dyDescent="0.3">
      <c r="R650" s="57" t="e">
        <f ca="1"/>
        <v>#N/A</v>
      </c>
      <c r="S650" s="57" t="e">
        <f t="shared" ca="1" si="115"/>
        <v>#N/A</v>
      </c>
      <c r="T650" s="57" t="e">
        <f t="shared" ca="1" si="116"/>
        <v>#N/A</v>
      </c>
      <c r="U650" s="57" t="e">
        <f t="shared" ca="1" si="117"/>
        <v>#N/A</v>
      </c>
      <c r="V650" s="57" t="e">
        <f t="shared" ca="1" si="118"/>
        <v>#N/A</v>
      </c>
      <c r="W650" t="e">
        <f t="shared" ca="1" si="119"/>
        <v>#N/A</v>
      </c>
      <c r="X650" t="e">
        <f t="shared" ca="1" si="120"/>
        <v>#N/A</v>
      </c>
      <c r="Y650" t="e">
        <f t="shared" ca="1" si="121"/>
        <v>#N/A</v>
      </c>
      <c r="Z650" t="e">
        <f t="shared" ca="1" si="122"/>
        <v>#N/A</v>
      </c>
      <c r="AA650" s="85" t="e">
        <f ca="1"/>
        <v>#N/A</v>
      </c>
      <c r="AB650" s="57" t="e">
        <f t="shared" ca="1" si="123"/>
        <v>#N/A</v>
      </c>
      <c r="AC650" s="57" t="e">
        <f t="shared" ca="1" si="124"/>
        <v>#N/A</v>
      </c>
      <c r="AD650" s="57" t="e">
        <f t="shared" ca="1" si="125"/>
        <v>#N/A</v>
      </c>
      <c r="AE650" s="57" t="e">
        <f t="shared" ca="1" si="126"/>
        <v>#N/A</v>
      </c>
    </row>
    <row r="651" spans="18:31" x14ac:dyDescent="0.3">
      <c r="R651" s="57" t="e">
        <f ca="1"/>
        <v>#N/A</v>
      </c>
      <c r="S651" s="57" t="e">
        <f t="shared" ca="1" si="115"/>
        <v>#N/A</v>
      </c>
      <c r="T651" s="57" t="e">
        <f t="shared" ca="1" si="116"/>
        <v>#N/A</v>
      </c>
      <c r="U651" s="57" t="e">
        <f t="shared" ca="1" si="117"/>
        <v>#N/A</v>
      </c>
      <c r="V651" s="57" t="e">
        <f t="shared" ca="1" si="118"/>
        <v>#N/A</v>
      </c>
      <c r="W651" t="e">
        <f t="shared" ca="1" si="119"/>
        <v>#N/A</v>
      </c>
      <c r="X651" t="e">
        <f t="shared" ca="1" si="120"/>
        <v>#N/A</v>
      </c>
      <c r="Y651" t="e">
        <f t="shared" ca="1" si="121"/>
        <v>#N/A</v>
      </c>
      <c r="Z651" t="e">
        <f t="shared" ca="1" si="122"/>
        <v>#N/A</v>
      </c>
      <c r="AA651" s="85" t="e">
        <f ca="1"/>
        <v>#N/A</v>
      </c>
      <c r="AB651" s="57" t="e">
        <f t="shared" ca="1" si="123"/>
        <v>#N/A</v>
      </c>
      <c r="AC651" s="57" t="e">
        <f t="shared" ca="1" si="124"/>
        <v>#N/A</v>
      </c>
      <c r="AD651" s="57" t="e">
        <f t="shared" ca="1" si="125"/>
        <v>#N/A</v>
      </c>
      <c r="AE651" s="57" t="e">
        <f t="shared" ca="1" si="126"/>
        <v>#N/A</v>
      </c>
    </row>
    <row r="652" spans="18:31" x14ac:dyDescent="0.3">
      <c r="R652" s="57" t="e">
        <f ca="1"/>
        <v>#N/A</v>
      </c>
      <c r="S652" s="57" t="e">
        <f t="shared" ref="S652:S662" ca="1" si="127">IF(R652&gt;1,R652,"")</f>
        <v>#N/A</v>
      </c>
      <c r="T652" s="57" t="e">
        <f t="shared" ref="T652:T662" ca="1" si="128">VLOOKUP(S652,ModelOutputs,2,FALSE)</f>
        <v>#N/A</v>
      </c>
      <c r="U652" s="57" t="e">
        <f t="shared" ref="U652:U662" ca="1" si="129">VLOOKUP(S652,ModelOutputs,7,FALSE)</f>
        <v>#N/A</v>
      </c>
      <c r="V652" s="57" t="e">
        <f t="shared" ref="V652:V662" ca="1" si="130">VLOOKUP(S652,ModelOutputs,6,FALSE)</f>
        <v>#N/A</v>
      </c>
      <c r="W652" t="e">
        <f t="shared" ref="W652:W662" ca="1" si="131">VLOOKUP(S652,ModelOutputs,10,FALSE)*AWC</f>
        <v>#N/A</v>
      </c>
      <c r="X652" t="e">
        <f t="shared" ref="X652:X662" ca="1" si="132">VLOOKUP(S652,ModelOutputs,11,FALSE)+X651</f>
        <v>#N/A</v>
      </c>
      <c r="Y652" t="e">
        <f t="shared" ref="Y652:Y662" ca="1" si="133">VLOOKUP(S652,ModelOutputs,12,FALSE)</f>
        <v>#N/A</v>
      </c>
      <c r="Z652" t="e">
        <f t="shared" ref="Z652:Z662" ca="1" si="134">VLOOKUP(S652,ModelOutputs,13,FALSE)</f>
        <v>#N/A</v>
      </c>
      <c r="AA652" s="85" t="e">
        <f ca="1"/>
        <v>#N/A</v>
      </c>
      <c r="AB652" s="57" t="e">
        <f t="shared" ref="AB652:AB662" ca="1" si="135">IF(AA652&gt;1,AA652,"")</f>
        <v>#N/A</v>
      </c>
      <c r="AC652" s="57" t="e">
        <f t="shared" ref="AC652:AC662" ca="1" si="136">VLOOKUP(AB652,ModelOutputs,2,FALSE)</f>
        <v>#N/A</v>
      </c>
      <c r="AD652" s="57" t="e">
        <f t="shared" ref="AD652:AD662" ca="1" si="137">VLOOKUP(AB652,ModelOutputs,7,FALSE)</f>
        <v>#N/A</v>
      </c>
      <c r="AE652" s="57" t="e">
        <f t="shared" ref="AE652:AE662" ca="1" si="138">VLOOKUP(AB652,ModelOutputs,6,FALSE)</f>
        <v>#N/A</v>
      </c>
    </row>
    <row r="653" spans="18:31" x14ac:dyDescent="0.3">
      <c r="R653" s="57" t="e">
        <f ca="1"/>
        <v>#N/A</v>
      </c>
      <c r="S653" s="57" t="e">
        <f t="shared" ca="1" si="127"/>
        <v>#N/A</v>
      </c>
      <c r="T653" s="57" t="e">
        <f t="shared" ca="1" si="128"/>
        <v>#N/A</v>
      </c>
      <c r="U653" s="57" t="e">
        <f t="shared" ca="1" si="129"/>
        <v>#N/A</v>
      </c>
      <c r="V653" s="57" t="e">
        <f t="shared" ca="1" si="130"/>
        <v>#N/A</v>
      </c>
      <c r="W653" t="e">
        <f t="shared" ca="1" si="131"/>
        <v>#N/A</v>
      </c>
      <c r="X653" t="e">
        <f t="shared" ca="1" si="132"/>
        <v>#N/A</v>
      </c>
      <c r="Y653" t="e">
        <f t="shared" ca="1" si="133"/>
        <v>#N/A</v>
      </c>
      <c r="Z653" t="e">
        <f t="shared" ca="1" si="134"/>
        <v>#N/A</v>
      </c>
      <c r="AA653" s="85" t="e">
        <f ca="1"/>
        <v>#N/A</v>
      </c>
      <c r="AB653" s="57" t="e">
        <f t="shared" ca="1" si="135"/>
        <v>#N/A</v>
      </c>
      <c r="AC653" s="57" t="e">
        <f t="shared" ca="1" si="136"/>
        <v>#N/A</v>
      </c>
      <c r="AD653" s="57" t="e">
        <f t="shared" ca="1" si="137"/>
        <v>#N/A</v>
      </c>
      <c r="AE653" s="57" t="e">
        <f t="shared" ca="1" si="138"/>
        <v>#N/A</v>
      </c>
    </row>
    <row r="654" spans="18:31" x14ac:dyDescent="0.3">
      <c r="R654" s="57" t="e">
        <f ca="1"/>
        <v>#N/A</v>
      </c>
      <c r="S654" s="57" t="e">
        <f t="shared" ca="1" si="127"/>
        <v>#N/A</v>
      </c>
      <c r="T654" s="57" t="e">
        <f t="shared" ca="1" si="128"/>
        <v>#N/A</v>
      </c>
      <c r="U654" s="57" t="e">
        <f t="shared" ca="1" si="129"/>
        <v>#N/A</v>
      </c>
      <c r="V654" s="57" t="e">
        <f t="shared" ca="1" si="130"/>
        <v>#N/A</v>
      </c>
      <c r="W654" t="e">
        <f t="shared" ca="1" si="131"/>
        <v>#N/A</v>
      </c>
      <c r="X654" t="e">
        <f t="shared" ca="1" si="132"/>
        <v>#N/A</v>
      </c>
      <c r="Y654" t="e">
        <f t="shared" ca="1" si="133"/>
        <v>#N/A</v>
      </c>
      <c r="Z654" t="e">
        <f t="shared" ca="1" si="134"/>
        <v>#N/A</v>
      </c>
      <c r="AA654" s="85" t="e">
        <f ca="1"/>
        <v>#N/A</v>
      </c>
      <c r="AB654" s="57" t="e">
        <f t="shared" ca="1" si="135"/>
        <v>#N/A</v>
      </c>
      <c r="AC654" s="57" t="e">
        <f t="shared" ca="1" si="136"/>
        <v>#N/A</v>
      </c>
      <c r="AD654" s="57" t="e">
        <f t="shared" ca="1" si="137"/>
        <v>#N/A</v>
      </c>
      <c r="AE654" s="57" t="e">
        <f t="shared" ca="1" si="138"/>
        <v>#N/A</v>
      </c>
    </row>
    <row r="655" spans="18:31" x14ac:dyDescent="0.3">
      <c r="R655" s="57" t="e">
        <f ca="1"/>
        <v>#N/A</v>
      </c>
      <c r="S655" s="57" t="e">
        <f t="shared" ca="1" si="127"/>
        <v>#N/A</v>
      </c>
      <c r="T655" s="57" t="e">
        <f t="shared" ca="1" si="128"/>
        <v>#N/A</v>
      </c>
      <c r="U655" s="57" t="e">
        <f t="shared" ca="1" si="129"/>
        <v>#N/A</v>
      </c>
      <c r="V655" s="57" t="e">
        <f t="shared" ca="1" si="130"/>
        <v>#N/A</v>
      </c>
      <c r="W655" t="e">
        <f t="shared" ca="1" si="131"/>
        <v>#N/A</v>
      </c>
      <c r="X655" t="e">
        <f t="shared" ca="1" si="132"/>
        <v>#N/A</v>
      </c>
      <c r="Y655" t="e">
        <f t="shared" ca="1" si="133"/>
        <v>#N/A</v>
      </c>
      <c r="Z655" t="e">
        <f t="shared" ca="1" si="134"/>
        <v>#N/A</v>
      </c>
      <c r="AA655" s="85" t="e">
        <f ca="1"/>
        <v>#N/A</v>
      </c>
      <c r="AB655" s="57" t="e">
        <f t="shared" ca="1" si="135"/>
        <v>#N/A</v>
      </c>
      <c r="AC655" s="57" t="e">
        <f t="shared" ca="1" si="136"/>
        <v>#N/A</v>
      </c>
      <c r="AD655" s="57" t="e">
        <f t="shared" ca="1" si="137"/>
        <v>#N/A</v>
      </c>
      <c r="AE655" s="57" t="e">
        <f t="shared" ca="1" si="138"/>
        <v>#N/A</v>
      </c>
    </row>
    <row r="656" spans="18:31" x14ac:dyDescent="0.3">
      <c r="R656" s="57" t="e">
        <f ca="1"/>
        <v>#N/A</v>
      </c>
      <c r="S656" s="57" t="e">
        <f t="shared" ca="1" si="127"/>
        <v>#N/A</v>
      </c>
      <c r="T656" s="57" t="e">
        <f t="shared" ca="1" si="128"/>
        <v>#N/A</v>
      </c>
      <c r="U656" s="57" t="e">
        <f t="shared" ca="1" si="129"/>
        <v>#N/A</v>
      </c>
      <c r="V656" s="57" t="e">
        <f t="shared" ca="1" si="130"/>
        <v>#N/A</v>
      </c>
      <c r="W656" t="e">
        <f t="shared" ca="1" si="131"/>
        <v>#N/A</v>
      </c>
      <c r="X656" t="e">
        <f t="shared" ca="1" si="132"/>
        <v>#N/A</v>
      </c>
      <c r="Y656" t="e">
        <f t="shared" ca="1" si="133"/>
        <v>#N/A</v>
      </c>
      <c r="Z656" t="e">
        <f t="shared" ca="1" si="134"/>
        <v>#N/A</v>
      </c>
      <c r="AA656" s="85" t="e">
        <f ca="1"/>
        <v>#N/A</v>
      </c>
      <c r="AB656" s="57" t="e">
        <f t="shared" ca="1" si="135"/>
        <v>#N/A</v>
      </c>
      <c r="AC656" s="57" t="e">
        <f t="shared" ca="1" si="136"/>
        <v>#N/A</v>
      </c>
      <c r="AD656" s="57" t="e">
        <f t="shared" ca="1" si="137"/>
        <v>#N/A</v>
      </c>
      <c r="AE656" s="57" t="e">
        <f t="shared" ca="1" si="138"/>
        <v>#N/A</v>
      </c>
    </row>
    <row r="657" spans="18:31" x14ac:dyDescent="0.3">
      <c r="R657" s="57" t="e">
        <f ca="1"/>
        <v>#N/A</v>
      </c>
      <c r="S657" s="57" t="e">
        <f t="shared" ca="1" si="127"/>
        <v>#N/A</v>
      </c>
      <c r="T657" s="57" t="e">
        <f t="shared" ca="1" si="128"/>
        <v>#N/A</v>
      </c>
      <c r="U657" s="57" t="e">
        <f t="shared" ca="1" si="129"/>
        <v>#N/A</v>
      </c>
      <c r="V657" s="57" t="e">
        <f t="shared" ca="1" si="130"/>
        <v>#N/A</v>
      </c>
      <c r="W657" t="e">
        <f t="shared" ca="1" si="131"/>
        <v>#N/A</v>
      </c>
      <c r="X657" t="e">
        <f t="shared" ca="1" si="132"/>
        <v>#N/A</v>
      </c>
      <c r="Y657" t="e">
        <f t="shared" ca="1" si="133"/>
        <v>#N/A</v>
      </c>
      <c r="Z657" t="e">
        <f t="shared" ca="1" si="134"/>
        <v>#N/A</v>
      </c>
      <c r="AA657" s="85" t="e">
        <f ca="1"/>
        <v>#N/A</v>
      </c>
      <c r="AB657" s="57" t="e">
        <f t="shared" ca="1" si="135"/>
        <v>#N/A</v>
      </c>
      <c r="AC657" s="57" t="e">
        <f t="shared" ca="1" si="136"/>
        <v>#N/A</v>
      </c>
      <c r="AD657" s="57" t="e">
        <f t="shared" ca="1" si="137"/>
        <v>#N/A</v>
      </c>
      <c r="AE657" s="57" t="e">
        <f t="shared" ca="1" si="138"/>
        <v>#N/A</v>
      </c>
    </row>
    <row r="658" spans="18:31" x14ac:dyDescent="0.3">
      <c r="R658" s="57" t="e">
        <f ca="1"/>
        <v>#N/A</v>
      </c>
      <c r="S658" s="57" t="e">
        <f t="shared" ca="1" si="127"/>
        <v>#N/A</v>
      </c>
      <c r="T658" s="57" t="e">
        <f t="shared" ca="1" si="128"/>
        <v>#N/A</v>
      </c>
      <c r="U658" s="57" t="e">
        <f t="shared" ca="1" si="129"/>
        <v>#N/A</v>
      </c>
      <c r="V658" s="57" t="e">
        <f t="shared" ca="1" si="130"/>
        <v>#N/A</v>
      </c>
      <c r="W658" t="e">
        <f t="shared" ca="1" si="131"/>
        <v>#N/A</v>
      </c>
      <c r="X658" t="e">
        <f t="shared" ca="1" si="132"/>
        <v>#N/A</v>
      </c>
      <c r="Y658" t="e">
        <f t="shared" ca="1" si="133"/>
        <v>#N/A</v>
      </c>
      <c r="Z658" t="e">
        <f t="shared" ca="1" si="134"/>
        <v>#N/A</v>
      </c>
      <c r="AA658" s="85" t="e">
        <f ca="1"/>
        <v>#N/A</v>
      </c>
      <c r="AB658" s="57" t="e">
        <f t="shared" ca="1" si="135"/>
        <v>#N/A</v>
      </c>
      <c r="AC658" s="57" t="e">
        <f t="shared" ca="1" si="136"/>
        <v>#N/A</v>
      </c>
      <c r="AD658" s="57" t="e">
        <f t="shared" ca="1" si="137"/>
        <v>#N/A</v>
      </c>
      <c r="AE658" s="57" t="e">
        <f t="shared" ca="1" si="138"/>
        <v>#N/A</v>
      </c>
    </row>
    <row r="659" spans="18:31" x14ac:dyDescent="0.3">
      <c r="R659" s="57" t="e">
        <f ca="1"/>
        <v>#N/A</v>
      </c>
      <c r="S659" s="57" t="e">
        <f t="shared" ca="1" si="127"/>
        <v>#N/A</v>
      </c>
      <c r="T659" s="57" t="e">
        <f t="shared" ca="1" si="128"/>
        <v>#N/A</v>
      </c>
      <c r="U659" s="57" t="e">
        <f t="shared" ca="1" si="129"/>
        <v>#N/A</v>
      </c>
      <c r="V659" s="57" t="e">
        <f t="shared" ca="1" si="130"/>
        <v>#N/A</v>
      </c>
      <c r="W659" t="e">
        <f t="shared" ca="1" si="131"/>
        <v>#N/A</v>
      </c>
      <c r="X659" t="e">
        <f t="shared" ca="1" si="132"/>
        <v>#N/A</v>
      </c>
      <c r="Y659" t="e">
        <f t="shared" ca="1" si="133"/>
        <v>#N/A</v>
      </c>
      <c r="Z659" t="e">
        <f t="shared" ca="1" si="134"/>
        <v>#N/A</v>
      </c>
      <c r="AA659" s="85" t="e">
        <f ca="1"/>
        <v>#N/A</v>
      </c>
      <c r="AB659" s="57" t="e">
        <f t="shared" ca="1" si="135"/>
        <v>#N/A</v>
      </c>
      <c r="AC659" s="57" t="e">
        <f t="shared" ca="1" si="136"/>
        <v>#N/A</v>
      </c>
      <c r="AD659" s="57" t="e">
        <f t="shared" ca="1" si="137"/>
        <v>#N/A</v>
      </c>
      <c r="AE659" s="57" t="e">
        <f t="shared" ca="1" si="138"/>
        <v>#N/A</v>
      </c>
    </row>
    <row r="660" spans="18:31" x14ac:dyDescent="0.3">
      <c r="R660" s="57" t="e">
        <f ca="1"/>
        <v>#N/A</v>
      </c>
      <c r="S660" s="57" t="e">
        <f t="shared" ca="1" si="127"/>
        <v>#N/A</v>
      </c>
      <c r="T660" s="57" t="e">
        <f t="shared" ca="1" si="128"/>
        <v>#N/A</v>
      </c>
      <c r="U660" s="57" t="e">
        <f t="shared" ca="1" si="129"/>
        <v>#N/A</v>
      </c>
      <c r="V660" s="57" t="e">
        <f t="shared" ca="1" si="130"/>
        <v>#N/A</v>
      </c>
      <c r="W660" t="e">
        <f t="shared" ca="1" si="131"/>
        <v>#N/A</v>
      </c>
      <c r="X660" t="e">
        <f t="shared" ca="1" si="132"/>
        <v>#N/A</v>
      </c>
      <c r="Y660" t="e">
        <f t="shared" ca="1" si="133"/>
        <v>#N/A</v>
      </c>
      <c r="Z660" t="e">
        <f t="shared" ca="1" si="134"/>
        <v>#N/A</v>
      </c>
      <c r="AA660" s="85" t="e">
        <f ca="1"/>
        <v>#N/A</v>
      </c>
      <c r="AB660" s="57" t="e">
        <f t="shared" ca="1" si="135"/>
        <v>#N/A</v>
      </c>
      <c r="AC660" s="57" t="e">
        <f t="shared" ca="1" si="136"/>
        <v>#N/A</v>
      </c>
      <c r="AD660" s="57" t="e">
        <f t="shared" ca="1" si="137"/>
        <v>#N/A</v>
      </c>
      <c r="AE660" s="57" t="e">
        <f t="shared" ca="1" si="138"/>
        <v>#N/A</v>
      </c>
    </row>
    <row r="661" spans="18:31" x14ac:dyDescent="0.3">
      <c r="R661" s="57" t="e">
        <f ca="1"/>
        <v>#N/A</v>
      </c>
      <c r="S661" s="57" t="e">
        <f t="shared" ca="1" si="127"/>
        <v>#N/A</v>
      </c>
      <c r="T661" s="57" t="e">
        <f t="shared" ca="1" si="128"/>
        <v>#N/A</v>
      </c>
      <c r="U661" s="57" t="e">
        <f t="shared" ca="1" si="129"/>
        <v>#N/A</v>
      </c>
      <c r="V661" s="57" t="e">
        <f t="shared" ca="1" si="130"/>
        <v>#N/A</v>
      </c>
      <c r="W661" t="e">
        <f t="shared" ca="1" si="131"/>
        <v>#N/A</v>
      </c>
      <c r="X661" t="e">
        <f t="shared" ca="1" si="132"/>
        <v>#N/A</v>
      </c>
      <c r="Y661" t="e">
        <f t="shared" ca="1" si="133"/>
        <v>#N/A</v>
      </c>
      <c r="Z661" t="e">
        <f t="shared" ca="1" si="134"/>
        <v>#N/A</v>
      </c>
      <c r="AA661" s="85" t="e">
        <f ca="1"/>
        <v>#N/A</v>
      </c>
      <c r="AB661" s="57" t="e">
        <f t="shared" ca="1" si="135"/>
        <v>#N/A</v>
      </c>
      <c r="AC661" s="57" t="e">
        <f t="shared" ca="1" si="136"/>
        <v>#N/A</v>
      </c>
      <c r="AD661" s="57" t="e">
        <f t="shared" ca="1" si="137"/>
        <v>#N/A</v>
      </c>
      <c r="AE661" s="57" t="e">
        <f t="shared" ca="1" si="138"/>
        <v>#N/A</v>
      </c>
    </row>
    <row r="662" spans="18:31" x14ac:dyDescent="0.3">
      <c r="R662" s="57" t="e">
        <f ca="1"/>
        <v>#N/A</v>
      </c>
      <c r="S662" s="57" t="e">
        <f t="shared" ca="1" si="127"/>
        <v>#N/A</v>
      </c>
      <c r="T662" s="57" t="e">
        <f t="shared" ca="1" si="128"/>
        <v>#N/A</v>
      </c>
      <c r="U662" s="57" t="e">
        <f t="shared" ca="1" si="129"/>
        <v>#N/A</v>
      </c>
      <c r="V662" s="57" t="e">
        <f t="shared" ca="1" si="130"/>
        <v>#N/A</v>
      </c>
      <c r="W662" t="e">
        <f t="shared" ca="1" si="131"/>
        <v>#N/A</v>
      </c>
      <c r="X662" t="e">
        <f t="shared" ca="1" si="132"/>
        <v>#N/A</v>
      </c>
      <c r="Y662" t="e">
        <f t="shared" ca="1" si="133"/>
        <v>#N/A</v>
      </c>
      <c r="Z662" t="e">
        <f t="shared" ca="1" si="134"/>
        <v>#N/A</v>
      </c>
      <c r="AA662" s="85" t="e">
        <f ca="1"/>
        <v>#N/A</v>
      </c>
      <c r="AB662" s="57" t="e">
        <f t="shared" ca="1" si="135"/>
        <v>#N/A</v>
      </c>
      <c r="AC662" s="57" t="e">
        <f t="shared" ca="1" si="136"/>
        <v>#N/A</v>
      </c>
      <c r="AD662" s="57" t="e">
        <f t="shared" ca="1" si="137"/>
        <v>#N/A</v>
      </c>
      <c r="AE662" s="57" t="e">
        <f t="shared" ca="1" si="138"/>
        <v>#N/A</v>
      </c>
    </row>
  </sheetData>
  <sheetProtection sheet="1" selectLockedCells="1"/>
  <mergeCells count="13">
    <mergeCell ref="W15:Z15"/>
    <mergeCell ref="AA15:AE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1" priority="46" operator="containsText" text="Suggested">
      <formula>NOT(ISERROR(SEARCH("Suggested",H29)))</formula>
    </cfRule>
  </conditionalFormatting>
  <conditionalFormatting sqref="F29:G29">
    <cfRule type="expression" dxfId="20" priority="52">
      <formula>$B$29=1</formula>
    </cfRule>
  </conditionalFormatting>
  <conditionalFormatting sqref="F30:G30">
    <cfRule type="expression" dxfId="19" priority="59">
      <formula>$B$30=1</formula>
    </cfRule>
  </conditionalFormatting>
  <conditionalFormatting sqref="F31:G31">
    <cfRule type="expression" dxfId="18" priority="61">
      <formula>$B$31=1</formula>
    </cfRule>
  </conditionalFormatting>
  <conditionalFormatting sqref="F32:G32">
    <cfRule type="expression" dxfId="17" priority="63">
      <formula>$B$32=1</formula>
    </cfRule>
  </conditionalFormatting>
  <conditionalFormatting sqref="F33:G33">
    <cfRule type="expression" dxfId="16" priority="65">
      <formula>$B$33=1</formula>
    </cfRule>
  </conditionalFormatting>
  <conditionalFormatting sqref="F34:G34">
    <cfRule type="expression" dxfId="15" priority="67">
      <formula>$B$34=1</formula>
    </cfRule>
  </conditionalFormatting>
  <conditionalFormatting sqref="F35:G35">
    <cfRule type="expression" dxfId="14" priority="69">
      <formula>$B$35=1</formula>
    </cfRule>
  </conditionalFormatting>
  <conditionalFormatting sqref="F36">
    <cfRule type="expression" dxfId="13" priority="71">
      <formula>$B$36=1</formula>
    </cfRule>
  </conditionalFormatting>
  <conditionalFormatting sqref="F37:G37">
    <cfRule type="expression" dxfId="12" priority="73">
      <formula>$B$37=1</formula>
    </cfRule>
  </conditionalFormatting>
  <conditionalFormatting sqref="F38:G38">
    <cfRule type="expression" dxfId="11" priority="75">
      <formula>$B$38=1</formula>
    </cfRule>
  </conditionalFormatting>
  <conditionalFormatting sqref="F22:H24 C22:E23 C17:H21 C25:H45">
    <cfRule type="expression" dxfId="10" priority="6">
      <formula>$B$1=1</formula>
    </cfRule>
  </conditionalFormatting>
  <conditionalFormatting sqref="C54:E56 F54:H55 C46:H53 C57:H63 C68:H71 C64:E67 F65:H66 F8:H15">
    <cfRule type="expression" dxfId="9" priority="5">
      <formula>NOT($B$1=3)</formula>
    </cfRule>
  </conditionalFormatting>
  <conditionalFormatting sqref="E15">
    <cfRule type="expression" dxfId="8" priority="3">
      <formula>NOT($B$1=1)</formula>
    </cfRule>
  </conditionalFormatting>
  <conditionalFormatting sqref="D72:E72">
    <cfRule type="expression" dxfId="7" priority="2">
      <formula>NOT($B$1=3)</formula>
    </cfRule>
  </conditionalFormatting>
  <conditionalFormatting sqref="C72">
    <cfRule type="expression" dxfId="6" priority="1">
      <formula>NOT($B$1=3)</formula>
    </cfRule>
  </conditionalFormatting>
  <conditionalFormatting sqref="G36">
    <cfRule type="expression" dxfId="5" priority="84">
      <formula>$B$36</formula>
    </cfRule>
  </conditionalFormatting>
  <conditionalFormatting sqref="F39:G39">
    <cfRule type="expression" dxfId="4" priority="87">
      <formula>$B$39=1</formula>
    </cfRule>
  </conditionalFormatting>
  <conditionalFormatting sqref="F40:G40">
    <cfRule type="expression" dxfId="3" priority="88">
      <formula>$B$40=1</formula>
    </cfRule>
  </conditionalFormatting>
  <conditionalFormatting sqref="F41:G41">
    <cfRule type="expression" dxfId="2" priority="89">
      <formula>$B$41=1</formula>
    </cfRule>
  </conditionalFormatting>
  <conditionalFormatting sqref="F42:G42">
    <cfRule type="expression" dxfId="1" priority="90">
      <formula>$B$42=1</formula>
    </cfRule>
  </conditionalFormatting>
  <conditionalFormatting sqref="F43:G43">
    <cfRule type="expression" dxfId="0" priority="91">
      <formula>$B$43=1</formula>
    </cfRule>
  </conditionalFormatting>
  <dataValidations count="4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list" allowBlank="1" showInputMessage="1" showErrorMessage="1" sqref="E20" xr:uid="{DAD4E7B4-BD77-4FB4-95BC-F77E60930145}">
      <formula1>PMNtypes</formula1>
    </dataValidation>
    <dataValidation type="date" allowBlank="1" showInputMessage="1" showErrorMessage="1" sqref="E9 E10 C29:C34 C38:C43 E51 E52 E62 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1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 B50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ListMembers!$AH$7:$AH$12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999"/>
  <sheetViews>
    <sheetView topLeftCell="P1" zoomScale="105" workbookViewId="0">
      <selection activeCell="X4" sqref="X4"/>
    </sheetView>
  </sheetViews>
  <sheetFormatPr defaultRowHeight="14.4" x14ac:dyDescent="0.3"/>
  <cols>
    <col min="1" max="1" width="26.6640625" bestFit="1" customWidth="1"/>
    <col min="2" max="2" width="23" customWidth="1"/>
    <col min="3" max="3" width="5" customWidth="1"/>
    <col min="6" max="6" width="4.88671875" customWidth="1"/>
    <col min="12" max="13" width="7.5546875" customWidth="1"/>
    <col min="14" max="14" width="22.33203125" bestFit="1" customWidth="1"/>
    <col min="16" max="16" width="13.6640625" customWidth="1"/>
    <col min="17" max="17" width="12.5546875" bestFit="1" customWidth="1"/>
    <col min="18" max="18" width="11.6640625" bestFit="1" customWidth="1"/>
    <col min="19" max="29" width="11.6640625" customWidth="1"/>
    <col min="30" max="30" width="10.6640625" bestFit="1" customWidth="1"/>
    <col min="31" max="31" width="10.6640625" customWidth="1"/>
    <col min="32" max="33" width="11.6640625" customWidth="1"/>
    <col min="34" max="34" width="10.6640625" bestFit="1" customWidth="1"/>
    <col min="37" max="37" width="6.109375" customWidth="1"/>
    <col min="44" max="44" width="3.6640625" customWidth="1"/>
    <col min="45" max="45" width="14.109375" customWidth="1"/>
    <col min="46" max="46" width="12.5546875" customWidth="1"/>
    <col min="47" max="47" width="6.33203125" customWidth="1"/>
    <col min="48" max="48" width="15.109375" bestFit="1" customWidth="1"/>
    <col min="49" max="49" width="17.44140625" bestFit="1" customWidth="1"/>
    <col min="50" max="50" width="12.44140625" bestFit="1" customWidth="1"/>
    <col min="51" max="51" width="6" bestFit="1" customWidth="1"/>
  </cols>
  <sheetData>
    <row r="1" spans="1:37" ht="26.4" thickBot="1" x14ac:dyDescent="0.55000000000000004">
      <c r="A1" s="145" t="s">
        <v>115</v>
      </c>
      <c r="B1" s="146"/>
      <c r="O1" s="32" t="s">
        <v>114</v>
      </c>
      <c r="P1" s="24"/>
      <c r="Q1" s="23" t="s">
        <v>190</v>
      </c>
      <c r="R1" s="24"/>
      <c r="S1" s="23" t="s">
        <v>187</v>
      </c>
      <c r="T1" s="23" t="s">
        <v>188</v>
      </c>
      <c r="U1" s="23" t="s">
        <v>13</v>
      </c>
      <c r="V1" s="23" t="s">
        <v>187</v>
      </c>
      <c r="W1" s="23" t="s">
        <v>189</v>
      </c>
      <c r="X1" s="25" t="s">
        <v>184</v>
      </c>
      <c r="Y1" s="105"/>
      <c r="Z1" s="105"/>
      <c r="AA1" s="105"/>
      <c r="AB1" s="105"/>
      <c r="AC1" s="105" t="s">
        <v>186</v>
      </c>
      <c r="AD1" s="105" t="s">
        <v>185</v>
      </c>
      <c r="AG1" s="105"/>
    </row>
    <row r="2" spans="1:37" ht="15" thickBot="1" x14ac:dyDescent="0.35">
      <c r="A2" s="5" t="s">
        <v>18</v>
      </c>
      <c r="B2" s="6">
        <f>ConceptDemo!D69</f>
        <v>50</v>
      </c>
      <c r="D2" s="41" t="str">
        <f>ConceptDemo!C27</f>
        <v>Fertiliser already applied or planned</v>
      </c>
      <c r="E2" s="42"/>
      <c r="O2" s="14" t="s">
        <v>0</v>
      </c>
      <c r="P2" s="30">
        <f ca="1">InitialDate</f>
        <v>45139</v>
      </c>
      <c r="Q2" s="3">
        <f ca="1">VLOOKUP(P2-1,ModelOutputs,2,FALSE)</f>
        <v>54.878448981522396</v>
      </c>
      <c r="R2" s="3"/>
      <c r="S2" s="3">
        <f ca="1">SUMIF($O$6:$O$999,TRUE,S6:S999)</f>
        <v>2.1395394063631921</v>
      </c>
      <c r="T2" s="3">
        <f ca="1">SUMIF($O$6:$O$999,TRUE,T6:T999)</f>
        <v>28.63071070687705</v>
      </c>
      <c r="U2" s="3">
        <f ca="1">SUMIF($O$6:$O$999,TRUE,U6:U999)</f>
        <v>120</v>
      </c>
      <c r="V2" s="3"/>
      <c r="X2" s="15"/>
      <c r="AC2" s="3">
        <f ca="1">MAX(0,AD3-AD2)</f>
        <v>1.9949404996807516</v>
      </c>
      <c r="AD2" s="3">
        <f ca="1">SUM(Q2:X2)</f>
        <v>205.64869909476263</v>
      </c>
      <c r="AG2" s="3"/>
    </row>
    <row r="3" spans="1:37" ht="15" thickBot="1" x14ac:dyDescent="0.35">
      <c r="A3" s="14" t="s">
        <v>221</v>
      </c>
      <c r="B3" s="15" t="str">
        <f>SoilOrder</f>
        <v>Brown</v>
      </c>
      <c r="D3" s="21" t="str">
        <f>ConceptDemo!C28</f>
        <v>Date</v>
      </c>
      <c r="E3" s="22" t="str">
        <f>ConceptDemo!D28</f>
        <v>Amount</v>
      </c>
      <c r="I3" t="s">
        <v>211</v>
      </c>
      <c r="J3">
        <f>VLOOKUP(PrePlantRain,ListMembers!$Z$7:$AA$11,2,FALSE)</f>
        <v>1</v>
      </c>
      <c r="O3" s="16" t="s">
        <v>12</v>
      </c>
      <c r="P3" s="31">
        <f>B33</f>
        <v>45337</v>
      </c>
      <c r="Q3" s="26">
        <f ca="1">VLOOKUP(P3,ModelOutputs,2,FALSE)</f>
        <v>30.854706948692836</v>
      </c>
      <c r="R3" s="29"/>
      <c r="S3" s="27"/>
      <c r="T3" s="27"/>
      <c r="U3" s="27"/>
      <c r="V3" s="26">
        <f ca="1">(VLOOKUP($P$3,ModelOutputs,V4,FALSE)-VLOOKUP($P$2+1,ModelOutputs,V4,FALSE))-W3</f>
        <v>47.157077977083432</v>
      </c>
      <c r="W3" s="28">
        <f ca="1">VLOOKUP($P$3,ModelOutputs,W4,FALSE)-VLOOKUP($P$2+1,ModelOutputs,W4,FALSE)</f>
        <v>105.63185466866712</v>
      </c>
      <c r="X3" s="29">
        <f ca="1">SUMIF($O$6:$O$999,TRUE,X6:X999)</f>
        <v>23.999999999999993</v>
      </c>
      <c r="Y3" s="3"/>
      <c r="Z3" s="3"/>
      <c r="AA3" s="3"/>
      <c r="AB3" s="3"/>
      <c r="AC3" s="3">
        <f ca="1">MAX(0,AD2-AD3)</f>
        <v>0</v>
      </c>
      <c r="AD3" s="3">
        <f ca="1">SUM(Q3:X3)</f>
        <v>207.64363959444339</v>
      </c>
    </row>
    <row r="4" spans="1:37" ht="15" thickBot="1" x14ac:dyDescent="0.35">
      <c r="A4" s="14" t="s">
        <v>222</v>
      </c>
      <c r="B4" s="15" t="str">
        <f>SampleDepth</f>
        <v>0-30cm</v>
      </c>
      <c r="D4" s="39" t="str">
        <f>IF(ConceptDemo!C29="","",ConceptDemo!C29)</f>
        <v/>
      </c>
      <c r="E4" s="40" t="str">
        <f>IF(ConceptDemo!D29="","",ConceptDemo!D29)</f>
        <v/>
      </c>
      <c r="H4" t="str">
        <f>ConceptDemo!D4</f>
        <v>Levin</v>
      </c>
      <c r="I4" t="s">
        <v>212</v>
      </c>
      <c r="J4">
        <f>VLOOKUP(InCropRain,ListMembers!$Z$7:$AA$11,2,FALSE)</f>
        <v>1</v>
      </c>
      <c r="R4">
        <f ca="1">SUMIF(N6:N999,FALSE,R6:R999)</f>
        <v>149.11876352915567</v>
      </c>
      <c r="S4">
        <f ca="1">SUMIF(N6:N999,TRUE,S6:S999)</f>
        <v>11.128749821829928</v>
      </c>
      <c r="V4">
        <v>7</v>
      </c>
      <c r="W4">
        <v>8</v>
      </c>
      <c r="AC4" s="3"/>
      <c r="AG4" s="3"/>
    </row>
    <row r="5" spans="1:37" x14ac:dyDescent="0.3">
      <c r="A5" s="14" t="s">
        <v>223</v>
      </c>
      <c r="B5" s="15">
        <f>BulkDensity</f>
        <v>1.22</v>
      </c>
      <c r="D5" s="20" t="str">
        <f>IF(ConceptDemo!C30="","",ConceptDemo!C30)</f>
        <v/>
      </c>
      <c r="E5" s="19" t="str">
        <f>IF(ConceptDemo!D30="","",ConceptDemo!D30)</f>
        <v/>
      </c>
      <c r="G5" t="s">
        <v>101</v>
      </c>
      <c r="H5" s="95" t="s">
        <v>14</v>
      </c>
      <c r="I5" s="122" t="s">
        <v>17</v>
      </c>
      <c r="J5" s="122" t="s">
        <v>208</v>
      </c>
      <c r="K5" s="96" t="s">
        <v>210</v>
      </c>
      <c r="N5" t="s">
        <v>183</v>
      </c>
      <c r="O5" t="s">
        <v>113</v>
      </c>
      <c r="P5" t="str">
        <f t="array" aca="1" ref="P5:AB999" ca="1">_xll.GetDailyNBalance(H5:K999,A2:B47,D12:E18,D3:E9)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150</v>
      </c>
      <c r="AE5" t="s">
        <v>151</v>
      </c>
    </row>
    <row r="6" spans="1:37" x14ac:dyDescent="0.3">
      <c r="A6" s="14" t="s">
        <v>224</v>
      </c>
      <c r="B6" s="15" t="str">
        <f>PMNtype</f>
        <v>PMN</v>
      </c>
      <c r="D6" s="20" t="str">
        <f>IF(ConceptDemo!C31="","",ConceptDemo!C31)</f>
        <v/>
      </c>
      <c r="E6" s="19" t="str">
        <f>IF(ConceptDemo!D31="","",ConceptDemo!D31)</f>
        <v/>
      </c>
      <c r="G6" s="3">
        <f ca="1">H6-DATE(YEAR(H6),1,0)+1</f>
        <v>153</v>
      </c>
      <c r="H6" s="97">
        <f ca="1">B20-1</f>
        <v>45078</v>
      </c>
      <c r="I6" s="121">
        <f ca="1">HLOOKUP($H$4,'Met Data'!$A$2:$F$368,G6,FALSE)</f>
        <v>10.004166666666601</v>
      </c>
      <c r="J6" s="121">
        <f ca="1">HLOOKUP($H$4,'Met Data'!$H$2:$M$368,G6,FALSE)*L6</f>
        <v>2.5</v>
      </c>
      <c r="K6" s="98">
        <f ca="1">HLOOKUP($H$4,'Met Data'!$O$2:$T$368,G6,FALSE)</f>
        <v>1.1690097853574</v>
      </c>
      <c r="L6">
        <f t="shared" ref="L6:L69" ca="1" si="0">IF(H6&lt;$B$31,$J$3,$J$4)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45123</v>
      </c>
      <c r="Q6">
        <f ca="1"/>
        <v>47.337808751109691</v>
      </c>
      <c r="R6">
        <f ca="1"/>
        <v>2.8938105301205601</v>
      </c>
      <c r="S6">
        <f ca="1"/>
        <v>0.1275709090909091</v>
      </c>
      <c r="T6" s="4">
        <f ca="1"/>
        <v>0.10404837213934802</v>
      </c>
      <c r="U6">
        <f ca="1"/>
        <v>0</v>
      </c>
      <c r="V6">
        <f ca="1"/>
        <v>119.19156272873199</v>
      </c>
      <c r="W6">
        <f ca="1"/>
        <v>109.038207385174</v>
      </c>
      <c r="X6">
        <f ca="1"/>
        <v>0</v>
      </c>
      <c r="Y6">
        <f ca="1"/>
        <v>1</v>
      </c>
      <c r="Z6">
        <f ca="1"/>
        <v>0</v>
      </c>
      <c r="AA6">
        <f ca="1"/>
        <v>0</v>
      </c>
      <c r="AB6">
        <f ca="1"/>
        <v>0.99999057145491199</v>
      </c>
      <c r="AD6" s="2">
        <f t="shared" ref="AD6:AD69" ca="1" si="2">IFERROR(P6,$AD$4)</f>
        <v>45123</v>
      </c>
      <c r="AE6">
        <f t="shared" ref="AE6:AE69" ca="1" si="3">IFERROR(U6,0)</f>
        <v>0</v>
      </c>
      <c r="AG6" s="3"/>
      <c r="AH6" s="3"/>
      <c r="AJ6" s="3"/>
      <c r="AK6" s="3"/>
    </row>
    <row r="7" spans="1:37" x14ac:dyDescent="0.3">
      <c r="A7" s="14" t="s">
        <v>220</v>
      </c>
      <c r="B7" s="15">
        <f>HWEON</f>
        <v>10</v>
      </c>
      <c r="D7" s="20" t="str">
        <f>IF(ConceptDemo!C32="","",ConceptDemo!C32)</f>
        <v/>
      </c>
      <c r="E7" s="19" t="str">
        <f>IF(ConceptDemo!D32="","",ConceptDemo!D32)</f>
        <v/>
      </c>
      <c r="G7" s="3">
        <f t="shared" ref="G7:G70" ca="1" si="4">H7-DATE(YEAR(H7),1,0)+1</f>
        <v>154</v>
      </c>
      <c r="H7" s="97">
        <f ca="1">H6+1</f>
        <v>45079</v>
      </c>
      <c r="I7" s="121">
        <f ca="1">HLOOKUP($H$4,'Met Data'!$A$2:$F$368,G7,FALSE)</f>
        <v>9.99583333333333</v>
      </c>
      <c r="J7" s="121">
        <f ca="1">HLOOKUP($H$4,'Met Data'!$H$2:$M$368,G7,FALSE)*L7</f>
        <v>2.7833333333333301</v>
      </c>
      <c r="K7" s="98">
        <f ca="1">HLOOKUP($H$4,'Met Data'!$O$2:$T$368,G7,FALSE)</f>
        <v>1.0280895768516001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0</v>
      </c>
      <c r="P7" s="2">
        <f ca="1"/>
        <v>45124</v>
      </c>
      <c r="Q7">
        <f ca="1"/>
        <v>44.639717427077613</v>
      </c>
      <c r="R7">
        <f ca="1"/>
        <v>2.9335570930406298</v>
      </c>
      <c r="S7">
        <f ca="1"/>
        <v>0.12342683900826447</v>
      </c>
      <c r="T7" s="4">
        <f ca="1"/>
        <v>0.11203893000028491</v>
      </c>
      <c r="U7">
        <f ca="1"/>
        <v>0</v>
      </c>
      <c r="V7">
        <f ca="1"/>
        <v>122.125119821773</v>
      </c>
      <c r="W7">
        <f ca="1"/>
        <v>111.72186887399199</v>
      </c>
      <c r="X7">
        <f ca="1"/>
        <v>0</v>
      </c>
      <c r="Y7">
        <f ca="1"/>
        <v>1</v>
      </c>
      <c r="Z7">
        <f ca="1"/>
        <v>3.655251154749962</v>
      </c>
      <c r="AA7">
        <f ca="1"/>
        <v>0</v>
      </c>
      <c r="AB7">
        <f ca="1"/>
        <v>0.99999350482483895</v>
      </c>
      <c r="AD7" s="2">
        <f t="shared" ca="1" si="2"/>
        <v>45124</v>
      </c>
      <c r="AE7">
        <f t="shared" ca="1" si="3"/>
        <v>0</v>
      </c>
      <c r="AF7" s="3"/>
      <c r="AG7" s="65">
        <f ca="1">Q6+S7+T7+U7</f>
        <v>47.573274520118247</v>
      </c>
      <c r="AH7" s="65">
        <f ca="1">Q7+R7+X7</f>
        <v>47.573274520118247</v>
      </c>
      <c r="AI7" s="3">
        <f ca="1">AH7-AG7</f>
        <v>0</v>
      </c>
      <c r="AK7" s="3"/>
    </row>
    <row r="8" spans="1:37" x14ac:dyDescent="0.3">
      <c r="A8" s="14" t="s">
        <v>27</v>
      </c>
      <c r="B8" s="15">
        <f>ConceptDemo!D70</f>
        <v>30</v>
      </c>
      <c r="D8" s="20" t="str">
        <f>IF(ConceptDemo!C33="","",ConceptDemo!C33)</f>
        <v/>
      </c>
      <c r="E8" s="19" t="str">
        <f>IF(ConceptDemo!D33="","",ConceptDemo!D33)</f>
        <v/>
      </c>
      <c r="G8" s="3">
        <f t="shared" ca="1" si="4"/>
        <v>155</v>
      </c>
      <c r="H8" s="97">
        <f t="shared" ref="H8:H71" ca="1" si="6">H7+1</f>
        <v>45080</v>
      </c>
      <c r="I8" s="121">
        <f ca="1">HLOOKUP($H$4,'Met Data'!$A$2:$F$368,G8,FALSE)</f>
        <v>9.8999999999999897</v>
      </c>
      <c r="J8" s="121">
        <f ca="1">HLOOKUP($H$4,'Met Data'!$H$2:$M$368,G8,FALSE)*L8</f>
        <v>1.7833333333333301</v>
      </c>
      <c r="K8" s="98">
        <f ca="1">HLOOKUP($H$4,'Met Data'!$O$2:$T$368,G8,FALSE)</f>
        <v>0.97110296937720297</v>
      </c>
      <c r="L8">
        <f t="shared" ca="1" si="0"/>
        <v>1</v>
      </c>
      <c r="N8" t="b">
        <f t="shared" ca="1" si="5"/>
        <v>1</v>
      </c>
      <c r="O8" t="b">
        <f t="shared" ca="1" si="1"/>
        <v>0</v>
      </c>
      <c r="P8" s="2">
        <f ca="1"/>
        <v>45125</v>
      </c>
      <c r="Q8">
        <f ca="1"/>
        <v>45.898180263736542</v>
      </c>
      <c r="R8">
        <f ca="1"/>
        <v>0</v>
      </c>
      <c r="S8">
        <f ca="1"/>
        <v>1.154564605105816</v>
      </c>
      <c r="T8" s="4">
        <f ca="1"/>
        <v>0.10389823155310748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1</v>
      </c>
      <c r="Z8">
        <f ca="1"/>
        <v>7.5981289381800821E-2</v>
      </c>
      <c r="AA8">
        <f ca="1"/>
        <v>0</v>
      </c>
      <c r="AB8">
        <f ca="1"/>
        <v>0</v>
      </c>
      <c r="AD8" s="2">
        <f t="shared" ca="1" si="2"/>
        <v>45125</v>
      </c>
      <c r="AE8">
        <f t="shared" ca="1" si="3"/>
        <v>0</v>
      </c>
      <c r="AG8" s="65">
        <f t="shared" ref="AG8:AG71" ca="1" si="7">Q7+S8+T8+U8</f>
        <v>45.898180263736542</v>
      </c>
      <c r="AH8" s="65">
        <f t="shared" ref="AH8:AH71" ca="1" si="8">Q8+R8+X8</f>
        <v>45.898180263736542</v>
      </c>
      <c r="AI8" s="3">
        <f t="shared" ref="AI8:AI71" ca="1" si="9">AH8-AG8</f>
        <v>0</v>
      </c>
    </row>
    <row r="9" spans="1:37" ht="15" thickBot="1" x14ac:dyDescent="0.35">
      <c r="A9" s="14" t="s">
        <v>28</v>
      </c>
      <c r="B9" s="15">
        <f>ConceptDemo!D71</f>
        <v>80</v>
      </c>
      <c r="D9" s="37" t="str">
        <f>IF(ConceptDemo!C34="","",ConceptDemo!C34)</f>
        <v/>
      </c>
      <c r="E9" s="22" t="str">
        <f>IF(ConceptDemo!D34="","",ConceptDemo!D34)</f>
        <v/>
      </c>
      <c r="G9" s="3">
        <f t="shared" ca="1" si="4"/>
        <v>156</v>
      </c>
      <c r="H9" s="97">
        <f t="shared" ca="1" si="6"/>
        <v>45081</v>
      </c>
      <c r="I9" s="121">
        <f ca="1">HLOOKUP($H$4,'Met Data'!$A$2:$F$368,G9,FALSE)</f>
        <v>10.95</v>
      </c>
      <c r="J9" s="121">
        <f ca="1">HLOOKUP($H$4,'Met Data'!$H$2:$M$368,G9,FALSE)*L9</f>
        <v>2.44999999999999</v>
      </c>
      <c r="K9" s="98">
        <f ca="1">HLOOKUP($H$4,'Met Data'!$O$2:$T$368,G9,FALSE)</f>
        <v>0.960770877493487</v>
      </c>
      <c r="L9">
        <f t="shared" ca="1" si="0"/>
        <v>1</v>
      </c>
      <c r="N9" t="b">
        <f t="shared" ca="1" si="5"/>
        <v>1</v>
      </c>
      <c r="O9" t="b">
        <f t="shared" ca="1" si="1"/>
        <v>0</v>
      </c>
      <c r="P9" s="2">
        <f ca="1"/>
        <v>45126</v>
      </c>
      <c r="Q9">
        <f ca="1"/>
        <v>47.05278002324814</v>
      </c>
      <c r="R9">
        <f ca="1"/>
        <v>0</v>
      </c>
      <c r="S9">
        <f ca="1"/>
        <v>1.0491319278646642</v>
      </c>
      <c r="T9" s="4">
        <f ca="1"/>
        <v>0.1054678316469352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1</v>
      </c>
      <c r="Z9">
        <f ca="1"/>
        <v>0.18825470529201027</v>
      </c>
      <c r="AA9">
        <f ca="1"/>
        <v>0</v>
      </c>
      <c r="AB9">
        <f ca="1"/>
        <v>0</v>
      </c>
      <c r="AD9" s="2">
        <f t="shared" ca="1" si="2"/>
        <v>45126</v>
      </c>
      <c r="AE9">
        <f t="shared" ca="1" si="3"/>
        <v>0</v>
      </c>
      <c r="AG9" s="65">
        <f t="shared" ca="1" si="7"/>
        <v>47.05278002324814</v>
      </c>
      <c r="AH9" s="65">
        <f t="shared" ca="1" si="8"/>
        <v>47.05278002324814</v>
      </c>
      <c r="AI9" s="3">
        <f t="shared" ca="1" si="9"/>
        <v>0</v>
      </c>
    </row>
    <row r="10" spans="1:37" ht="15" thickBot="1" x14ac:dyDescent="0.35">
      <c r="A10" s="14" t="s">
        <v>29</v>
      </c>
      <c r="B10" s="15">
        <f>Splits</f>
        <v>3</v>
      </c>
      <c r="G10" s="3">
        <f t="shared" ca="1" si="4"/>
        <v>157</v>
      </c>
      <c r="H10" s="97">
        <f t="shared" ca="1" si="6"/>
        <v>45082</v>
      </c>
      <c r="I10" s="121">
        <f ca="1">HLOOKUP($H$4,'Met Data'!$A$2:$F$368,G10,FALSE)</f>
        <v>10.6875</v>
      </c>
      <c r="J10" s="121">
        <f ca="1">HLOOKUP($H$4,'Met Data'!$H$2:$M$368,G10,FALSE)*L10</f>
        <v>4.1333333333333302</v>
      </c>
      <c r="K10" s="98">
        <f ca="1">HLOOKUP($H$4,'Met Data'!$O$2:$T$368,G10,FALSE)</f>
        <v>0.84332690198160198</v>
      </c>
      <c r="L10">
        <f t="shared" ca="1" si="0"/>
        <v>1</v>
      </c>
      <c r="N10" t="b">
        <f t="shared" ca="1" si="5"/>
        <v>1</v>
      </c>
      <c r="O10" t="b">
        <f t="shared" ca="1" si="1"/>
        <v>0</v>
      </c>
      <c r="P10" s="2">
        <f ca="1"/>
        <v>45127</v>
      </c>
      <c r="Q10">
        <f ca="1"/>
        <v>48.152647991772533</v>
      </c>
      <c r="R10">
        <f ca="1"/>
        <v>0</v>
      </c>
      <c r="S10">
        <f ca="1"/>
        <v>0.98884233164670743</v>
      </c>
      <c r="T10" s="4">
        <f ca="1"/>
        <v>0.11102563687768667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1</v>
      </c>
      <c r="Z10">
        <f ca="1"/>
        <v>1.8033013448346225</v>
      </c>
      <c r="AA10">
        <f ca="1"/>
        <v>0</v>
      </c>
      <c r="AB10">
        <f ca="1"/>
        <v>0</v>
      </c>
      <c r="AD10" s="2">
        <f t="shared" ca="1" si="2"/>
        <v>45127</v>
      </c>
      <c r="AE10">
        <f t="shared" ca="1" si="3"/>
        <v>0</v>
      </c>
      <c r="AG10" s="65">
        <f t="shared" ca="1" si="7"/>
        <v>48.152647991772533</v>
      </c>
      <c r="AH10" s="65">
        <f t="shared" ca="1" si="8"/>
        <v>48.152647991772533</v>
      </c>
      <c r="AI10" s="3">
        <f t="shared" ca="1" si="9"/>
        <v>0</v>
      </c>
    </row>
    <row r="11" spans="1:37" x14ac:dyDescent="0.3">
      <c r="A11" s="14" t="s">
        <v>214</v>
      </c>
      <c r="B11" s="15">
        <f>AWC</f>
        <v>120</v>
      </c>
      <c r="D11" s="143" t="str">
        <f>ConceptDemo!C36</f>
        <v>Soil Mineral N Test Results</v>
      </c>
      <c r="E11" s="144"/>
      <c r="G11" s="3">
        <f t="shared" ca="1" si="4"/>
        <v>158</v>
      </c>
      <c r="H11" s="97">
        <f t="shared" ca="1" si="6"/>
        <v>45083</v>
      </c>
      <c r="I11" s="121">
        <f ca="1">HLOOKUP($H$4,'Met Data'!$A$2:$F$368,G11,FALSE)</f>
        <v>10.5625</v>
      </c>
      <c r="J11" s="121">
        <f ca="1">HLOOKUP($H$4,'Met Data'!$H$2:$M$368,G11,FALSE)*L11</f>
        <v>5.3</v>
      </c>
      <c r="K11" s="98">
        <f ca="1">HLOOKUP($H$4,'Met Data'!$O$2:$T$368,G11,FALSE)</f>
        <v>0.93242759876210701</v>
      </c>
      <c r="L11">
        <f t="shared" ca="1" si="0"/>
        <v>1</v>
      </c>
      <c r="N11" t="b">
        <f t="shared" ca="1" si="5"/>
        <v>1</v>
      </c>
      <c r="O11" t="b">
        <f t="shared" ca="1" si="1"/>
        <v>0</v>
      </c>
      <c r="P11" s="2">
        <f ca="1"/>
        <v>45128</v>
      </c>
      <c r="Q11">
        <f ca="1"/>
        <v>49.174273041696779</v>
      </c>
      <c r="R11">
        <f ca="1"/>
        <v>0</v>
      </c>
      <c r="S11">
        <f ca="1"/>
        <v>0.90685515867543809</v>
      </c>
      <c r="T11" s="4">
        <f ca="1"/>
        <v>0.11476989124880436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1</v>
      </c>
      <c r="Z11">
        <f ca="1"/>
        <v>2.5517938138543315</v>
      </c>
      <c r="AA11">
        <f ca="1"/>
        <v>0</v>
      </c>
      <c r="AB11">
        <f ca="1"/>
        <v>0</v>
      </c>
      <c r="AD11" s="2">
        <f t="shared" ca="1" si="2"/>
        <v>45128</v>
      </c>
      <c r="AE11">
        <f t="shared" ca="1" si="3"/>
        <v>0</v>
      </c>
      <c r="AG11" s="65">
        <f t="shared" ca="1" si="7"/>
        <v>49.174273041696779</v>
      </c>
      <c r="AH11" s="65">
        <f t="shared" ca="1" si="8"/>
        <v>49.174273041696779</v>
      </c>
      <c r="AI11" s="3">
        <f t="shared" ca="1" si="9"/>
        <v>0</v>
      </c>
    </row>
    <row r="12" spans="1:37" ht="15" thickBot="1" x14ac:dyDescent="0.35">
      <c r="A12" s="14" t="s">
        <v>211</v>
      </c>
      <c r="B12" s="15" t="str">
        <f>PrePlantRain</f>
        <v>Typical</v>
      </c>
      <c r="D12" s="21" t="str">
        <f>ConceptDemo!C37</f>
        <v>Date</v>
      </c>
      <c r="E12" s="22" t="str">
        <f>ConceptDemo!D37</f>
        <v>Value</v>
      </c>
      <c r="G12" s="3">
        <f t="shared" ca="1" si="4"/>
        <v>159</v>
      </c>
      <c r="H12" s="97">
        <f t="shared" ca="1" si="6"/>
        <v>45084</v>
      </c>
      <c r="I12" s="121">
        <f ca="1">HLOOKUP($H$4,'Met Data'!$A$2:$F$368,G12,FALSE)</f>
        <v>10.4625</v>
      </c>
      <c r="J12" s="121">
        <f ca="1">HLOOKUP($H$4,'Met Data'!$H$2:$M$368,G12,FALSE)*L12</f>
        <v>2.44999999999999</v>
      </c>
      <c r="K12" s="98">
        <f ca="1">HLOOKUP($H$4,'Met Data'!$O$2:$T$368,G12,FALSE)</f>
        <v>0.99912564942381998</v>
      </c>
      <c r="L12">
        <f t="shared" ca="1" si="0"/>
        <v>1</v>
      </c>
      <c r="N12" t="b">
        <f t="shared" ca="1" si="5"/>
        <v>1</v>
      </c>
      <c r="O12" t="b">
        <f t="shared" ca="1" si="1"/>
        <v>0</v>
      </c>
      <c r="P12" s="2">
        <f ca="1"/>
        <v>45129</v>
      </c>
      <c r="Q12">
        <f ca="1"/>
        <v>50.107055160235298</v>
      </c>
      <c r="R12">
        <f ca="1"/>
        <v>0</v>
      </c>
      <c r="S12">
        <f ca="1"/>
        <v>0.81577539137026178</v>
      </c>
      <c r="T12" s="4">
        <f ca="1"/>
        <v>0.11700672716825908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1</v>
      </c>
      <c r="Z12">
        <f ca="1"/>
        <v>3.6062059559819915</v>
      </c>
      <c r="AA12">
        <f ca="1"/>
        <v>0</v>
      </c>
      <c r="AB12">
        <f ca="1"/>
        <v>0</v>
      </c>
      <c r="AD12" s="2">
        <f t="shared" ca="1" si="2"/>
        <v>45129</v>
      </c>
      <c r="AE12">
        <f t="shared" ca="1" si="3"/>
        <v>0</v>
      </c>
      <c r="AG12" s="65">
        <f t="shared" ca="1" si="7"/>
        <v>50.107055160235298</v>
      </c>
      <c r="AH12" s="65">
        <f t="shared" ca="1" si="8"/>
        <v>50.107055160235298</v>
      </c>
      <c r="AI12" s="3">
        <f t="shared" ca="1" si="9"/>
        <v>0</v>
      </c>
    </row>
    <row r="13" spans="1:37" x14ac:dyDescent="0.3">
      <c r="A13" s="14" t="s">
        <v>212</v>
      </c>
      <c r="B13" s="15" t="str">
        <f>InCropRain</f>
        <v>Typical</v>
      </c>
      <c r="D13" s="20">
        <f>IF(ConceptDemo!C38="","",ConceptDemo!C38)</f>
        <v>45139</v>
      </c>
      <c r="E13" s="19">
        <f>IF(ConceptDemo!D38="","",ConceptDemo!D38)</f>
        <v>10</v>
      </c>
      <c r="G13" s="3">
        <f t="shared" ca="1" si="4"/>
        <v>160</v>
      </c>
      <c r="H13" s="97">
        <f t="shared" ca="1" si="6"/>
        <v>45085</v>
      </c>
      <c r="I13" s="121">
        <f ca="1">HLOOKUP($H$4,'Met Data'!$A$2:$F$368,G13,FALSE)</f>
        <v>9.5875000000000004</v>
      </c>
      <c r="J13" s="121">
        <f ca="1">HLOOKUP($H$4,'Met Data'!$H$2:$M$368,G13,FALSE)*L13</f>
        <v>1.7333333333333301</v>
      </c>
      <c r="K13" s="98">
        <f ca="1">HLOOKUP($H$4,'Met Data'!$O$2:$T$368,G13,FALSE)</f>
        <v>1.0839051549829499</v>
      </c>
      <c r="L13">
        <f t="shared" ca="1" si="0"/>
        <v>1</v>
      </c>
      <c r="N13" t="b">
        <f t="shared" ca="1" si="5"/>
        <v>1</v>
      </c>
      <c r="O13" t="b">
        <f t="shared" ca="1" si="1"/>
        <v>0</v>
      </c>
      <c r="P13" s="2">
        <f ca="1"/>
        <v>45130</v>
      </c>
      <c r="Q13">
        <f ca="1"/>
        <v>50.891617360196875</v>
      </c>
      <c r="R13">
        <f ca="1"/>
        <v>0</v>
      </c>
      <c r="S13">
        <f ca="1"/>
        <v>0.67436809874061188</v>
      </c>
      <c r="T13" s="4">
        <f ca="1"/>
        <v>0.11019410122096002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1</v>
      </c>
      <c r="Z13">
        <f ca="1"/>
        <v>4.3871078066843268</v>
      </c>
      <c r="AA13">
        <f ca="1"/>
        <v>0</v>
      </c>
      <c r="AB13">
        <f ca="1"/>
        <v>0</v>
      </c>
      <c r="AD13" s="2">
        <f t="shared" ca="1" si="2"/>
        <v>45130</v>
      </c>
      <c r="AE13">
        <f t="shared" ca="1" si="3"/>
        <v>0</v>
      </c>
      <c r="AG13" s="65">
        <f t="shared" ca="1" si="7"/>
        <v>50.891617360196875</v>
      </c>
      <c r="AH13" s="65">
        <f t="shared" ca="1" si="8"/>
        <v>50.891617360196875</v>
      </c>
      <c r="AI13" s="3">
        <f t="shared" ca="1" si="9"/>
        <v>0</v>
      </c>
    </row>
    <row r="14" spans="1:37" ht="15" thickBot="1" x14ac:dyDescent="0.35">
      <c r="A14" s="14" t="s">
        <v>198</v>
      </c>
      <c r="B14" s="15" t="str">
        <f>Irrigation</f>
        <v>None</v>
      </c>
      <c r="D14" s="20">
        <f>IF(ConceptDemo!C39="","",ConceptDemo!C39)</f>
        <v>45200</v>
      </c>
      <c r="E14" s="19">
        <f>IF(ConceptDemo!D39="","",ConceptDemo!D39)</f>
        <v>50</v>
      </c>
      <c r="G14" s="3">
        <f t="shared" ca="1" si="4"/>
        <v>161</v>
      </c>
      <c r="H14" s="97">
        <f t="shared" ca="1" si="6"/>
        <v>45086</v>
      </c>
      <c r="I14" s="121">
        <f ca="1">HLOOKUP($H$4,'Met Data'!$A$2:$F$368,G14,FALSE)</f>
        <v>9.4875000000000007</v>
      </c>
      <c r="J14" s="121">
        <f ca="1">HLOOKUP($H$4,'Met Data'!$H$2:$M$368,G14,FALSE)*L14</f>
        <v>1.55</v>
      </c>
      <c r="K14" s="98">
        <f ca="1">HLOOKUP($H$4,'Met Data'!$O$2:$T$368,G14,FALSE)</f>
        <v>0.94567596592895498</v>
      </c>
      <c r="L14">
        <f t="shared" ca="1" si="0"/>
        <v>1</v>
      </c>
      <c r="N14" t="b">
        <f t="shared" ca="1" si="5"/>
        <v>1</v>
      </c>
      <c r="O14" t="b">
        <f t="shared" ca="1" si="1"/>
        <v>0</v>
      </c>
      <c r="P14" s="2">
        <f ca="1"/>
        <v>45131</v>
      </c>
      <c r="Q14">
        <f ca="1"/>
        <v>51.598045774532956</v>
      </c>
      <c r="R14">
        <f ca="1"/>
        <v>0</v>
      </c>
      <c r="S14">
        <f ca="1"/>
        <v>0.59651060240495046</v>
      </c>
      <c r="T14" s="4">
        <f ca="1"/>
        <v>0.10991781193113447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1</v>
      </c>
      <c r="Z14">
        <f ca="1"/>
        <v>1.0960011027519698</v>
      </c>
      <c r="AA14">
        <f ca="1"/>
        <v>0</v>
      </c>
      <c r="AB14">
        <f ca="1"/>
        <v>0</v>
      </c>
      <c r="AD14" s="2">
        <f t="shared" ca="1" si="2"/>
        <v>45131</v>
      </c>
      <c r="AE14">
        <f t="shared" ca="1" si="3"/>
        <v>0</v>
      </c>
      <c r="AG14" s="65">
        <f t="shared" ca="1" si="7"/>
        <v>51.598045774532956</v>
      </c>
      <c r="AH14" s="65">
        <f t="shared" ca="1" si="8"/>
        <v>51.598045774532956</v>
      </c>
      <c r="AI14" s="3">
        <f t="shared" ca="1" si="9"/>
        <v>0</v>
      </c>
    </row>
    <row r="15" spans="1:37" x14ac:dyDescent="0.3">
      <c r="A15" s="7" t="s">
        <v>147</v>
      </c>
      <c r="B15" s="33" t="str">
        <f>PriorCropNameFull</f>
        <v>Barley Fodder General</v>
      </c>
      <c r="D15" s="20" t="str">
        <f>IF(ConceptDemo!C40="","",ConceptDemo!C40)</f>
        <v/>
      </c>
      <c r="E15" s="19" t="str">
        <f>IF(ConceptDemo!D40="","",ConceptDemo!D40)</f>
        <v/>
      </c>
      <c r="G15" s="3">
        <f t="shared" ca="1" si="4"/>
        <v>162</v>
      </c>
      <c r="H15" s="97">
        <f t="shared" ca="1" si="6"/>
        <v>45087</v>
      </c>
      <c r="I15" s="121">
        <f ca="1">HLOOKUP($H$4,'Met Data'!$A$2:$F$368,G15,FALSE)</f>
        <v>10.9</v>
      </c>
      <c r="J15" s="121">
        <f ca="1">HLOOKUP($H$4,'Met Data'!$H$2:$M$368,G15,FALSE)*L15</f>
        <v>4.8363636363636298</v>
      </c>
      <c r="K15" s="98">
        <f ca="1">HLOOKUP($H$4,'Met Data'!$O$2:$T$368,G15,FALSE)</f>
        <v>0.77149259834587403</v>
      </c>
      <c r="L15">
        <f t="shared" ca="1" si="0"/>
        <v>1</v>
      </c>
      <c r="N15" t="b">
        <f t="shared" ca="1" si="5"/>
        <v>1</v>
      </c>
      <c r="O15" t="b">
        <f t="shared" ca="1" si="1"/>
        <v>0</v>
      </c>
      <c r="P15" s="2">
        <f ca="1"/>
        <v>45132</v>
      </c>
      <c r="Q15">
        <f ca="1"/>
        <v>52.205153651371859</v>
      </c>
      <c r="R15">
        <f ca="1"/>
        <v>0</v>
      </c>
      <c r="S15">
        <f ca="1"/>
        <v>0.50231076192053892</v>
      </c>
      <c r="T15" s="4">
        <f ca="1"/>
        <v>0.10479711491836211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0.99919374536099503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45132</v>
      </c>
      <c r="AE15">
        <f t="shared" ca="1" si="3"/>
        <v>0</v>
      </c>
      <c r="AG15" s="65">
        <f t="shared" ca="1" si="7"/>
        <v>52.205153651371859</v>
      </c>
      <c r="AH15" s="65">
        <f t="shared" ca="1" si="8"/>
        <v>52.205153651371859</v>
      </c>
      <c r="AI15" s="3">
        <f t="shared" ca="1" si="9"/>
        <v>0</v>
      </c>
    </row>
    <row r="16" spans="1:37" x14ac:dyDescent="0.3">
      <c r="A16" s="8" t="s">
        <v>117</v>
      </c>
      <c r="B16" s="34">
        <f>PriorYield_tperHa</f>
        <v>8</v>
      </c>
      <c r="D16" s="20" t="str">
        <f>IF(ConceptDemo!C41="","",ConceptDemo!C41)</f>
        <v/>
      </c>
      <c r="E16" s="19" t="str">
        <f>IF(ConceptDemo!D41="","",ConceptDemo!D41)</f>
        <v/>
      </c>
      <c r="G16" s="3">
        <f t="shared" ca="1" si="4"/>
        <v>163</v>
      </c>
      <c r="H16" s="97">
        <f t="shared" ca="1" si="6"/>
        <v>45088</v>
      </c>
      <c r="I16" s="121">
        <f ca="1">HLOOKUP($H$4,'Met Data'!$A$2:$F$368,G16,FALSE)</f>
        <v>10.8954545454545</v>
      </c>
      <c r="J16" s="121">
        <f ca="1">HLOOKUP($H$4,'Met Data'!$H$2:$M$368,G16,FALSE)*L16</f>
        <v>7.1454545454545402</v>
      </c>
      <c r="K16" s="98">
        <f ca="1">HLOOKUP($H$4,'Met Data'!$O$2:$T$368,G16,FALSE)</f>
        <v>0.76887644299908198</v>
      </c>
      <c r="L16">
        <f t="shared" ca="1" si="0"/>
        <v>1</v>
      </c>
      <c r="N16" t="b">
        <f t="shared" ca="1" si="5"/>
        <v>1</v>
      </c>
      <c r="O16" t="b">
        <f t="shared" ca="1" si="1"/>
        <v>0</v>
      </c>
      <c r="P16" s="2">
        <f ca="1"/>
        <v>45133</v>
      </c>
      <c r="Q16">
        <f ca="1"/>
        <v>52.745163653600613</v>
      </c>
      <c r="R16">
        <f ca="1"/>
        <v>0</v>
      </c>
      <c r="S16">
        <f ca="1"/>
        <v>0.4369880179387971</v>
      </c>
      <c r="T16" s="4">
        <f ca="1"/>
        <v>0.10302198428996313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0.99199419074011219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45133</v>
      </c>
      <c r="AE16">
        <f t="shared" ca="1" si="3"/>
        <v>0</v>
      </c>
      <c r="AG16" s="65">
        <f t="shared" ca="1" si="7"/>
        <v>52.745163653600613</v>
      </c>
      <c r="AH16" s="65">
        <f t="shared" ca="1" si="8"/>
        <v>52.745163653600613</v>
      </c>
      <c r="AI16" s="3">
        <f t="shared" ca="1" si="9"/>
        <v>0</v>
      </c>
    </row>
    <row r="17" spans="1:35" x14ac:dyDescent="0.3">
      <c r="A17" s="8" t="s">
        <v>118</v>
      </c>
      <c r="B17" s="34">
        <f>PriorFieldLoss</f>
        <v>0</v>
      </c>
      <c r="D17" s="20" t="str">
        <f>IF(ConceptDemo!C42="","",ConceptDemo!C42)</f>
        <v/>
      </c>
      <c r="E17" s="19" t="str">
        <f>IF(ConceptDemo!D42="","",ConceptDemo!D42)</f>
        <v/>
      </c>
      <c r="G17" s="3">
        <f t="shared" ca="1" si="4"/>
        <v>164</v>
      </c>
      <c r="H17" s="97">
        <f t="shared" ca="1" si="6"/>
        <v>45089</v>
      </c>
      <c r="I17" s="121">
        <f ca="1">HLOOKUP($H$4,'Met Data'!$A$2:$F$368,G17,FALSE)</f>
        <v>11.8375</v>
      </c>
      <c r="J17" s="121">
        <f ca="1">HLOOKUP($H$4,'Met Data'!$H$2:$M$368,G17,FALSE)*L17</f>
        <v>0.88333333333333297</v>
      </c>
      <c r="K17" s="98">
        <f ca="1">HLOOKUP($H$4,'Met Data'!$O$2:$T$368,G17,FALSE)</f>
        <v>0.886573255907814</v>
      </c>
      <c r="L17">
        <f t="shared" ca="1" si="0"/>
        <v>1</v>
      </c>
      <c r="N17" t="b">
        <f t="shared" ca="1" si="5"/>
        <v>1</v>
      </c>
      <c r="O17" t="b">
        <f t="shared" ca="1" si="1"/>
        <v>0</v>
      </c>
      <c r="P17" s="2">
        <f ca="1"/>
        <v>45134</v>
      </c>
      <c r="Q17">
        <f ca="1"/>
        <v>53.274424917293921</v>
      </c>
      <c r="R17">
        <f ca="1"/>
        <v>0</v>
      </c>
      <c r="S17">
        <f ca="1"/>
        <v>0.42007805163827627</v>
      </c>
      <c r="T17" s="4">
        <f ca="1"/>
        <v>0.10918321205503259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0.99954474840675356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45134</v>
      </c>
      <c r="AE17">
        <f t="shared" ca="1" si="3"/>
        <v>0</v>
      </c>
      <c r="AG17" s="65">
        <f t="shared" ca="1" si="7"/>
        <v>53.274424917293921</v>
      </c>
      <c r="AH17" s="65">
        <f t="shared" ca="1" si="8"/>
        <v>53.274424917293921</v>
      </c>
      <c r="AI17" s="3">
        <f t="shared" ca="1" si="9"/>
        <v>0</v>
      </c>
    </row>
    <row r="18" spans="1:35" ht="15" thickBot="1" x14ac:dyDescent="0.35">
      <c r="A18" s="8" t="s">
        <v>119</v>
      </c>
      <c r="B18" s="34">
        <f>PriorDressingLoss</f>
        <v>0</v>
      </c>
      <c r="D18" s="37" t="str">
        <f>IF(ConceptDemo!C43="","",ConceptDemo!C43)</f>
        <v/>
      </c>
      <c r="E18" s="22" t="str">
        <f>IF(ConceptDemo!D43="","",ConceptDemo!D43)</f>
        <v/>
      </c>
      <c r="G18" s="3">
        <f t="shared" ca="1" si="4"/>
        <v>165</v>
      </c>
      <c r="H18" s="97">
        <f t="shared" ca="1" si="6"/>
        <v>45090</v>
      </c>
      <c r="I18" s="121">
        <f ca="1">HLOOKUP($H$4,'Met Data'!$A$2:$F$368,G18,FALSE)</f>
        <v>10.4916666666666</v>
      </c>
      <c r="J18" s="121">
        <f ca="1">HLOOKUP($H$4,'Met Data'!$H$2:$M$368,G18,FALSE)*L18</f>
        <v>5.3166666666666602</v>
      </c>
      <c r="K18" s="98">
        <f ca="1">HLOOKUP($H$4,'Met Data'!$O$2:$T$368,G18,FALSE)</f>
        <v>0.75300621765048603</v>
      </c>
      <c r="L18">
        <f t="shared" ca="1" si="0"/>
        <v>1</v>
      </c>
      <c r="N18" t="b">
        <f t="shared" ca="1" si="5"/>
        <v>1</v>
      </c>
      <c r="O18" t="b">
        <f t="shared" ca="1" si="1"/>
        <v>0</v>
      </c>
      <c r="P18" s="2">
        <f ca="1"/>
        <v>45135</v>
      </c>
      <c r="Q18">
        <f ca="1"/>
        <v>53.739022200353119</v>
      </c>
      <c r="R18">
        <f ca="1"/>
        <v>0</v>
      </c>
      <c r="S18">
        <f ca="1"/>
        <v>0.35917425155895139</v>
      </c>
      <c r="T18" s="4">
        <f ca="1"/>
        <v>0.10542303150024245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0.99939556434216936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45135</v>
      </c>
      <c r="AE18">
        <f t="shared" ca="1" si="3"/>
        <v>0</v>
      </c>
      <c r="AG18" s="65">
        <f t="shared" ca="1" si="7"/>
        <v>53.739022200353119</v>
      </c>
      <c r="AH18" s="65">
        <f t="shared" ca="1" si="8"/>
        <v>53.739022200353119</v>
      </c>
      <c r="AI18" s="3">
        <f t="shared" ca="1" si="9"/>
        <v>0</v>
      </c>
    </row>
    <row r="19" spans="1:35" x14ac:dyDescent="0.3">
      <c r="A19" s="8" t="s">
        <v>120</v>
      </c>
      <c r="B19" s="34">
        <f>PriorMoistureContent</f>
        <v>0</v>
      </c>
      <c r="G19" s="3">
        <f t="shared" ca="1" si="4"/>
        <v>166</v>
      </c>
      <c r="H19" s="97">
        <f t="shared" ca="1" si="6"/>
        <v>45091</v>
      </c>
      <c r="I19" s="121">
        <f ca="1">HLOOKUP($H$4,'Met Data'!$A$2:$F$368,G19,FALSE)</f>
        <v>10.133333333333301</v>
      </c>
      <c r="J19" s="121">
        <f ca="1">HLOOKUP($H$4,'Met Data'!$H$2:$M$368,G19,FALSE)*L19</f>
        <v>1.2</v>
      </c>
      <c r="K19" s="98">
        <f ca="1">HLOOKUP($H$4,'Met Data'!$O$2:$T$368,G19,FALSE)</f>
        <v>1.0949815777606999</v>
      </c>
      <c r="L19">
        <f t="shared" ca="1" si="0"/>
        <v>1</v>
      </c>
      <c r="N19" t="b">
        <f t="shared" ca="1" si="5"/>
        <v>1</v>
      </c>
      <c r="O19" t="b">
        <f t="shared" ca="1" si="1"/>
        <v>0</v>
      </c>
      <c r="P19" s="2">
        <f ca="1"/>
        <v>45136</v>
      </c>
      <c r="Q19">
        <f ca="1"/>
        <v>54.167422071463797</v>
      </c>
      <c r="R19">
        <f ca="1"/>
        <v>0</v>
      </c>
      <c r="S19">
        <f ca="1"/>
        <v>0.32243842927922411</v>
      </c>
      <c r="T19" s="4">
        <f ca="1"/>
        <v>0.10596144183145222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1</v>
      </c>
      <c r="Z19">
        <f ca="1"/>
        <v>1.5322568368548133</v>
      </c>
      <c r="AA19">
        <f ca="1"/>
        <v>0</v>
      </c>
      <c r="AB19">
        <f ca="1"/>
        <v>0</v>
      </c>
      <c r="AD19" s="2">
        <f t="shared" ca="1" si="2"/>
        <v>45136</v>
      </c>
      <c r="AE19">
        <f t="shared" ca="1" si="3"/>
        <v>0</v>
      </c>
      <c r="AG19" s="65">
        <f t="shared" ca="1" si="7"/>
        <v>54.167422071463797</v>
      </c>
      <c r="AH19" s="65">
        <f t="shared" ca="1" si="8"/>
        <v>54.167422071463797</v>
      </c>
      <c r="AI19" s="3">
        <f t="shared" ca="1" si="9"/>
        <v>0</v>
      </c>
    </row>
    <row r="20" spans="1:35" x14ac:dyDescent="0.3">
      <c r="A20" s="8" t="s">
        <v>121</v>
      </c>
      <c r="B20" s="36">
        <f ca="1">PriorEstablishDate</f>
        <v>45079</v>
      </c>
      <c r="G20" s="3">
        <f t="shared" ca="1" si="4"/>
        <v>167</v>
      </c>
      <c r="H20" s="97">
        <f t="shared" ca="1" si="6"/>
        <v>45092</v>
      </c>
      <c r="I20" s="121">
        <f ca="1">HLOOKUP($H$4,'Met Data'!$A$2:$F$368,G20,FALSE)</f>
        <v>9.0291666666666597</v>
      </c>
      <c r="J20" s="121">
        <f ca="1">HLOOKUP($H$4,'Met Data'!$H$2:$M$368,G20,FALSE)*L20</f>
        <v>2.0499999999999998</v>
      </c>
      <c r="K20" s="98">
        <f ca="1">HLOOKUP($H$4,'Met Data'!$O$2:$T$368,G20,FALSE)</f>
        <v>0.76363291076582096</v>
      </c>
      <c r="L20">
        <f t="shared" ca="1" si="0"/>
        <v>1</v>
      </c>
      <c r="N20" t="b">
        <f t="shared" ca="1" si="5"/>
        <v>1</v>
      </c>
      <c r="O20" t="b">
        <f t="shared" ca="1" si="1"/>
        <v>0</v>
      </c>
      <c r="P20" s="2">
        <f ca="1"/>
        <v>45137</v>
      </c>
      <c r="Q20">
        <f ca="1"/>
        <v>54.524551928377143</v>
      </c>
      <c r="R20">
        <f ca="1"/>
        <v>0</v>
      </c>
      <c r="S20">
        <f ca="1"/>
        <v>0.26016762283434763</v>
      </c>
      <c r="T20" s="4">
        <f ca="1"/>
        <v>9.6962234079003951E-2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1</v>
      </c>
      <c r="Z20">
        <f ca="1"/>
        <v>0.1841157690755324</v>
      </c>
      <c r="AA20">
        <f ca="1"/>
        <v>0</v>
      </c>
      <c r="AB20">
        <f ca="1"/>
        <v>0</v>
      </c>
      <c r="AD20" s="2">
        <f t="shared" ca="1" si="2"/>
        <v>45137</v>
      </c>
      <c r="AE20">
        <f t="shared" ca="1" si="3"/>
        <v>0</v>
      </c>
      <c r="AG20" s="65">
        <f t="shared" ca="1" si="7"/>
        <v>54.524551928377143</v>
      </c>
      <c r="AH20" s="65">
        <f t="shared" ca="1" si="8"/>
        <v>54.524551928377143</v>
      </c>
      <c r="AI20" s="3">
        <f t="shared" ca="1" si="9"/>
        <v>0</v>
      </c>
    </row>
    <row r="21" spans="1:35" x14ac:dyDescent="0.3">
      <c r="A21" s="8" t="s">
        <v>122</v>
      </c>
      <c r="B21" s="34" t="str">
        <f>PriorEstablishStage</f>
        <v>Seed</v>
      </c>
      <c r="G21" s="3">
        <f t="shared" ca="1" si="4"/>
        <v>168</v>
      </c>
      <c r="H21" s="97">
        <f t="shared" ca="1" si="6"/>
        <v>45093</v>
      </c>
      <c r="I21" s="121">
        <f ca="1">HLOOKUP($H$4,'Met Data'!$A$2:$F$368,G21,FALSE)</f>
        <v>10.125</v>
      </c>
      <c r="J21" s="121">
        <f ca="1">HLOOKUP($H$4,'Met Data'!$H$2:$M$368,G21,FALSE)*L21</f>
        <v>2.68333333333333</v>
      </c>
      <c r="K21" s="98">
        <f ca="1">HLOOKUP($H$4,'Met Data'!$O$2:$T$368,G21,FALSE)</f>
        <v>0.84633721178312304</v>
      </c>
      <c r="L21">
        <f t="shared" ca="1" si="0"/>
        <v>1</v>
      </c>
      <c r="N21" t="b">
        <f t="shared" ca="1" si="5"/>
        <v>1</v>
      </c>
      <c r="O21" t="b">
        <f t="shared" ca="1" si="1"/>
        <v>0</v>
      </c>
      <c r="P21" s="2">
        <f ca="1"/>
        <v>45138</v>
      </c>
      <c r="Q21">
        <f ca="1"/>
        <v>54.878448981522396</v>
      </c>
      <c r="R21">
        <f ca="1"/>
        <v>0</v>
      </c>
      <c r="S21">
        <f ca="1"/>
        <v>0.25100741638901125</v>
      </c>
      <c r="T21" s="4">
        <f ca="1"/>
        <v>0.10288963675624647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1</v>
      </c>
      <c r="Z21">
        <f ca="1"/>
        <v>1.5518108405749729</v>
      </c>
      <c r="AA21">
        <f ca="1"/>
        <v>0</v>
      </c>
      <c r="AB21">
        <f ca="1"/>
        <v>0</v>
      </c>
      <c r="AD21" s="2">
        <f t="shared" ca="1" si="2"/>
        <v>45138</v>
      </c>
      <c r="AE21">
        <f t="shared" ca="1" si="3"/>
        <v>0</v>
      </c>
      <c r="AG21" s="65">
        <f t="shared" ca="1" si="7"/>
        <v>54.878448981522396</v>
      </c>
      <c r="AH21" s="65">
        <f t="shared" ca="1" si="8"/>
        <v>54.878448981522396</v>
      </c>
      <c r="AI21" s="3">
        <f t="shared" ca="1" si="9"/>
        <v>0</v>
      </c>
    </row>
    <row r="22" spans="1:35" x14ac:dyDescent="0.3">
      <c r="A22" s="8" t="s">
        <v>123</v>
      </c>
      <c r="B22" s="36">
        <f ca="1">PriorHarvestDate</f>
        <v>45124</v>
      </c>
      <c r="G22" s="3">
        <f t="shared" ca="1" si="4"/>
        <v>169</v>
      </c>
      <c r="H22" s="97">
        <f t="shared" ca="1" si="6"/>
        <v>45094</v>
      </c>
      <c r="I22" s="121">
        <f ca="1">HLOOKUP($H$4,'Met Data'!$A$2:$F$368,G22,FALSE)</f>
        <v>10.2291666666666</v>
      </c>
      <c r="J22" s="121">
        <f ca="1">HLOOKUP($H$4,'Met Data'!$H$2:$M$368,G22,FALSE)*L22</f>
        <v>2.5333333333333301</v>
      </c>
      <c r="K22" s="98">
        <f ca="1">HLOOKUP($H$4,'Met Data'!$O$2:$T$368,G22,FALSE)</f>
        <v>0.91611783655738799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45139</v>
      </c>
      <c r="Q22">
        <f ca="1"/>
        <v>10</v>
      </c>
      <c r="R22">
        <f ca="1"/>
        <v>0</v>
      </c>
      <c r="S22">
        <f ca="1"/>
        <v>0.26540986335938932</v>
      </c>
      <c r="T22" s="4">
        <f ca="1"/>
        <v>0.12058445013646209</v>
      </c>
      <c r="U22">
        <f ca="1"/>
        <v>0</v>
      </c>
      <c r="V22">
        <f ca="1"/>
        <v>2.91631595309953</v>
      </c>
      <c r="W22">
        <f ca="1"/>
        <v>2.01621843671079</v>
      </c>
      <c r="X22">
        <f ca="1"/>
        <v>0</v>
      </c>
      <c r="Y22">
        <f ca="1"/>
        <v>1</v>
      </c>
      <c r="Z22">
        <f ca="1"/>
        <v>4.3221233068618403</v>
      </c>
      <c r="AA22">
        <f ca="1"/>
        <v>0</v>
      </c>
      <c r="AB22">
        <f ca="1"/>
        <v>5.6933569233555501E-3</v>
      </c>
      <c r="AD22" s="2">
        <f t="shared" ca="1" si="2"/>
        <v>45139</v>
      </c>
      <c r="AE22">
        <f t="shared" ca="1" si="3"/>
        <v>0</v>
      </c>
      <c r="AG22" s="65">
        <f t="shared" ca="1" si="7"/>
        <v>55.264443295018246</v>
      </c>
      <c r="AH22" s="65">
        <f t="shared" ca="1" si="8"/>
        <v>10</v>
      </c>
      <c r="AI22" s="3">
        <f t="shared" ca="1" si="9"/>
        <v>-45.264443295018246</v>
      </c>
    </row>
    <row r="23" spans="1:35" x14ac:dyDescent="0.3">
      <c r="A23" s="8" t="s">
        <v>124</v>
      </c>
      <c r="B23" s="34" t="str">
        <f>PriorHarvestStage</f>
        <v>EarlyReproductive</v>
      </c>
      <c r="G23" s="3">
        <f t="shared" ca="1" si="4"/>
        <v>170</v>
      </c>
      <c r="H23" s="97">
        <f t="shared" ca="1" si="6"/>
        <v>45095</v>
      </c>
      <c r="I23" s="121">
        <f ca="1">HLOOKUP($H$4,'Met Data'!$A$2:$F$368,G23,FALSE)</f>
        <v>10.316666666666601</v>
      </c>
      <c r="J23" s="121">
        <f ca="1">HLOOKUP($H$4,'Met Data'!$H$2:$M$368,G23,FALSE)*L23</f>
        <v>5.5</v>
      </c>
      <c r="K23" s="98">
        <f ca="1">HLOOKUP($H$4,'Met Data'!$O$2:$T$368,G23,FALSE)</f>
        <v>0.749895043982166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45140</v>
      </c>
      <c r="Q23">
        <f ca="1"/>
        <v>10.263589135023643</v>
      </c>
      <c r="R23">
        <f ca="1"/>
        <v>9.8328267136903194E-2</v>
      </c>
      <c r="S23">
        <f ca="1"/>
        <v>0.23828705262231867</v>
      </c>
      <c r="T23" s="4">
        <f ca="1"/>
        <v>0.12363034953822441</v>
      </c>
      <c r="U23">
        <f ca="1"/>
        <v>0</v>
      </c>
      <c r="V23">
        <f ca="1"/>
        <v>3.0146442202364399</v>
      </c>
      <c r="W23">
        <f ca="1"/>
        <v>2.0841984732498799</v>
      </c>
      <c r="X23">
        <f ca="1"/>
        <v>0</v>
      </c>
      <c r="Y23">
        <f ca="1"/>
        <v>1</v>
      </c>
      <c r="Z23">
        <f ca="1"/>
        <v>3.3334024098865456</v>
      </c>
      <c r="AA23">
        <f ca="1"/>
        <v>0</v>
      </c>
      <c r="AB23">
        <f ca="1"/>
        <v>6.0630190792949103E-3</v>
      </c>
      <c r="AD23" s="2">
        <f t="shared" ca="1" si="2"/>
        <v>45140</v>
      </c>
      <c r="AE23">
        <f t="shared" ca="1" si="3"/>
        <v>0</v>
      </c>
      <c r="AG23" s="65">
        <f t="shared" ca="1" si="7"/>
        <v>10.361917402160543</v>
      </c>
      <c r="AH23" s="65">
        <f t="shared" ca="1" si="8"/>
        <v>10.361917402160547</v>
      </c>
      <c r="AI23" s="3">
        <f t="shared" ca="1" si="9"/>
        <v>0</v>
      </c>
    </row>
    <row r="24" spans="1:35" x14ac:dyDescent="0.3">
      <c r="A24" s="8" t="s">
        <v>173</v>
      </c>
      <c r="B24" s="34" t="str">
        <f>PriorResidueRemoval</f>
        <v>None removed</v>
      </c>
      <c r="G24" s="3">
        <f t="shared" ca="1" si="4"/>
        <v>171</v>
      </c>
      <c r="H24" s="97">
        <f t="shared" ca="1" si="6"/>
        <v>45096</v>
      </c>
      <c r="I24" s="121">
        <f ca="1">HLOOKUP($H$4,'Met Data'!$A$2:$F$368,G24,FALSE)</f>
        <v>10.6666666666666</v>
      </c>
      <c r="J24" s="121">
        <f ca="1">HLOOKUP($H$4,'Met Data'!$H$2:$M$368,G24,FALSE)*L24</f>
        <v>11.883333333333301</v>
      </c>
      <c r="K24" s="98">
        <f ca="1">HLOOKUP($H$4,'Met Data'!$O$2:$T$368,G24,FALSE)</f>
        <v>0.72031723210574305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45141</v>
      </c>
      <c r="Q24">
        <f ca="1"/>
        <v>10.483012377639312</v>
      </c>
      <c r="R24">
        <f ca="1"/>
        <v>9.67933415013911E-2</v>
      </c>
      <c r="S24">
        <f ca="1"/>
        <v>0.19834590195878815</v>
      </c>
      <c r="T24" s="4">
        <f ca="1"/>
        <v>0.11787068215826703</v>
      </c>
      <c r="U24">
        <f ca="1"/>
        <v>0</v>
      </c>
      <c r="V24">
        <f ca="1"/>
        <v>3.11143756173783</v>
      </c>
      <c r="W24">
        <f ca="1"/>
        <v>2.1511173266335599</v>
      </c>
      <c r="X24">
        <f ca="1"/>
        <v>0</v>
      </c>
      <c r="Y24">
        <f ca="1"/>
        <v>1</v>
      </c>
      <c r="Z24">
        <f ca="1"/>
        <v>0.69150070233331462</v>
      </c>
      <c r="AA24">
        <f ca="1"/>
        <v>0</v>
      </c>
      <c r="AB24">
        <f ca="1"/>
        <v>6.4376958397586196E-3</v>
      </c>
      <c r="AD24" s="2">
        <f t="shared" ca="1" si="2"/>
        <v>45141</v>
      </c>
      <c r="AE24">
        <f t="shared" ca="1" si="3"/>
        <v>0</v>
      </c>
      <c r="AG24" s="65">
        <f t="shared" ca="1" si="7"/>
        <v>10.579805719140699</v>
      </c>
      <c r="AH24" s="65">
        <f t="shared" ca="1" si="8"/>
        <v>10.579805719140703</v>
      </c>
      <c r="AI24" s="3">
        <f t="shared" ca="1" si="9"/>
        <v>0</v>
      </c>
    </row>
    <row r="25" spans="1:35" ht="15" thickBot="1" x14ac:dyDescent="0.35">
      <c r="A25" s="8" t="s">
        <v>176</v>
      </c>
      <c r="B25" s="103" t="str">
        <f>PriorResidueIncorporation</f>
        <v>Full (Plough)</v>
      </c>
      <c r="G25" s="3">
        <f t="shared" ca="1" si="4"/>
        <v>172</v>
      </c>
      <c r="H25" s="97">
        <f t="shared" ca="1" si="6"/>
        <v>45097</v>
      </c>
      <c r="I25" s="121">
        <f ca="1">HLOOKUP($H$4,'Met Data'!$A$2:$F$368,G25,FALSE)</f>
        <v>10.6181818181818</v>
      </c>
      <c r="J25" s="121">
        <f ca="1">HLOOKUP($H$4,'Met Data'!$H$2:$M$368,G25,FALSE)*L25</f>
        <v>9.0181818181818105</v>
      </c>
      <c r="K25" s="98">
        <f ca="1">HLOOKUP($H$4,'Met Data'!$O$2:$T$368,G25,FALSE)</f>
        <v>0.829345309973199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45142</v>
      </c>
      <c r="Q25">
        <f ca="1"/>
        <v>10.676830676309059</v>
      </c>
      <c r="R25">
        <f ca="1"/>
        <v>0.10063081049608801</v>
      </c>
      <c r="S25">
        <f ca="1"/>
        <v>0.17566208310528764</v>
      </c>
      <c r="T25" s="4">
        <f ca="1"/>
        <v>0.11878702606054771</v>
      </c>
      <c r="U25">
        <f ca="1"/>
        <v>0</v>
      </c>
      <c r="V25">
        <f ca="1"/>
        <v>3.2120683722339098</v>
      </c>
      <c r="W25">
        <f ca="1"/>
        <v>2.2206892450012301</v>
      </c>
      <c r="X25">
        <f ca="1"/>
        <v>0</v>
      </c>
      <c r="Y25">
        <f ca="1"/>
        <v>1</v>
      </c>
      <c r="Z25">
        <f ca="1"/>
        <v>4.9531840514560344</v>
      </c>
      <c r="AA25">
        <f ca="1"/>
        <v>0</v>
      </c>
      <c r="AB25">
        <f ca="1"/>
        <v>6.8385368709400996E-3</v>
      </c>
      <c r="AD25" s="2">
        <f t="shared" ca="1" si="2"/>
        <v>45142</v>
      </c>
      <c r="AE25">
        <f t="shared" ca="1" si="3"/>
        <v>0</v>
      </c>
      <c r="AG25" s="65">
        <f t="shared" ca="1" si="7"/>
        <v>10.777461486805148</v>
      </c>
      <c r="AH25" s="65">
        <f t="shared" ca="1" si="8"/>
        <v>10.777461486805148</v>
      </c>
      <c r="AI25" s="3">
        <f t="shared" ca="1" si="9"/>
        <v>0</v>
      </c>
    </row>
    <row r="26" spans="1:35" ht="15" thickBot="1" x14ac:dyDescent="0.35">
      <c r="A26" s="10" t="s">
        <v>148</v>
      </c>
      <c r="B26" s="13" t="str">
        <f>CurrentCropNameFull</f>
        <v>Onion Vegetable General</v>
      </c>
      <c r="G26" s="3">
        <f t="shared" ca="1" si="4"/>
        <v>173</v>
      </c>
      <c r="H26" s="97">
        <f t="shared" ca="1" si="6"/>
        <v>45098</v>
      </c>
      <c r="I26" s="121">
        <f ca="1">HLOOKUP($H$4,'Met Data'!$A$2:$F$368,G26,FALSE)</f>
        <v>10.0318181818181</v>
      </c>
      <c r="J26" s="121">
        <f ca="1">HLOOKUP($H$4,'Met Data'!$H$2:$M$368,G26,FALSE)*L26</f>
        <v>1.9090909090909001</v>
      </c>
      <c r="K26" s="98">
        <f ca="1">HLOOKUP($H$4,'Met Data'!$O$2:$T$368,G26,FALSE)</f>
        <v>0.90574236110997597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45143</v>
      </c>
      <c r="Q26">
        <f ca="1"/>
        <v>10.839295652219455</v>
      </c>
      <c r="R26">
        <f ca="1"/>
        <v>9.9546914540310297E-2</v>
      </c>
      <c r="S26">
        <f ca="1"/>
        <v>0.14795009574849946</v>
      </c>
      <c r="T26" s="4">
        <f ca="1"/>
        <v>0.11406179470220984</v>
      </c>
      <c r="U26">
        <f ca="1"/>
        <v>0</v>
      </c>
      <c r="V26">
        <f ca="1"/>
        <v>3.3116152867742201</v>
      </c>
      <c r="W26">
        <f ca="1"/>
        <v>2.2895118032019299</v>
      </c>
      <c r="X26">
        <f ca="1"/>
        <v>0</v>
      </c>
      <c r="Y26">
        <f ca="1"/>
        <v>1</v>
      </c>
      <c r="Z26">
        <f ca="1"/>
        <v>1.6401048773059586</v>
      </c>
      <c r="AA26">
        <f ca="1"/>
        <v>0</v>
      </c>
      <c r="AB26">
        <f ca="1"/>
        <v>7.2463696301328798E-3</v>
      </c>
      <c r="AD26" s="2">
        <f t="shared" ca="1" si="2"/>
        <v>45143</v>
      </c>
      <c r="AE26">
        <f t="shared" ca="1" si="3"/>
        <v>0</v>
      </c>
      <c r="AG26" s="65">
        <f t="shared" ca="1" si="7"/>
        <v>10.938842566759767</v>
      </c>
      <c r="AH26" s="65">
        <f t="shared" ca="1" si="8"/>
        <v>10.938842566759766</v>
      </c>
      <c r="AI26" s="3">
        <f t="shared" ca="1" si="9"/>
        <v>0</v>
      </c>
    </row>
    <row r="27" spans="1:35" x14ac:dyDescent="0.3">
      <c r="A27" s="11" t="s">
        <v>125</v>
      </c>
      <c r="B27" s="13">
        <f>CurrentYield_tperHa</f>
        <v>70</v>
      </c>
      <c r="G27" s="3">
        <f t="shared" ca="1" si="4"/>
        <v>174</v>
      </c>
      <c r="H27" s="97">
        <f t="shared" ca="1" si="6"/>
        <v>45099</v>
      </c>
      <c r="I27" s="121">
        <f ca="1">HLOOKUP($H$4,'Met Data'!$A$2:$F$368,G27,FALSE)</f>
        <v>8.9727272727272709</v>
      </c>
      <c r="J27" s="121">
        <f ca="1">HLOOKUP($H$4,'Met Data'!$H$2:$M$368,G27,FALSE)*L27</f>
        <v>1.9636363636363601</v>
      </c>
      <c r="K27" s="98">
        <f ca="1">HLOOKUP($H$4,'Met Data'!$O$2:$T$368,G27,FALSE)</f>
        <v>0.89904843691310898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45144</v>
      </c>
      <c r="Q27">
        <f ca="1"/>
        <v>10.98291966630476</v>
      </c>
      <c r="R27">
        <f ca="1"/>
        <v>0.103717922940677</v>
      </c>
      <c r="S27">
        <f ca="1"/>
        <v>0.13205099675442777</v>
      </c>
      <c r="T27" s="4">
        <f ca="1"/>
        <v>0.11529094027155143</v>
      </c>
      <c r="U27">
        <f ca="1"/>
        <v>0</v>
      </c>
      <c r="V27">
        <f ca="1"/>
        <v>3.4153332097149001</v>
      </c>
      <c r="W27">
        <f ca="1"/>
        <v>2.3612180215312901</v>
      </c>
      <c r="X27">
        <f ca="1"/>
        <v>0</v>
      </c>
      <c r="Y27">
        <f ca="1"/>
        <v>1</v>
      </c>
      <c r="Z27">
        <f ca="1"/>
        <v>3.457349476681884</v>
      </c>
      <c r="AA27">
        <f ca="1"/>
        <v>0</v>
      </c>
      <c r="AB27">
        <f ca="1"/>
        <v>7.68321808210047E-3</v>
      </c>
      <c r="AD27" s="2">
        <f t="shared" ca="1" si="2"/>
        <v>45144</v>
      </c>
      <c r="AE27">
        <f t="shared" ca="1" si="3"/>
        <v>0</v>
      </c>
      <c r="AG27" s="65">
        <f t="shared" ca="1" si="7"/>
        <v>11.086637589245434</v>
      </c>
      <c r="AH27" s="65">
        <f t="shared" ca="1" si="8"/>
        <v>11.086637589245436</v>
      </c>
      <c r="AI27" s="3">
        <f t="shared" ca="1" si="9"/>
        <v>0</v>
      </c>
    </row>
    <row r="28" spans="1:35" x14ac:dyDescent="0.3">
      <c r="A28" s="11" t="s">
        <v>126</v>
      </c>
      <c r="B28" s="12">
        <f>CurrentFieldLoss</f>
        <v>0</v>
      </c>
      <c r="G28" s="3">
        <f t="shared" ca="1" si="4"/>
        <v>175</v>
      </c>
      <c r="H28" s="97">
        <f t="shared" ca="1" si="6"/>
        <v>45100</v>
      </c>
      <c r="I28" s="121">
        <f ca="1">HLOOKUP($H$4,'Met Data'!$A$2:$F$368,G28,FALSE)</f>
        <v>9.0227272727272698</v>
      </c>
      <c r="J28" s="121">
        <f ca="1">HLOOKUP($H$4,'Met Data'!$H$2:$M$368,G28,FALSE)*L28</f>
        <v>3.0181818181818101</v>
      </c>
      <c r="K28" s="98">
        <f ca="1">HLOOKUP($H$4,'Met Data'!$O$2:$T$368,G28,FALSE)</f>
        <v>0.82913615112138495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45145</v>
      </c>
      <c r="Q28">
        <f ca="1"/>
        <v>11.109038955065991</v>
      </c>
      <c r="R28">
        <f ca="1"/>
        <v>0.10808194511715601</v>
      </c>
      <c r="S28">
        <f ca="1"/>
        <v>0.11767273452584955</v>
      </c>
      <c r="T28" s="4">
        <f ca="1"/>
        <v>0.11652849935253823</v>
      </c>
      <c r="U28">
        <f ca="1"/>
        <v>0</v>
      </c>
      <c r="V28">
        <f ca="1"/>
        <v>3.52341515483206</v>
      </c>
      <c r="W28">
        <f ca="1"/>
        <v>2.4359413416122901</v>
      </c>
      <c r="X28">
        <f ca="1"/>
        <v>0</v>
      </c>
      <c r="Y28">
        <f ca="1"/>
        <v>1</v>
      </c>
      <c r="Z28">
        <f ca="1"/>
        <v>1.0970515352017429</v>
      </c>
      <c r="AA28">
        <f ca="1"/>
        <v>0</v>
      </c>
      <c r="AB28">
        <f ca="1"/>
        <v>8.1513576783887008E-3</v>
      </c>
      <c r="AD28" s="2">
        <f t="shared" ca="1" si="2"/>
        <v>45145</v>
      </c>
      <c r="AE28">
        <f t="shared" ca="1" si="3"/>
        <v>0</v>
      </c>
      <c r="AG28" s="65">
        <f t="shared" ca="1" si="7"/>
        <v>11.217120900183147</v>
      </c>
      <c r="AH28" s="65">
        <f t="shared" ca="1" si="8"/>
        <v>11.217120900183147</v>
      </c>
      <c r="AI28" s="3">
        <f t="shared" ca="1" si="9"/>
        <v>0</v>
      </c>
    </row>
    <row r="29" spans="1:35" x14ac:dyDescent="0.3">
      <c r="A29" s="11" t="s">
        <v>127</v>
      </c>
      <c r="B29" s="12">
        <f>CurrentDressingLoss</f>
        <v>0</v>
      </c>
      <c r="G29" s="3">
        <f t="shared" ca="1" si="4"/>
        <v>176</v>
      </c>
      <c r="H29" s="97">
        <f t="shared" ca="1" si="6"/>
        <v>45101</v>
      </c>
      <c r="I29" s="121">
        <f ca="1">HLOOKUP($H$4,'Met Data'!$A$2:$F$368,G29,FALSE)</f>
        <v>10.3590909090909</v>
      </c>
      <c r="J29" s="121">
        <f ca="1">HLOOKUP($H$4,'Met Data'!$H$2:$M$368,G29,FALSE)*L29</f>
        <v>3.7454545454545398</v>
      </c>
      <c r="K29" s="98">
        <f ca="1">HLOOKUP($H$4,'Met Data'!$O$2:$T$368,G29,FALSE)</f>
        <v>0.88746237543267503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45146</v>
      </c>
      <c r="Q29">
        <f ca="1"/>
        <v>11.212294084588137</v>
      </c>
      <c r="R29">
        <f ca="1"/>
        <v>0.10547968414857101</v>
      </c>
      <c r="S29">
        <f ca="1"/>
        <v>9.8125445019706437E-2</v>
      </c>
      <c r="T29" s="4">
        <f ca="1"/>
        <v>0.11060936865101084</v>
      </c>
      <c r="U29">
        <f ca="1"/>
        <v>0</v>
      </c>
      <c r="V29">
        <f ca="1"/>
        <v>3.6288948389806301</v>
      </c>
      <c r="W29">
        <f ca="1"/>
        <v>2.50886556769031</v>
      </c>
      <c r="X29">
        <f ca="1"/>
        <v>0</v>
      </c>
      <c r="Y29">
        <f ca="1"/>
        <v>1</v>
      </c>
      <c r="Z29">
        <f ca="1"/>
        <v>2.5087648280373287</v>
      </c>
      <c r="AA29">
        <f ca="1"/>
        <v>0</v>
      </c>
      <c r="AB29">
        <f ca="1"/>
        <v>8.6208896757455893E-3</v>
      </c>
      <c r="AD29" s="2">
        <f t="shared" ca="1" si="2"/>
        <v>45146</v>
      </c>
      <c r="AE29">
        <f t="shared" ca="1" si="3"/>
        <v>0</v>
      </c>
      <c r="AG29" s="65">
        <f t="shared" ca="1" si="7"/>
        <v>11.317773768736707</v>
      </c>
      <c r="AH29" s="65">
        <f t="shared" ca="1" si="8"/>
        <v>11.317773768736709</v>
      </c>
      <c r="AI29" s="3">
        <f t="shared" ca="1" si="9"/>
        <v>0</v>
      </c>
    </row>
    <row r="30" spans="1:35" x14ac:dyDescent="0.3">
      <c r="A30" s="11" t="s">
        <v>128</v>
      </c>
      <c r="B30" s="12">
        <f>CurrentMoistureContent</f>
        <v>89</v>
      </c>
      <c r="G30" s="3">
        <f t="shared" ca="1" si="4"/>
        <v>177</v>
      </c>
      <c r="H30" s="97">
        <f t="shared" ca="1" si="6"/>
        <v>45102</v>
      </c>
      <c r="I30" s="121">
        <f ca="1">HLOOKUP($H$4,'Met Data'!$A$2:$F$368,G30,FALSE)</f>
        <v>9.5090909090909097</v>
      </c>
      <c r="J30" s="121">
        <f ca="1">HLOOKUP($H$4,'Met Data'!$H$2:$M$368,G30,FALSE)*L30</f>
        <v>3.1090909090909</v>
      </c>
      <c r="K30" s="98">
        <f ca="1">HLOOKUP($H$4,'Met Data'!$O$2:$T$368,G30,FALSE)</f>
        <v>0.97866599470650895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45147</v>
      </c>
      <c r="Q30">
        <f ca="1"/>
        <v>11.292755813483559</v>
      </c>
      <c r="R30">
        <f ca="1"/>
        <v>9.6552920820063295E-2</v>
      </c>
      <c r="S30">
        <f ca="1"/>
        <v>7.7484463845180512E-2</v>
      </c>
      <c r="T30" s="4">
        <f ca="1"/>
        <v>9.9530185870304808E-2</v>
      </c>
      <c r="U30">
        <f ca="1"/>
        <v>0</v>
      </c>
      <c r="V30">
        <f ca="1"/>
        <v>3.7254477598006899</v>
      </c>
      <c r="W30">
        <f ca="1"/>
        <v>2.5756182043066498</v>
      </c>
      <c r="X30">
        <f ca="1"/>
        <v>0</v>
      </c>
      <c r="Y30">
        <f ca="1"/>
        <v>1</v>
      </c>
      <c r="Z30">
        <f ca="1"/>
        <v>2.075974573356973</v>
      </c>
      <c r="AA30">
        <f ca="1"/>
        <v>0</v>
      </c>
      <c r="AB30">
        <f ca="1"/>
        <v>9.0616171155840104E-3</v>
      </c>
      <c r="AD30" s="2">
        <f t="shared" ca="1" si="2"/>
        <v>45147</v>
      </c>
      <c r="AE30">
        <f t="shared" ca="1" si="3"/>
        <v>0</v>
      </c>
      <c r="AG30" s="65">
        <f t="shared" ca="1" si="7"/>
        <v>11.389308734303624</v>
      </c>
      <c r="AH30" s="65">
        <f t="shared" ca="1" si="8"/>
        <v>11.389308734303622</v>
      </c>
      <c r="AI30" s="3">
        <f t="shared" ca="1" si="9"/>
        <v>0</v>
      </c>
    </row>
    <row r="31" spans="1:35" x14ac:dyDescent="0.3">
      <c r="A31" s="11" t="s">
        <v>129</v>
      </c>
      <c r="B31" s="38">
        <f ca="1">CurrentEstablishDate</f>
        <v>45139</v>
      </c>
      <c r="G31" s="3">
        <f t="shared" ca="1" si="4"/>
        <v>178</v>
      </c>
      <c r="H31" s="97">
        <f t="shared" ca="1" si="6"/>
        <v>45103</v>
      </c>
      <c r="I31" s="121">
        <f ca="1">HLOOKUP($H$4,'Met Data'!$A$2:$F$368,G31,FALSE)</f>
        <v>9.1272727272727199</v>
      </c>
      <c r="J31" s="121">
        <f ca="1">HLOOKUP($H$4,'Met Data'!$H$2:$M$368,G31,FALSE)*L31</f>
        <v>1.25454545454545</v>
      </c>
      <c r="K31" s="98">
        <f ca="1">HLOOKUP($H$4,'Met Data'!$O$2:$T$368,G31,FALSE)</f>
        <v>1.0040569739087299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45148</v>
      </c>
      <c r="Q31">
        <f ca="1"/>
        <v>11.359041555815821</v>
      </c>
      <c r="R31">
        <f ca="1"/>
        <v>9.2071142977425705E-2</v>
      </c>
      <c r="S31">
        <f ca="1"/>
        <v>6.479262740280109E-2</v>
      </c>
      <c r="T31" s="4">
        <f ca="1"/>
        <v>9.356425790688537E-2</v>
      </c>
      <c r="U31">
        <f ca="1"/>
        <v>0</v>
      </c>
      <c r="V31">
        <f ca="1"/>
        <v>3.81751890277812</v>
      </c>
      <c r="W31">
        <f ca="1"/>
        <v>2.6392723278466002</v>
      </c>
      <c r="X31">
        <f ca="1"/>
        <v>0</v>
      </c>
      <c r="Y31">
        <f ca="1"/>
        <v>1</v>
      </c>
      <c r="Z31">
        <f ca="1"/>
        <v>9.5105913910245476E-2</v>
      </c>
      <c r="AA31">
        <f ca="1"/>
        <v>0</v>
      </c>
      <c r="AB31">
        <f ca="1"/>
        <v>9.4915909806232504E-3</v>
      </c>
      <c r="AD31" s="2">
        <f t="shared" ca="1" si="2"/>
        <v>45148</v>
      </c>
      <c r="AE31">
        <f t="shared" ca="1" si="3"/>
        <v>0</v>
      </c>
      <c r="AG31" s="65">
        <f t="shared" ca="1" si="7"/>
        <v>11.451112698793246</v>
      </c>
      <c r="AH31" s="65">
        <f t="shared" ca="1" si="8"/>
        <v>11.451112698793247</v>
      </c>
      <c r="AI31" s="3">
        <f t="shared" ca="1" si="9"/>
        <v>0</v>
      </c>
    </row>
    <row r="32" spans="1:35" x14ac:dyDescent="0.3">
      <c r="A32" s="11" t="s">
        <v>130</v>
      </c>
      <c r="B32" s="12" t="str">
        <f>CurrentEstablishStage</f>
        <v>Seed</v>
      </c>
      <c r="G32" s="3">
        <f t="shared" ca="1" si="4"/>
        <v>179</v>
      </c>
      <c r="H32" s="97">
        <f t="shared" ca="1" si="6"/>
        <v>45104</v>
      </c>
      <c r="I32" s="121">
        <f ca="1">HLOOKUP($H$4,'Met Data'!$A$2:$F$368,G32,FALSE)</f>
        <v>8.7727272727272698</v>
      </c>
      <c r="J32" s="121">
        <f ca="1">HLOOKUP($H$4,'Met Data'!$H$2:$M$368,G32,FALSE)*L32</f>
        <v>2.9818181818181801</v>
      </c>
      <c r="K32" s="98">
        <f ca="1">HLOOKUP($H$4,'Met Data'!$O$2:$T$368,G32,FALSE)</f>
        <v>0.89055521132494797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45149</v>
      </c>
      <c r="Q32">
        <f ca="1"/>
        <v>11.422314904410335</v>
      </c>
      <c r="R32">
        <f ca="1"/>
        <v>0.105864357403525</v>
      </c>
      <c r="S32">
        <f ca="1"/>
        <v>6.5806483983239517E-2</v>
      </c>
      <c r="T32" s="4">
        <f ca="1"/>
        <v>0.10333122201480097</v>
      </c>
      <c r="U32">
        <f ca="1"/>
        <v>0</v>
      </c>
      <c r="V32">
        <f ca="1"/>
        <v>3.9233832601816401</v>
      </c>
      <c r="W32">
        <f ca="1"/>
        <v>2.7124625008663199</v>
      </c>
      <c r="X32">
        <f ca="1"/>
        <v>0</v>
      </c>
      <c r="Y32">
        <f ca="1"/>
        <v>1</v>
      </c>
      <c r="Z32">
        <f ca="1"/>
        <v>3.4299187004357634</v>
      </c>
      <c r="AA32">
        <f ca="1"/>
        <v>0</v>
      </c>
      <c r="AB32">
        <f ca="1"/>
        <v>9.9976535024700504E-3</v>
      </c>
      <c r="AD32" s="2">
        <f t="shared" ca="1" si="2"/>
        <v>45149</v>
      </c>
      <c r="AE32">
        <f t="shared" ca="1" si="3"/>
        <v>0</v>
      </c>
      <c r="AG32" s="65">
        <f t="shared" ca="1" si="7"/>
        <v>11.528179261813861</v>
      </c>
      <c r="AH32" s="65">
        <f t="shared" ca="1" si="8"/>
        <v>11.528179261813861</v>
      </c>
      <c r="AI32" s="3">
        <f t="shared" ca="1" si="9"/>
        <v>0</v>
      </c>
    </row>
    <row r="33" spans="1:35" x14ac:dyDescent="0.3">
      <c r="A33" s="11" t="s">
        <v>131</v>
      </c>
      <c r="B33" s="38">
        <f>CurrentHarvestDate</f>
        <v>45337</v>
      </c>
      <c r="G33" s="3">
        <f t="shared" ca="1" si="4"/>
        <v>180</v>
      </c>
      <c r="H33" s="97">
        <f t="shared" ca="1" si="6"/>
        <v>45105</v>
      </c>
      <c r="I33" s="121">
        <f ca="1">HLOOKUP($H$4,'Met Data'!$A$2:$F$368,G33,FALSE)</f>
        <v>8.8363636363636306</v>
      </c>
      <c r="J33" s="121">
        <f ca="1">HLOOKUP($H$4,'Met Data'!$H$2:$M$368,G33,FALSE)*L33</f>
        <v>0.90909090909090895</v>
      </c>
      <c r="K33" s="98">
        <f ca="1">HLOOKUP($H$4,'Met Data'!$O$2:$T$368,G33,FALSE)</f>
        <v>0.949335994975394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45150</v>
      </c>
      <c r="Q33">
        <f ca="1"/>
        <v>11.477814119042833</v>
      </c>
      <c r="R33">
        <f ca="1"/>
        <v>0.113895447229285</v>
      </c>
      <c r="S33">
        <f ca="1"/>
        <v>6.1625760630295796E-2</v>
      </c>
      <c r="T33" s="4">
        <f ca="1"/>
        <v>0.10776890123148622</v>
      </c>
      <c r="U33">
        <f ca="1"/>
        <v>0</v>
      </c>
      <c r="V33">
        <f ca="1"/>
        <v>4.0372787074109304</v>
      </c>
      <c r="W33">
        <f ca="1"/>
        <v>2.7912050322841</v>
      </c>
      <c r="X33">
        <f ca="1"/>
        <v>0</v>
      </c>
      <c r="Y33">
        <f ca="1"/>
        <v>1</v>
      </c>
      <c r="Z33">
        <f ca="1"/>
        <v>3.7499885056706574</v>
      </c>
      <c r="AA33">
        <f ca="1"/>
        <v>0</v>
      </c>
      <c r="AB33">
        <f ca="1"/>
        <v>1.05560079806046E-2</v>
      </c>
      <c r="AD33" s="2">
        <f t="shared" ca="1" si="2"/>
        <v>45150</v>
      </c>
      <c r="AE33">
        <f t="shared" ca="1" si="3"/>
        <v>0</v>
      </c>
      <c r="AG33" s="65">
        <f t="shared" ca="1" si="7"/>
        <v>11.591709566272117</v>
      </c>
      <c r="AH33" s="65">
        <f t="shared" ca="1" si="8"/>
        <v>11.591709566272117</v>
      </c>
      <c r="AI33" s="3">
        <f t="shared" ca="1" si="9"/>
        <v>0</v>
      </c>
    </row>
    <row r="34" spans="1:35" x14ac:dyDescent="0.3">
      <c r="A34" s="11" t="s">
        <v>132</v>
      </c>
      <c r="B34" s="12" t="str">
        <f>CurrentHarvestStage</f>
        <v>Maturity</v>
      </c>
      <c r="G34" s="3">
        <f t="shared" ca="1" si="4"/>
        <v>181</v>
      </c>
      <c r="H34" s="97">
        <f t="shared" ca="1" si="6"/>
        <v>45106</v>
      </c>
      <c r="I34" s="121">
        <f ca="1">HLOOKUP($H$4,'Met Data'!$A$2:$F$368,G34,FALSE)</f>
        <v>8.7136363636363594</v>
      </c>
      <c r="J34" s="121">
        <f ca="1">HLOOKUP($H$4,'Met Data'!$H$2:$M$368,G34,FALSE)*L34</f>
        <v>1.7833333333333301</v>
      </c>
      <c r="K34" s="98">
        <f ca="1">HLOOKUP($H$4,'Met Data'!$O$2:$T$368,G34,FALSE)</f>
        <v>0.92539172734817898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45151</v>
      </c>
      <c r="Q34">
        <f ca="1"/>
        <v>11.524473081754465</v>
      </c>
      <c r="R34">
        <f ca="1"/>
        <v>0.120876708707417</v>
      </c>
      <c r="S34">
        <f ca="1"/>
        <v>5.6556336009606578E-2</v>
      </c>
      <c r="T34" s="4">
        <f ca="1"/>
        <v>0.11097933540943722</v>
      </c>
      <c r="U34">
        <f ca="1"/>
        <v>0</v>
      </c>
      <c r="V34">
        <f ca="1"/>
        <v>4.1581554161183396</v>
      </c>
      <c r="W34">
        <f ca="1"/>
        <v>2.8747741148472499</v>
      </c>
      <c r="X34">
        <f ca="1"/>
        <v>0</v>
      </c>
      <c r="Y34">
        <f ca="1"/>
        <v>1</v>
      </c>
      <c r="Z34">
        <f ca="1"/>
        <v>1.912490986225265</v>
      </c>
      <c r="AA34">
        <f ca="1"/>
        <v>0</v>
      </c>
      <c r="AB34">
        <f ca="1"/>
        <v>1.1164293985691401E-2</v>
      </c>
      <c r="AD34" s="2">
        <f t="shared" ca="1" si="2"/>
        <v>45151</v>
      </c>
      <c r="AE34">
        <f t="shared" ca="1" si="3"/>
        <v>0</v>
      </c>
      <c r="AG34" s="65">
        <f t="shared" ca="1" si="7"/>
        <v>11.645349790461877</v>
      </c>
      <c r="AH34" s="65">
        <f t="shared" ca="1" si="8"/>
        <v>11.645349790461882</v>
      </c>
      <c r="AI34" s="3">
        <f t="shared" ca="1" si="9"/>
        <v>0</v>
      </c>
    </row>
    <row r="35" spans="1:35" x14ac:dyDescent="0.3">
      <c r="A35" s="11" t="s">
        <v>174</v>
      </c>
      <c r="B35" s="12" t="str">
        <f>CurrentResidueRemoval</f>
        <v>None removed</v>
      </c>
      <c r="G35" s="3">
        <f t="shared" ca="1" si="4"/>
        <v>182</v>
      </c>
      <c r="H35" s="97">
        <f t="shared" ca="1" si="6"/>
        <v>45107</v>
      </c>
      <c r="I35" s="121">
        <f ca="1">HLOOKUP($H$4,'Met Data'!$A$2:$F$368,G35,FALSE)</f>
        <v>8.5291666666666597</v>
      </c>
      <c r="J35" s="121">
        <f ca="1">HLOOKUP($H$4,'Met Data'!$H$2:$M$368,G35,FALSE)*L35</f>
        <v>2.5833333333333299</v>
      </c>
      <c r="K35" s="98">
        <f ca="1">HLOOKUP($H$4,'Met Data'!$O$2:$T$368,G35,FALSE)</f>
        <v>0.82623977006466498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45152</v>
      </c>
      <c r="Q35">
        <f ca="1"/>
        <v>11.562074972326016</v>
      </c>
      <c r="R35">
        <f ca="1"/>
        <v>0.12816111346960099</v>
      </c>
      <c r="S35">
        <f ca="1"/>
        <v>5.1606958030065375E-2</v>
      </c>
      <c r="T35" s="4">
        <f ca="1"/>
        <v>0.11415604601108707</v>
      </c>
      <c r="U35">
        <f ca="1"/>
        <v>0</v>
      </c>
      <c r="V35">
        <f ca="1"/>
        <v>4.28631652958794</v>
      </c>
      <c r="W35">
        <f ca="1"/>
        <v>2.9633793290978399</v>
      </c>
      <c r="X35">
        <f ca="1"/>
        <v>0</v>
      </c>
      <c r="Y35">
        <f ca="1"/>
        <v>1</v>
      </c>
      <c r="Z35">
        <f ca="1"/>
        <v>5.5642705258588023</v>
      </c>
      <c r="AA35">
        <f ca="1"/>
        <v>0</v>
      </c>
      <c r="AB35">
        <f ca="1"/>
        <v>1.1826838028297501E-2</v>
      </c>
      <c r="AD35" s="2">
        <f t="shared" ca="1" si="2"/>
        <v>45152</v>
      </c>
      <c r="AE35">
        <f t="shared" ca="1" si="3"/>
        <v>0</v>
      </c>
      <c r="AG35" s="65">
        <f t="shared" ca="1" si="7"/>
        <v>11.690236085795618</v>
      </c>
      <c r="AH35" s="65">
        <f t="shared" ca="1" si="8"/>
        <v>11.690236085795616</v>
      </c>
      <c r="AI35" s="3">
        <f t="shared" ca="1" si="9"/>
        <v>0</v>
      </c>
    </row>
    <row r="36" spans="1:35" ht="15" thickBot="1" x14ac:dyDescent="0.35">
      <c r="A36" s="11" t="s">
        <v>177</v>
      </c>
      <c r="B36" s="12" t="str">
        <f>CurrentResidueIncorporation</f>
        <v>Full (Plough)</v>
      </c>
      <c r="G36" s="3">
        <f t="shared" ca="1" si="4"/>
        <v>183</v>
      </c>
      <c r="H36" s="97">
        <f t="shared" ca="1" si="6"/>
        <v>45108</v>
      </c>
      <c r="I36" s="121">
        <f ca="1">HLOOKUP($H$4,'Met Data'!$A$2:$F$368,G36,FALSE)</f>
        <v>8.8208333333333293</v>
      </c>
      <c r="J36" s="121">
        <f ca="1">HLOOKUP($H$4,'Met Data'!$H$2:$M$368,G36,FALSE)*L36</f>
        <v>2.1333333333333302</v>
      </c>
      <c r="K36" s="98">
        <f ca="1">HLOOKUP($H$4,'Met Data'!$O$2:$T$368,G36,FALSE)</f>
        <v>0.80690048817841498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45153</v>
      </c>
      <c r="Q36">
        <f ca="1"/>
        <v>11.589047351377957</v>
      </c>
      <c r="R36">
        <f ca="1"/>
        <v>0.12731944831928299</v>
      </c>
      <c r="S36">
        <f ca="1"/>
        <v>4.3959414831428373E-2</v>
      </c>
      <c r="T36">
        <f ca="1"/>
        <v>0.11033241253979607</v>
      </c>
      <c r="U36">
        <f ca="1"/>
        <v>0</v>
      </c>
      <c r="V36">
        <f ca="1"/>
        <v>4.4136359779072301</v>
      </c>
      <c r="W36">
        <f ca="1"/>
        <v>3.05140265139265</v>
      </c>
      <c r="X36">
        <f ca="1"/>
        <v>0</v>
      </c>
      <c r="Y36">
        <f ca="1"/>
        <v>1</v>
      </c>
      <c r="Z36">
        <f ca="1"/>
        <v>2.0422947834481704</v>
      </c>
      <c r="AA36">
        <f ca="1"/>
        <v>0</v>
      </c>
      <c r="AB36">
        <f ca="1"/>
        <v>1.25029000965565E-2</v>
      </c>
      <c r="AD36" s="2">
        <f t="shared" ca="1" si="2"/>
        <v>45153</v>
      </c>
      <c r="AE36">
        <f t="shared" ca="1" si="3"/>
        <v>0</v>
      </c>
      <c r="AG36" s="65">
        <f t="shared" ca="1" si="7"/>
        <v>11.716366799697241</v>
      </c>
      <c r="AH36" s="65">
        <f t="shared" ca="1" si="8"/>
        <v>11.716366799697241</v>
      </c>
      <c r="AI36" s="3">
        <f t="shared" ca="1" si="9"/>
        <v>0</v>
      </c>
    </row>
    <row r="37" spans="1:35" x14ac:dyDescent="0.3">
      <c r="A37" s="7" t="s">
        <v>149</v>
      </c>
      <c r="B37" s="33" t="str">
        <f>FollowingCropFullName</f>
        <v>Oat Fodder General</v>
      </c>
      <c r="G37" s="3">
        <f t="shared" ca="1" si="4"/>
        <v>184</v>
      </c>
      <c r="H37" s="97">
        <f t="shared" ca="1" si="6"/>
        <v>45109</v>
      </c>
      <c r="I37" s="121">
        <f ca="1">HLOOKUP($H$4,'Met Data'!$A$2:$F$368,G37,FALSE)</f>
        <v>8.2249999999999996</v>
      </c>
      <c r="J37" s="121">
        <f ca="1">HLOOKUP($H$4,'Met Data'!$H$2:$M$368,G37,FALSE)*L37</f>
        <v>0.83333333333333304</v>
      </c>
      <c r="K37" s="98">
        <f ca="1">HLOOKUP($H$4,'Met Data'!$O$2:$T$368,G37,FALSE)</f>
        <v>1.0149186441071101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45154</v>
      </c>
      <c r="Q37">
        <f ca="1"/>
        <v>11.607689726047596</v>
      </c>
      <c r="R37">
        <f ca="1"/>
        <v>0.13468554063375801</v>
      </c>
      <c r="S37">
        <f ca="1"/>
        <v>4.0065251145659363E-2</v>
      </c>
      <c r="T37">
        <f ca="1"/>
        <v>0.11326266415773431</v>
      </c>
      <c r="U37">
        <f ca="1"/>
        <v>0</v>
      </c>
      <c r="V37">
        <f ca="1"/>
        <v>4.5483215185409902</v>
      </c>
      <c r="W37">
        <f ca="1"/>
        <v>3.1445185807196898</v>
      </c>
      <c r="X37">
        <f ca="1"/>
        <v>0</v>
      </c>
      <c r="Y37">
        <f ca="1"/>
        <v>1</v>
      </c>
      <c r="Z37">
        <f ca="1"/>
        <v>0.29841623162467101</v>
      </c>
      <c r="AA37">
        <f ca="1"/>
        <v>0</v>
      </c>
      <c r="AB37">
        <f ca="1"/>
        <v>1.32373841816056E-2</v>
      </c>
      <c r="AD37" s="2">
        <f t="shared" ca="1" si="2"/>
        <v>45154</v>
      </c>
      <c r="AE37">
        <f t="shared" ca="1" si="3"/>
        <v>0</v>
      </c>
      <c r="AG37" s="65">
        <f t="shared" ca="1" si="7"/>
        <v>11.74237526668135</v>
      </c>
      <c r="AH37" s="65">
        <f t="shared" ca="1" si="8"/>
        <v>11.742375266681353</v>
      </c>
      <c r="AI37" s="3">
        <f t="shared" ca="1" si="9"/>
        <v>0</v>
      </c>
    </row>
    <row r="38" spans="1:35" x14ac:dyDescent="0.3">
      <c r="A38" s="8" t="s">
        <v>133</v>
      </c>
      <c r="B38" s="34">
        <f>FollowingYield_tperHa</f>
        <v>10</v>
      </c>
      <c r="G38" s="3">
        <f t="shared" ca="1" si="4"/>
        <v>185</v>
      </c>
      <c r="H38" s="97">
        <f t="shared" ca="1" si="6"/>
        <v>45110</v>
      </c>
      <c r="I38" s="121">
        <f ca="1">HLOOKUP($H$4,'Met Data'!$A$2:$F$368,G38,FALSE)</f>
        <v>8.8333333333333304</v>
      </c>
      <c r="J38" s="121">
        <f ca="1">HLOOKUP($H$4,'Met Data'!$H$2:$M$368,G38,FALSE)*L38</f>
        <v>3.5666666666666602</v>
      </c>
      <c r="K38" s="98">
        <f ca="1">HLOOKUP($H$4,'Met Data'!$O$2:$T$368,G38,FALSE)</f>
        <v>0.89125379504041602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45155</v>
      </c>
      <c r="Q38">
        <f ca="1"/>
        <v>11.617653628984307</v>
      </c>
      <c r="R38">
        <f ca="1"/>
        <v>0.13746071611284799</v>
      </c>
      <c r="S38">
        <f ca="1"/>
        <v>3.5097517974913651E-2</v>
      </c>
      <c r="T38">
        <f ca="1"/>
        <v>0.11232710107465044</v>
      </c>
      <c r="U38">
        <f ca="1"/>
        <v>0</v>
      </c>
      <c r="V38">
        <f ca="1"/>
        <v>4.6857822346538303</v>
      </c>
      <c r="W38">
        <f ca="1"/>
        <v>3.2395531498841299</v>
      </c>
      <c r="X38">
        <f ca="1"/>
        <v>0</v>
      </c>
      <c r="Y38">
        <f ca="1"/>
        <v>1</v>
      </c>
      <c r="Z38">
        <f ca="1"/>
        <v>5.2286154223918544</v>
      </c>
      <c r="AA38">
        <f ca="1"/>
        <v>0</v>
      </c>
      <c r="AB38">
        <f ca="1"/>
        <v>1.40073866273982E-2</v>
      </c>
      <c r="AD38" s="2">
        <f t="shared" ca="1" si="2"/>
        <v>45155</v>
      </c>
      <c r="AE38">
        <f t="shared" ca="1" si="3"/>
        <v>0</v>
      </c>
      <c r="AG38" s="65">
        <f t="shared" ca="1" si="7"/>
        <v>11.755114345097159</v>
      </c>
      <c r="AH38" s="65">
        <f t="shared" ca="1" si="8"/>
        <v>11.755114345097155</v>
      </c>
      <c r="AI38" s="3">
        <f t="shared" ca="1" si="9"/>
        <v>0</v>
      </c>
    </row>
    <row r="39" spans="1:35" x14ac:dyDescent="0.3">
      <c r="A39" s="8" t="s">
        <v>134</v>
      </c>
      <c r="B39" s="34">
        <f>FollowingFieldLoss</f>
        <v>0</v>
      </c>
      <c r="G39" s="3">
        <f t="shared" ca="1" si="4"/>
        <v>186</v>
      </c>
      <c r="H39" s="97">
        <f t="shared" ca="1" si="6"/>
        <v>45111</v>
      </c>
      <c r="I39" s="121">
        <f ca="1">HLOOKUP($H$4,'Met Data'!$A$2:$F$368,G39,FALSE)</f>
        <v>8.6</v>
      </c>
      <c r="J39" s="121">
        <f ca="1">HLOOKUP($H$4,'Met Data'!$H$2:$M$368,G39,FALSE)*L39</f>
        <v>0.73333333333333295</v>
      </c>
      <c r="K39" s="98">
        <f ca="1">HLOOKUP($H$4,'Met Data'!$O$2:$T$368,G39,FALSE)</f>
        <v>0.87224086772784204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45156</v>
      </c>
      <c r="Q39">
        <f ca="1"/>
        <v>11.620140169243449</v>
      </c>
      <c r="R39">
        <f ca="1"/>
        <v>0.129805771504753</v>
      </c>
      <c r="S39">
        <f ca="1"/>
        <v>2.8518284458098057E-2</v>
      </c>
      <c r="T39">
        <f ca="1"/>
        <v>0.10377402730579655</v>
      </c>
      <c r="U39">
        <f ca="1"/>
        <v>0</v>
      </c>
      <c r="V39">
        <f ca="1"/>
        <v>4.8155880061585901</v>
      </c>
      <c r="W39">
        <f ca="1"/>
        <v>3.3292954116651998</v>
      </c>
      <c r="X39">
        <f ca="1"/>
        <v>0</v>
      </c>
      <c r="Y39">
        <f ca="1"/>
        <v>1</v>
      </c>
      <c r="Z39">
        <f ca="1"/>
        <v>1.912020014819575</v>
      </c>
      <c r="AA39">
        <f ca="1"/>
        <v>0</v>
      </c>
      <c r="AB39">
        <f ca="1"/>
        <v>1.47533336659126E-2</v>
      </c>
      <c r="AD39" s="2">
        <f t="shared" ca="1" si="2"/>
        <v>45156</v>
      </c>
      <c r="AE39">
        <f t="shared" ca="1" si="3"/>
        <v>0</v>
      </c>
      <c r="AG39" s="65">
        <f t="shared" ca="1" si="7"/>
        <v>11.749945940748201</v>
      </c>
      <c r="AH39" s="65">
        <f t="shared" ca="1" si="8"/>
        <v>11.749945940748201</v>
      </c>
      <c r="AI39" s="3">
        <f t="shared" ca="1" si="9"/>
        <v>0</v>
      </c>
    </row>
    <row r="40" spans="1:35" x14ac:dyDescent="0.3">
      <c r="A40" s="8" t="s">
        <v>135</v>
      </c>
      <c r="B40" s="34">
        <f>FollowingDressingLoss</f>
        <v>0</v>
      </c>
      <c r="G40" s="3">
        <f t="shared" ca="1" si="4"/>
        <v>187</v>
      </c>
      <c r="H40" s="97">
        <f t="shared" ca="1" si="6"/>
        <v>45112</v>
      </c>
      <c r="I40" s="121">
        <f ca="1">HLOOKUP($H$4,'Met Data'!$A$2:$F$368,G40,FALSE)</f>
        <v>9.4</v>
      </c>
      <c r="J40" s="121">
        <f ca="1">HLOOKUP($H$4,'Met Data'!$H$2:$M$368,G40,FALSE)*L40</f>
        <v>9.9999999999999895E-2</v>
      </c>
      <c r="K40" s="98">
        <f ca="1">HLOOKUP($H$4,'Met Data'!$O$2:$T$368,G40,FALSE)</f>
        <v>0.96939333533810901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45157</v>
      </c>
      <c r="Q40">
        <f ca="1"/>
        <v>11.615119761826364</v>
      </c>
      <c r="R40">
        <f ca="1"/>
        <v>0.143232331553834</v>
      </c>
      <c r="S40">
        <f ca="1"/>
        <v>2.7371418958211449E-2</v>
      </c>
      <c r="T40">
        <f ca="1"/>
        <v>0.11084050517853629</v>
      </c>
      <c r="U40">
        <f ca="1"/>
        <v>0</v>
      </c>
      <c r="V40">
        <f ca="1"/>
        <v>4.95882033771242</v>
      </c>
      <c r="W40">
        <f ca="1"/>
        <v>3.4283202334801901</v>
      </c>
      <c r="X40">
        <f ca="1"/>
        <v>0</v>
      </c>
      <c r="Y40">
        <f ca="1"/>
        <v>1</v>
      </c>
      <c r="Z40">
        <f ca="1"/>
        <v>0.57240704758538641</v>
      </c>
      <c r="AA40">
        <f ca="1"/>
        <v>0</v>
      </c>
      <c r="AB40">
        <f ca="1"/>
        <v>1.55975664158039E-2</v>
      </c>
      <c r="AD40" s="2">
        <f t="shared" ca="1" si="2"/>
        <v>45157</v>
      </c>
      <c r="AE40">
        <f t="shared" ca="1" si="3"/>
        <v>0</v>
      </c>
      <c r="AG40" s="65">
        <f t="shared" ca="1" si="7"/>
        <v>11.758352093380196</v>
      </c>
      <c r="AH40" s="65">
        <f t="shared" ca="1" si="8"/>
        <v>11.758352093380198</v>
      </c>
      <c r="AI40" s="3">
        <f t="shared" ca="1" si="9"/>
        <v>0</v>
      </c>
    </row>
    <row r="41" spans="1:35" x14ac:dyDescent="0.3">
      <c r="A41" s="8" t="s">
        <v>136</v>
      </c>
      <c r="B41" s="34">
        <f>FollowingMoistureLoss</f>
        <v>0</v>
      </c>
      <c r="G41" s="3">
        <f t="shared" ca="1" si="4"/>
        <v>188</v>
      </c>
      <c r="H41" s="97">
        <f t="shared" ca="1" si="6"/>
        <v>45113</v>
      </c>
      <c r="I41" s="121">
        <f ca="1">HLOOKUP($H$4,'Met Data'!$A$2:$F$368,G41,FALSE)</f>
        <v>9.12083333333333</v>
      </c>
      <c r="J41" s="121">
        <f ca="1">HLOOKUP($H$4,'Met Data'!$H$2:$M$368,G41,FALSE)*L41</f>
        <v>2.18333333333333</v>
      </c>
      <c r="K41" s="98">
        <f ca="1">HLOOKUP($H$4,'Met Data'!$O$2:$T$368,G41,FALSE)</f>
        <v>0.851628840058262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45158</v>
      </c>
      <c r="Q41">
        <f ca="1"/>
        <v>11.603356278056012</v>
      </c>
      <c r="R41">
        <f ca="1"/>
        <v>0.14380508723879901</v>
      </c>
      <c r="S41">
        <f ca="1"/>
        <v>2.3681044547567764E-2</v>
      </c>
      <c r="T41">
        <f ca="1"/>
        <v>0.10836055892087799</v>
      </c>
      <c r="U41">
        <f ca="1"/>
        <v>0</v>
      </c>
      <c r="V41">
        <f ca="1"/>
        <v>5.1026254249512197</v>
      </c>
      <c r="W41">
        <f ca="1"/>
        <v>3.5277410345341802</v>
      </c>
      <c r="X41">
        <f ca="1"/>
        <v>0</v>
      </c>
      <c r="Y41">
        <f ca="1"/>
        <v>1</v>
      </c>
      <c r="Z41">
        <f ca="1"/>
        <v>2.2077225249515209</v>
      </c>
      <c r="AA41">
        <f ca="1"/>
        <v>0</v>
      </c>
      <c r="AB41">
        <f ca="1"/>
        <v>1.6467375350039601E-2</v>
      </c>
      <c r="AD41" s="2">
        <f t="shared" ca="1" si="2"/>
        <v>45158</v>
      </c>
      <c r="AE41">
        <f t="shared" ca="1" si="3"/>
        <v>0</v>
      </c>
      <c r="AG41" s="65">
        <f t="shared" ca="1" si="7"/>
        <v>11.74716136529481</v>
      </c>
      <c r="AH41" s="65">
        <f t="shared" ca="1" si="8"/>
        <v>11.747161365294811</v>
      </c>
      <c r="AI41" s="3">
        <f t="shared" ca="1" si="9"/>
        <v>0</v>
      </c>
    </row>
    <row r="42" spans="1:35" x14ac:dyDescent="0.3">
      <c r="A42" s="8" t="s">
        <v>137</v>
      </c>
      <c r="B42" s="36">
        <f>FollowingEstablishDate</f>
        <v>45352</v>
      </c>
      <c r="G42" s="3">
        <f t="shared" ca="1" si="4"/>
        <v>189</v>
      </c>
      <c r="H42" s="97">
        <f t="shared" ca="1" si="6"/>
        <v>45114</v>
      </c>
      <c r="I42" s="121">
        <f ca="1">HLOOKUP($H$4,'Met Data'!$A$2:$F$368,G42,FALSE)</f>
        <v>9.6583333333333297</v>
      </c>
      <c r="J42" s="121">
        <f ca="1">HLOOKUP($H$4,'Met Data'!$H$2:$M$368,G42,FALSE)*L42</f>
        <v>4.5666666666666602</v>
      </c>
      <c r="K42" s="98">
        <f ca="1">HLOOKUP($H$4,'Met Data'!$O$2:$T$368,G42,FALSE)</f>
        <v>0.80851868655974801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45159</v>
      </c>
      <c r="Q42">
        <f ca="1"/>
        <v>11.58349904482278</v>
      </c>
      <c r="R42">
        <f ca="1"/>
        <v>0.15613434691320499</v>
      </c>
      <c r="S42">
        <f ca="1"/>
        <v>2.2215318977763663E-2</v>
      </c>
      <c r="T42">
        <f ca="1"/>
        <v>0.11406179470220984</v>
      </c>
      <c r="U42">
        <f ca="1"/>
        <v>0</v>
      </c>
      <c r="V42">
        <f ca="1"/>
        <v>5.2587597718644199</v>
      </c>
      <c r="W42">
        <f ca="1"/>
        <v>3.6356857682025701</v>
      </c>
      <c r="X42">
        <f ca="1"/>
        <v>0</v>
      </c>
      <c r="Y42">
        <f ca="1"/>
        <v>1</v>
      </c>
      <c r="Z42">
        <f ca="1"/>
        <v>0.66201845026684225</v>
      </c>
      <c r="AA42">
        <f ca="1"/>
        <v>0</v>
      </c>
      <c r="AB42">
        <f ca="1"/>
        <v>1.7436823237097401E-2</v>
      </c>
      <c r="AD42" s="2">
        <f t="shared" ca="1" si="2"/>
        <v>45159</v>
      </c>
      <c r="AE42">
        <f t="shared" ca="1" si="3"/>
        <v>0</v>
      </c>
      <c r="AG42" s="65">
        <f t="shared" ca="1" si="7"/>
        <v>11.739633391735985</v>
      </c>
      <c r="AH42" s="65">
        <f t="shared" ca="1" si="8"/>
        <v>11.739633391735985</v>
      </c>
      <c r="AI42" s="3">
        <f t="shared" ca="1" si="9"/>
        <v>0</v>
      </c>
    </row>
    <row r="43" spans="1:35" x14ac:dyDescent="0.3">
      <c r="A43" s="8" t="s">
        <v>138</v>
      </c>
      <c r="B43" s="34" t="str">
        <f>FollowingEstablishStage</f>
        <v>Seed</v>
      </c>
      <c r="G43" s="3">
        <f t="shared" ca="1" si="4"/>
        <v>190</v>
      </c>
      <c r="H43" s="97">
        <f t="shared" ca="1" si="6"/>
        <v>45115</v>
      </c>
      <c r="I43" s="121">
        <f ca="1">HLOOKUP($H$4,'Met Data'!$A$2:$F$368,G43,FALSE)</f>
        <v>8.5291666666666597</v>
      </c>
      <c r="J43" s="121">
        <f ca="1">HLOOKUP($H$4,'Met Data'!$H$2:$M$368,G43,FALSE)*L43</f>
        <v>3.7833333333333301</v>
      </c>
      <c r="K43" s="98">
        <f ca="1">HLOOKUP($H$4,'Met Data'!$O$2:$T$368,G43,FALSE)</f>
        <v>1.09493770994468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45160</v>
      </c>
      <c r="Q43">
        <f ca="1"/>
        <v>11.557295031480045</v>
      </c>
      <c r="R43">
        <f ca="1"/>
        <v>0.156570152808053</v>
      </c>
      <c r="S43">
        <f ca="1"/>
        <v>1.9108809770197747E-2</v>
      </c>
      <c r="T43">
        <f ca="1"/>
        <v>0.11125732969511809</v>
      </c>
      <c r="U43">
        <f ca="1"/>
        <v>0</v>
      </c>
      <c r="V43">
        <f ca="1"/>
        <v>5.4153299246724798</v>
      </c>
      <c r="W43">
        <f ca="1"/>
        <v>3.7439317997735699</v>
      </c>
      <c r="X43">
        <f ca="1"/>
        <v>0</v>
      </c>
      <c r="Y43">
        <f ca="1"/>
        <v>1</v>
      </c>
      <c r="Z43">
        <f ca="1"/>
        <v>2.7903834843362176</v>
      </c>
      <c r="AA43">
        <f ca="1"/>
        <v>0</v>
      </c>
      <c r="AB43">
        <f ca="1"/>
        <v>1.8435048718694901E-2</v>
      </c>
      <c r="AD43" s="2">
        <f t="shared" ca="1" si="2"/>
        <v>45160</v>
      </c>
      <c r="AE43">
        <f t="shared" ca="1" si="3"/>
        <v>0</v>
      </c>
      <c r="AG43" s="65">
        <f t="shared" ca="1" si="7"/>
        <v>11.713865184288096</v>
      </c>
      <c r="AH43" s="65">
        <f t="shared" ca="1" si="8"/>
        <v>11.713865184288098</v>
      </c>
      <c r="AI43" s="3">
        <f t="shared" ca="1" si="9"/>
        <v>0</v>
      </c>
    </row>
    <row r="44" spans="1:35" x14ac:dyDescent="0.3">
      <c r="A44" s="8" t="s">
        <v>139</v>
      </c>
      <c r="B44" s="36">
        <f>FollowingHarvestDate</f>
        <v>45472</v>
      </c>
      <c r="G44" s="3">
        <f t="shared" ca="1" si="4"/>
        <v>191</v>
      </c>
      <c r="H44" s="97">
        <f t="shared" ca="1" si="6"/>
        <v>45116</v>
      </c>
      <c r="I44" s="121">
        <f ca="1">HLOOKUP($H$4,'Met Data'!$A$2:$F$368,G44,FALSE)</f>
        <v>8.1583333333333297</v>
      </c>
      <c r="J44" s="121">
        <f ca="1">HLOOKUP($H$4,'Met Data'!$H$2:$M$368,G44,FALSE)*L44</f>
        <v>4.18333333333333</v>
      </c>
      <c r="K44" s="98">
        <f ca="1">HLOOKUP($H$4,'Met Data'!$O$2:$T$368,G44,FALSE)</f>
        <v>0.89025740200721304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45161</v>
      </c>
      <c r="Q44">
        <f ca="1"/>
        <v>11.524170778480816</v>
      </c>
      <c r="R44">
        <f ca="1"/>
        <v>0.162061298089205</v>
      </c>
      <c r="S44">
        <f ca="1"/>
        <v>1.7029330133845565E-2</v>
      </c>
      <c r="T44">
        <f ca="1"/>
        <v>0.11190771495613147</v>
      </c>
      <c r="U44">
        <f ca="1"/>
        <v>0</v>
      </c>
      <c r="V44">
        <f ca="1"/>
        <v>5.5773912227616798</v>
      </c>
      <c r="W44">
        <f ca="1"/>
        <v>3.8559741786994399</v>
      </c>
      <c r="X44">
        <f ca="1"/>
        <v>0</v>
      </c>
      <c r="Y44">
        <f ca="1"/>
        <v>1</v>
      </c>
      <c r="Z44">
        <f ca="1"/>
        <v>4.0593681295803208E-2</v>
      </c>
      <c r="AA44">
        <f ca="1"/>
        <v>0</v>
      </c>
      <c r="AB44">
        <f ca="1"/>
        <v>1.9495632764278199E-2</v>
      </c>
      <c r="AD44" s="2">
        <f t="shared" ca="1" si="2"/>
        <v>45161</v>
      </c>
      <c r="AE44">
        <f t="shared" ca="1" si="3"/>
        <v>0</v>
      </c>
      <c r="AG44" s="65">
        <f t="shared" ca="1" si="7"/>
        <v>11.686232076570024</v>
      </c>
      <c r="AH44" s="65">
        <f t="shared" ca="1" si="8"/>
        <v>11.68623207657002</v>
      </c>
      <c r="AI44" s="3">
        <f t="shared" ca="1" si="9"/>
        <v>0</v>
      </c>
    </row>
    <row r="45" spans="1:35" x14ac:dyDescent="0.3">
      <c r="A45" s="8" t="s">
        <v>140</v>
      </c>
      <c r="B45" s="34" t="str">
        <f>FollowingHarvestStage</f>
        <v>EarlyReproductive</v>
      </c>
      <c r="G45" s="3">
        <f t="shared" ca="1" si="4"/>
        <v>192</v>
      </c>
      <c r="H45" s="97">
        <f t="shared" ca="1" si="6"/>
        <v>45117</v>
      </c>
      <c r="I45" s="121">
        <f ca="1">HLOOKUP($H$4,'Met Data'!$A$2:$F$368,G45,FALSE)</f>
        <v>8.24166666666666</v>
      </c>
      <c r="J45" s="121">
        <f ca="1">HLOOKUP($H$4,'Met Data'!$H$2:$M$368,G45,FALSE)*L45</f>
        <v>2.2666666666666599</v>
      </c>
      <c r="K45" s="98">
        <f ca="1">HLOOKUP($H$4,'Met Data'!$O$2:$T$368,G45,FALSE)</f>
        <v>1.06467045295546</v>
      </c>
      <c r="L45">
        <f t="shared" ca="1" si="0"/>
        <v>1</v>
      </c>
      <c r="N45" t="b">
        <f t="shared" ca="1" si="5"/>
        <v>1</v>
      </c>
      <c r="O45" t="b">
        <f t="shared" ca="1" si="1"/>
        <v>1</v>
      </c>
      <c r="P45" s="2">
        <f ca="1"/>
        <v>45162</v>
      </c>
      <c r="Q45">
        <f ca="1"/>
        <v>11.482788717522453</v>
      </c>
      <c r="R45">
        <f ca="1"/>
        <v>0.17217289747933701</v>
      </c>
      <c r="S45">
        <f ca="1"/>
        <v>1.5404998299326012E-2</v>
      </c>
      <c r="T45">
        <f ca="1"/>
        <v>0.11538583822164825</v>
      </c>
      <c r="U45">
        <f ca="1"/>
        <v>0</v>
      </c>
      <c r="V45">
        <f ca="1"/>
        <v>5.7495641202410201</v>
      </c>
      <c r="W45">
        <f ca="1"/>
        <v>3.97500729300614</v>
      </c>
      <c r="X45">
        <f ca="1"/>
        <v>0</v>
      </c>
      <c r="Y45">
        <f ca="1"/>
        <v>0.99023327623504509</v>
      </c>
      <c r="Z45">
        <f ca="1"/>
        <v>0</v>
      </c>
      <c r="AA45">
        <f ca="1"/>
        <v>0</v>
      </c>
      <c r="AB45">
        <f ca="1"/>
        <v>2.0652695615857398E-2</v>
      </c>
      <c r="AD45" s="2">
        <f t="shared" ca="1" si="2"/>
        <v>45162</v>
      </c>
      <c r="AE45">
        <f t="shared" ca="1" si="3"/>
        <v>0</v>
      </c>
      <c r="AG45" s="65">
        <f t="shared" ca="1" si="7"/>
        <v>11.65496161500179</v>
      </c>
      <c r="AH45" s="65">
        <f t="shared" ca="1" si="8"/>
        <v>11.65496161500179</v>
      </c>
      <c r="AI45" s="3">
        <f t="shared" ca="1" si="9"/>
        <v>0</v>
      </c>
    </row>
    <row r="46" spans="1:35" ht="15" thickBot="1" x14ac:dyDescent="0.35">
      <c r="A46" s="9" t="s">
        <v>175</v>
      </c>
      <c r="B46" s="35" t="str">
        <f>FollowingResidueRemoval</f>
        <v>None removed</v>
      </c>
      <c r="G46" s="3">
        <f t="shared" ca="1" si="4"/>
        <v>193</v>
      </c>
      <c r="H46" s="97">
        <f t="shared" ca="1" si="6"/>
        <v>45118</v>
      </c>
      <c r="I46" s="121">
        <f ca="1">HLOOKUP($H$4,'Met Data'!$A$2:$F$368,G46,FALSE)</f>
        <v>8.0333333333333297</v>
      </c>
      <c r="J46" s="121">
        <f ca="1">HLOOKUP($H$4,'Met Data'!$H$2:$M$368,G46,FALSE)*L46</f>
        <v>4.6500000000000004</v>
      </c>
      <c r="K46" s="98">
        <f ca="1">HLOOKUP($H$4,'Met Data'!$O$2:$T$368,G46,FALSE)</f>
        <v>1.03430816091664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45163</v>
      </c>
      <c r="Q46">
        <f ca="1"/>
        <v>11.43551882390102</v>
      </c>
      <c r="R46">
        <f ca="1"/>
        <v>0.17424842278894501</v>
      </c>
      <c r="S46">
        <f ca="1"/>
        <v>1.3481199042426461E-2</v>
      </c>
      <c r="T46">
        <f ca="1"/>
        <v>0.1134973301250875</v>
      </c>
      <c r="U46">
        <f ca="1"/>
        <v>0</v>
      </c>
      <c r="V46">
        <f ca="1"/>
        <v>5.9238125430299604</v>
      </c>
      <c r="W46">
        <f ca="1"/>
        <v>4.0954753383910898</v>
      </c>
      <c r="X46">
        <f ca="1"/>
        <v>0</v>
      </c>
      <c r="Y46">
        <f ca="1"/>
        <v>0.9987765259114858</v>
      </c>
      <c r="Z46">
        <f ca="1"/>
        <v>0</v>
      </c>
      <c r="AA46">
        <f ca="1"/>
        <v>0</v>
      </c>
      <c r="AB46">
        <f ca="1"/>
        <v>2.1855303654105301E-2</v>
      </c>
      <c r="AD46" s="2">
        <f t="shared" ca="1" si="2"/>
        <v>45163</v>
      </c>
      <c r="AE46">
        <f t="shared" ca="1" si="3"/>
        <v>0</v>
      </c>
      <c r="AG46" s="65">
        <f t="shared" ca="1" si="7"/>
        <v>11.609767246689966</v>
      </c>
      <c r="AH46" s="65">
        <f t="shared" ca="1" si="8"/>
        <v>11.609767246689966</v>
      </c>
      <c r="AI46" s="3">
        <f t="shared" ca="1" si="9"/>
        <v>0</v>
      </c>
    </row>
    <row r="47" spans="1:35" x14ac:dyDescent="0.3">
      <c r="A47" s="8" t="s">
        <v>178</v>
      </c>
      <c r="B47" t="str">
        <f>FollowingResidueIncorporation</f>
        <v>Full (Plough)</v>
      </c>
      <c r="G47" s="3">
        <f t="shared" ca="1" si="4"/>
        <v>194</v>
      </c>
      <c r="H47" s="97">
        <f t="shared" ca="1" si="6"/>
        <v>45119</v>
      </c>
      <c r="I47" s="121">
        <f ca="1">HLOOKUP($H$4,'Met Data'!$A$2:$F$368,G47,FALSE)</f>
        <v>8.37083333333333</v>
      </c>
      <c r="J47" s="121">
        <f ca="1">HLOOKUP($H$4,'Met Data'!$H$2:$M$368,G47,FALSE)*L47</f>
        <v>1.61666666666666</v>
      </c>
      <c r="K47" s="98">
        <f ca="1">HLOOKUP($H$4,'Met Data'!$O$2:$T$368,G47,FALSE)</f>
        <v>1.0039262064680501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45164</v>
      </c>
      <c r="Q47">
        <f ca="1"/>
        <v>11.375766548459055</v>
      </c>
      <c r="R47">
        <f ca="1"/>
        <v>0.197977318998873</v>
      </c>
      <c r="S47">
        <f ca="1"/>
        <v>1.3146779958395659E-2</v>
      </c>
      <c r="T47">
        <f ca="1"/>
        <v>0.12507826359850738</v>
      </c>
      <c r="U47">
        <f ca="1"/>
        <v>0</v>
      </c>
      <c r="V47">
        <f ca="1"/>
        <v>6.12178986202884</v>
      </c>
      <c r="W47">
        <f ca="1"/>
        <v>4.2323485465878399</v>
      </c>
      <c r="X47">
        <f ca="1"/>
        <v>0</v>
      </c>
      <c r="Y47">
        <f ca="1"/>
        <v>1</v>
      </c>
      <c r="Z47">
        <f ca="1"/>
        <v>1.4316690798045499</v>
      </c>
      <c r="AA47">
        <f ca="1"/>
        <v>0</v>
      </c>
      <c r="AB47">
        <f ca="1"/>
        <v>2.3259999497581701E-2</v>
      </c>
      <c r="AD47" s="2">
        <f t="shared" ca="1" si="2"/>
        <v>45164</v>
      </c>
      <c r="AE47">
        <f t="shared" ca="1" si="3"/>
        <v>0</v>
      </c>
      <c r="AG47" s="65">
        <f t="shared" ca="1" si="7"/>
        <v>11.573743867457923</v>
      </c>
      <c r="AH47" s="65">
        <f t="shared" ca="1" si="8"/>
        <v>11.573743867457928</v>
      </c>
      <c r="AI47" s="3">
        <f t="shared" ca="1" si="9"/>
        <v>0</v>
      </c>
    </row>
    <row r="48" spans="1:35" x14ac:dyDescent="0.3">
      <c r="A48" s="14"/>
      <c r="B48" s="15"/>
      <c r="G48" s="3">
        <f t="shared" ca="1" si="4"/>
        <v>195</v>
      </c>
      <c r="H48" s="97">
        <f t="shared" ca="1" si="6"/>
        <v>45120</v>
      </c>
      <c r="I48" s="121">
        <f ca="1">HLOOKUP($H$4,'Met Data'!$A$2:$F$368,G48,FALSE)</f>
        <v>8.0916666666666597</v>
      </c>
      <c r="J48" s="121">
        <f ca="1">HLOOKUP($H$4,'Met Data'!$H$2:$M$368,G48,FALSE)*L48</f>
        <v>5.0666666666666602</v>
      </c>
      <c r="K48" s="98">
        <f ca="1">HLOOKUP($H$4,'Met Data'!$O$2:$T$368,G48,FALSE)</f>
        <v>0.87492032925951801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45165</v>
      </c>
      <c r="Q48">
        <f ca="1"/>
        <v>11.307688586344049</v>
      </c>
      <c r="R48">
        <f ca="1"/>
        <v>0.205043032705019</v>
      </c>
      <c r="S48">
        <f ca="1"/>
        <v>1.143669724817019E-2</v>
      </c>
      <c r="T48">
        <f ca="1"/>
        <v>0.12552837334184277</v>
      </c>
      <c r="U48">
        <f ca="1"/>
        <v>0</v>
      </c>
      <c r="V48">
        <f ca="1"/>
        <v>6.3268328947338599</v>
      </c>
      <c r="W48">
        <f ca="1"/>
        <v>4.3741066926555101</v>
      </c>
      <c r="X48">
        <f ca="1"/>
        <v>0</v>
      </c>
      <c r="Y48">
        <f ca="1"/>
        <v>0.99482487192499702</v>
      </c>
      <c r="Z48">
        <f ca="1"/>
        <v>0</v>
      </c>
      <c r="AA48">
        <f ca="1"/>
        <v>0</v>
      </c>
      <c r="AB48">
        <f ca="1"/>
        <v>2.4757487423038599E-2</v>
      </c>
      <c r="AD48" s="2">
        <f t="shared" ca="1" si="2"/>
        <v>45165</v>
      </c>
      <c r="AE48">
        <f t="shared" ca="1" si="3"/>
        <v>0</v>
      </c>
      <c r="AG48" s="65">
        <f t="shared" ca="1" si="7"/>
        <v>11.512731619049067</v>
      </c>
      <c r="AH48" s="65">
        <f t="shared" ca="1" si="8"/>
        <v>11.512731619049068</v>
      </c>
      <c r="AI48" s="3">
        <f t="shared" ca="1" si="9"/>
        <v>0</v>
      </c>
    </row>
    <row r="49" spans="1:35" ht="15" thickBot="1" x14ac:dyDescent="0.35">
      <c r="A49" s="16"/>
      <c r="B49" s="17"/>
      <c r="G49" s="3">
        <f t="shared" ca="1" si="4"/>
        <v>196</v>
      </c>
      <c r="H49" s="97">
        <f t="shared" ca="1" si="6"/>
        <v>45121</v>
      </c>
      <c r="I49" s="121">
        <f ca="1">HLOOKUP($H$4,'Met Data'!$A$2:$F$368,G49,FALSE)</f>
        <v>7.9156250000000004</v>
      </c>
      <c r="J49" s="121">
        <f ca="1">HLOOKUP($H$4,'Met Data'!$H$2:$M$368,G49,FALSE)*L49</f>
        <v>4.1666666666666599</v>
      </c>
      <c r="K49" s="98">
        <f ca="1">HLOOKUP($H$4,'Met Data'!$O$2:$T$368,G49,FALSE)</f>
        <v>0.80250527716076203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45166</v>
      </c>
      <c r="Q49">
        <f ca="1"/>
        <v>11.229312440484513</v>
      </c>
      <c r="R49">
        <f ca="1"/>
        <v>0.218195835455503</v>
      </c>
      <c r="S49">
        <f ca="1"/>
        <v>1.0296416712280845E-2</v>
      </c>
      <c r="T49">
        <f ca="1"/>
        <v>0.12952327288368914</v>
      </c>
      <c r="U49">
        <f ca="1"/>
        <v>0</v>
      </c>
      <c r="V49">
        <f ca="1"/>
        <v>6.5450287301893599</v>
      </c>
      <c r="W49">
        <f ca="1"/>
        <v>4.5249581344519001</v>
      </c>
      <c r="X49">
        <f ca="1"/>
        <v>0</v>
      </c>
      <c r="Y49">
        <f ca="1"/>
        <v>0.99703952013519204</v>
      </c>
      <c r="Z49">
        <f ca="1"/>
        <v>0</v>
      </c>
      <c r="AA49">
        <f ca="1"/>
        <v>0</v>
      </c>
      <c r="AB49">
        <f ca="1"/>
        <v>2.63983258625798E-2</v>
      </c>
      <c r="AD49" s="2">
        <f t="shared" ca="1" si="2"/>
        <v>45166</v>
      </c>
      <c r="AE49">
        <f t="shared" ca="1" si="3"/>
        <v>0</v>
      </c>
      <c r="AG49" s="65">
        <f t="shared" ca="1" si="7"/>
        <v>11.44750827594002</v>
      </c>
      <c r="AH49" s="65">
        <f t="shared" ca="1" si="8"/>
        <v>11.447508275940017</v>
      </c>
      <c r="AI49" s="3">
        <f t="shared" ca="1" si="9"/>
        <v>0</v>
      </c>
    </row>
    <row r="50" spans="1:35" x14ac:dyDescent="0.3">
      <c r="G50" s="3">
        <f t="shared" ca="1" si="4"/>
        <v>197</v>
      </c>
      <c r="H50" s="97">
        <f t="shared" ca="1" si="6"/>
        <v>45122</v>
      </c>
      <c r="I50" s="121">
        <f ca="1">HLOOKUP($H$4,'Met Data'!$A$2:$F$368,G50,FALSE)</f>
        <v>8.8590909090909093</v>
      </c>
      <c r="J50" s="121">
        <f ca="1">HLOOKUP($H$4,'Met Data'!$H$2:$M$368,G50,FALSE)*L50</f>
        <v>2.0666666666666602</v>
      </c>
      <c r="K50" s="98">
        <f ca="1">HLOOKUP($H$4,'Met Data'!$O$2:$T$368,G50,FALSE)</f>
        <v>0.97822362204517799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45167</v>
      </c>
      <c r="Q50">
        <f ca="1"/>
        <v>11.146327873794746</v>
      </c>
      <c r="R50">
        <f ca="1"/>
        <v>0.21497126324756399</v>
      </c>
      <c r="S50">
        <f ca="1"/>
        <v>8.5500979002709337E-3</v>
      </c>
      <c r="T50">
        <f ca="1"/>
        <v>0.12343659865752406</v>
      </c>
      <c r="U50">
        <f ca="1"/>
        <v>0</v>
      </c>
      <c r="V50">
        <f ca="1"/>
        <v>6.7599999934369199</v>
      </c>
      <c r="W50">
        <f ca="1"/>
        <v>4.6735802423761497</v>
      </c>
      <c r="X50">
        <f ca="1"/>
        <v>0</v>
      </c>
      <c r="Y50">
        <f ca="1"/>
        <v>1</v>
      </c>
      <c r="Z50">
        <f ca="1"/>
        <v>1.1592398288365189</v>
      </c>
      <c r="AA50">
        <f ca="1"/>
        <v>0</v>
      </c>
      <c r="AB50">
        <f ca="1"/>
        <v>2.8062197171391599E-2</v>
      </c>
      <c r="AD50" s="2">
        <f t="shared" ca="1" si="2"/>
        <v>45167</v>
      </c>
      <c r="AE50">
        <f t="shared" ca="1" si="3"/>
        <v>0</v>
      </c>
      <c r="AG50" s="65">
        <f t="shared" ca="1" si="7"/>
        <v>11.361299137042307</v>
      </c>
      <c r="AH50" s="65">
        <f t="shared" ca="1" si="8"/>
        <v>11.361299137042311</v>
      </c>
      <c r="AI50" s="3">
        <f t="shared" ca="1" si="9"/>
        <v>0</v>
      </c>
    </row>
    <row r="51" spans="1:35" x14ac:dyDescent="0.3">
      <c r="G51" s="3">
        <f t="shared" ca="1" si="4"/>
        <v>198</v>
      </c>
      <c r="H51" s="97">
        <f t="shared" ca="1" si="6"/>
        <v>45123</v>
      </c>
      <c r="I51" s="121">
        <f ca="1">HLOOKUP($H$4,'Met Data'!$A$2:$F$368,G51,FALSE)</f>
        <v>8.8590909090909093</v>
      </c>
      <c r="J51" s="121">
        <f ca="1">HLOOKUP($H$4,'Met Data'!$H$2:$M$368,G51,FALSE)*L51</f>
        <v>6.0666666666666602</v>
      </c>
      <c r="K51" s="98">
        <f ca="1">HLOOKUP($H$4,'Met Data'!$O$2:$T$368,G51,FALSE)</f>
        <v>0.78802331007485205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45168</v>
      </c>
      <c r="Q51">
        <f ca="1"/>
        <v>11.050903816882254</v>
      </c>
      <c r="R51">
        <f ca="1"/>
        <v>0.23324048830411701</v>
      </c>
      <c r="S51">
        <f ca="1"/>
        <v>7.8330280861490433E-3</v>
      </c>
      <c r="T51">
        <f ca="1"/>
        <v>0.1299834033054777</v>
      </c>
      <c r="U51">
        <f ca="1"/>
        <v>0</v>
      </c>
      <c r="V51">
        <f ca="1"/>
        <v>6.9932404817410401</v>
      </c>
      <c r="W51">
        <f ca="1"/>
        <v>4.8348329256481302</v>
      </c>
      <c r="X51">
        <f ca="1"/>
        <v>0</v>
      </c>
      <c r="Y51">
        <f ca="1"/>
        <v>0.99823687024669172</v>
      </c>
      <c r="Z51">
        <f ca="1"/>
        <v>0</v>
      </c>
      <c r="AA51">
        <f ca="1"/>
        <v>0</v>
      </c>
      <c r="AB51">
        <f ca="1"/>
        <v>2.9920067985668201E-2</v>
      </c>
      <c r="AD51" s="2">
        <f t="shared" ca="1" si="2"/>
        <v>45168</v>
      </c>
      <c r="AE51">
        <f t="shared" ca="1" si="3"/>
        <v>0</v>
      </c>
      <c r="AG51" s="65">
        <f t="shared" ca="1" si="7"/>
        <v>11.284144305186372</v>
      </c>
      <c r="AH51" s="65">
        <f t="shared" ca="1" si="8"/>
        <v>11.284144305186372</v>
      </c>
      <c r="AI51" s="3">
        <f t="shared" ca="1" si="9"/>
        <v>0</v>
      </c>
    </row>
    <row r="52" spans="1:35" x14ac:dyDescent="0.3">
      <c r="G52" s="3">
        <f t="shared" ca="1" si="4"/>
        <v>199</v>
      </c>
      <c r="H52" s="97">
        <f t="shared" ca="1" si="6"/>
        <v>45124</v>
      </c>
      <c r="I52" s="121">
        <f ca="1">HLOOKUP($H$4,'Met Data'!$A$2:$F$368,G52,FALSE)</f>
        <v>9.5909090909090899</v>
      </c>
      <c r="J52" s="121">
        <f ca="1">HLOOKUP($H$4,'Met Data'!$H$2:$M$368,G52,FALSE)*L52</f>
        <v>4.5999999999999996</v>
      </c>
      <c r="K52" s="98">
        <f ca="1">HLOOKUP($H$4,'Met Data'!$O$2:$T$368,G52,FALSE)</f>
        <v>0.944748845250029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45169</v>
      </c>
      <c r="Q52">
        <f ca="1"/>
        <v>10.950982569514302</v>
      </c>
      <c r="R52">
        <f ca="1"/>
        <v>0.230909362108035</v>
      </c>
      <c r="S52">
        <f ca="1"/>
        <v>6.5084081349495795E-3</v>
      </c>
      <c r="T52">
        <f ca="1"/>
        <v>0.12447970660513885</v>
      </c>
      <c r="U52">
        <f ca="1"/>
        <v>0</v>
      </c>
      <c r="V52">
        <f ca="1"/>
        <v>7.2241498438490801</v>
      </c>
      <c r="W52">
        <f ca="1"/>
        <v>4.9944739661178801</v>
      </c>
      <c r="X52">
        <f ca="1"/>
        <v>0</v>
      </c>
      <c r="Y52">
        <f ca="1"/>
        <v>0.9976444212914547</v>
      </c>
      <c r="Z52">
        <f ca="1"/>
        <v>0</v>
      </c>
      <c r="AA52">
        <f ca="1"/>
        <v>0</v>
      </c>
      <c r="AB52">
        <f ca="1"/>
        <v>3.1812772459053403E-2</v>
      </c>
      <c r="AD52" s="2">
        <f t="shared" ca="1" si="2"/>
        <v>45169</v>
      </c>
      <c r="AE52">
        <f t="shared" ca="1" si="3"/>
        <v>0</v>
      </c>
      <c r="AG52" s="65">
        <f t="shared" ca="1" si="7"/>
        <v>11.181891931622342</v>
      </c>
      <c r="AH52" s="65">
        <f t="shared" ca="1" si="8"/>
        <v>11.181891931622337</v>
      </c>
      <c r="AI52" s="3">
        <f t="shared" ca="1" si="9"/>
        <v>0</v>
      </c>
    </row>
    <row r="53" spans="1:35" x14ac:dyDescent="0.3">
      <c r="G53" s="3">
        <f t="shared" ca="1" si="4"/>
        <v>200</v>
      </c>
      <c r="H53" s="97">
        <f t="shared" ca="1" si="6"/>
        <v>45125</v>
      </c>
      <c r="I53" s="121">
        <f ca="1">HLOOKUP($H$4,'Met Data'!$A$2:$F$368,G53,FALSE)</f>
        <v>8.8450000000000006</v>
      </c>
      <c r="J53" s="121">
        <f ca="1">HLOOKUP($H$4,'Met Data'!$H$2:$M$368,G53,FALSE)*L53</f>
        <v>1.1000000000000001</v>
      </c>
      <c r="K53" s="98">
        <f ca="1">HLOOKUP($H$4,'Met Data'!$O$2:$T$368,G53,FALSE)</f>
        <v>1.0240187106181899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45170</v>
      </c>
      <c r="Q53">
        <f ca="1"/>
        <v>10.848599018490468</v>
      </c>
      <c r="R53">
        <f ca="1"/>
        <v>0.22578853788497599</v>
      </c>
      <c r="S53">
        <f ca="1"/>
        <v>5.3417651864854096E-3</v>
      </c>
      <c r="T53">
        <f ca="1"/>
        <v>0.1180632216746539</v>
      </c>
      <c r="U53">
        <f ca="1"/>
        <v>0</v>
      </c>
      <c r="V53">
        <f ca="1"/>
        <v>7.4499383817340501</v>
      </c>
      <c r="W53">
        <f ca="1"/>
        <v>5.1505746836679904</v>
      </c>
      <c r="X53">
        <f ca="1"/>
        <v>0</v>
      </c>
      <c r="Y53">
        <f ca="1"/>
        <v>0.98930821806206048</v>
      </c>
      <c r="Z53">
        <f ca="1"/>
        <v>0</v>
      </c>
      <c r="AA53">
        <f ca="1"/>
        <v>0</v>
      </c>
      <c r="AB53">
        <f ca="1"/>
        <v>3.3714361360981798E-2</v>
      </c>
      <c r="AD53" s="2">
        <f t="shared" ca="1" si="2"/>
        <v>45170</v>
      </c>
      <c r="AE53">
        <f t="shared" ca="1" si="3"/>
        <v>0</v>
      </c>
      <c r="AG53" s="65">
        <f t="shared" ca="1" si="7"/>
        <v>11.074387556375441</v>
      </c>
      <c r="AH53" s="65">
        <f t="shared" ca="1" si="8"/>
        <v>11.074387556375443</v>
      </c>
      <c r="AI53" s="3">
        <f t="shared" ca="1" si="9"/>
        <v>0</v>
      </c>
    </row>
    <row r="54" spans="1:35" x14ac:dyDescent="0.3">
      <c r="G54" s="3">
        <f t="shared" ca="1" si="4"/>
        <v>201</v>
      </c>
      <c r="H54" s="97">
        <f t="shared" ca="1" si="6"/>
        <v>45126</v>
      </c>
      <c r="I54" s="121">
        <f ca="1">HLOOKUP($H$4,'Met Data'!$A$2:$F$368,G54,FALSE)</f>
        <v>8.99166666666666</v>
      </c>
      <c r="J54" s="121">
        <f ca="1">HLOOKUP($H$4,'Met Data'!$H$2:$M$368,G54,FALSE)*L54</f>
        <v>1.3499999999999901</v>
      </c>
      <c r="K54" s="98">
        <f ca="1">HLOOKUP($H$4,'Met Data'!$O$2:$T$368,G54,FALSE)</f>
        <v>1.16174529470798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45171</v>
      </c>
      <c r="Q54">
        <f ca="1"/>
        <v>10.744167665868027</v>
      </c>
      <c r="R54">
        <f ca="1"/>
        <v>0.22180799515723401</v>
      </c>
      <c r="S54">
        <f ca="1"/>
        <v>4.5355955111181078E-3</v>
      </c>
      <c r="T54">
        <f ca="1"/>
        <v>0.11284104702367573</v>
      </c>
      <c r="U54">
        <f ca="1"/>
        <v>0</v>
      </c>
      <c r="V54">
        <f ca="1"/>
        <v>7.6717463768912904</v>
      </c>
      <c r="W54">
        <f ca="1"/>
        <v>5.3039234210606399</v>
      </c>
      <c r="X54">
        <f ca="1"/>
        <v>0</v>
      </c>
      <c r="Y54">
        <f ca="1"/>
        <v>1</v>
      </c>
      <c r="Z54">
        <f ca="1"/>
        <v>0.36353995965562547</v>
      </c>
      <c r="AA54">
        <f ca="1"/>
        <v>0</v>
      </c>
      <c r="AB54">
        <f ca="1"/>
        <v>3.5630886755299102E-2</v>
      </c>
      <c r="AD54" s="2">
        <f t="shared" ca="1" si="2"/>
        <v>45171</v>
      </c>
      <c r="AE54">
        <f t="shared" ca="1" si="3"/>
        <v>0</v>
      </c>
      <c r="AG54" s="65">
        <f t="shared" ca="1" si="7"/>
        <v>10.965975661025261</v>
      </c>
      <c r="AH54" s="65">
        <f t="shared" ca="1" si="8"/>
        <v>10.96597566102526</v>
      </c>
      <c r="AI54" s="3">
        <f t="shared" ca="1" si="9"/>
        <v>0</v>
      </c>
    </row>
    <row r="55" spans="1:35" x14ac:dyDescent="0.3">
      <c r="G55" s="3">
        <f t="shared" ca="1" si="4"/>
        <v>202</v>
      </c>
      <c r="H55" s="97">
        <f t="shared" ca="1" si="6"/>
        <v>45127</v>
      </c>
      <c r="I55" s="121">
        <f ca="1">HLOOKUP($H$4,'Met Data'!$A$2:$F$368,G55,FALSE)</f>
        <v>9.5</v>
      </c>
      <c r="J55" s="121">
        <f ca="1">HLOOKUP($H$4,'Met Data'!$H$2:$M$368,G55,FALSE)*L55</f>
        <v>2.75</v>
      </c>
      <c r="K55" s="98">
        <f ca="1">HLOOKUP($H$4,'Met Data'!$O$2:$T$368,G55,FALSE)</f>
        <v>0.94669865516537999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45172</v>
      </c>
      <c r="Q55">
        <f ca="1"/>
        <v>10.631809009286712</v>
      </c>
      <c r="R55">
        <f ca="1"/>
        <v>0.23025706225585299</v>
      </c>
      <c r="S55">
        <f ca="1"/>
        <v>4.0249645219611928E-3</v>
      </c>
      <c r="T55">
        <f ca="1"/>
        <v>0.11387344115258044</v>
      </c>
      <c r="U55">
        <f ca="1"/>
        <v>0</v>
      </c>
      <c r="V55">
        <f ca="1"/>
        <v>7.9020034391471397</v>
      </c>
      <c r="W55">
        <f ca="1"/>
        <v>5.4631134887930903</v>
      </c>
      <c r="X55">
        <f ca="1"/>
        <v>0</v>
      </c>
      <c r="Y55">
        <f ca="1"/>
        <v>0.99437511287098868</v>
      </c>
      <c r="Z55">
        <f ca="1"/>
        <v>0</v>
      </c>
      <c r="AA55">
        <f ca="1"/>
        <v>0</v>
      </c>
      <c r="AB55">
        <f ca="1"/>
        <v>3.7670682294524499E-2</v>
      </c>
      <c r="AD55" s="2">
        <f t="shared" ca="1" si="2"/>
        <v>45172</v>
      </c>
      <c r="AE55">
        <f t="shared" ca="1" si="3"/>
        <v>0</v>
      </c>
      <c r="AG55" s="65">
        <f t="shared" ca="1" si="7"/>
        <v>10.862066071542568</v>
      </c>
      <c r="AH55" s="65">
        <f t="shared" ca="1" si="8"/>
        <v>10.862066071542566</v>
      </c>
      <c r="AI55" s="3">
        <f t="shared" ca="1" si="9"/>
        <v>0</v>
      </c>
    </row>
    <row r="56" spans="1:35" x14ac:dyDescent="0.3">
      <c r="G56" s="3">
        <f t="shared" ca="1" si="4"/>
        <v>203</v>
      </c>
      <c r="H56" s="97">
        <f t="shared" ca="1" si="6"/>
        <v>45128</v>
      </c>
      <c r="I56" s="121">
        <f ca="1">HLOOKUP($H$4,'Met Data'!$A$2:$F$368,G56,FALSE)</f>
        <v>9.8333333333333304</v>
      </c>
      <c r="J56" s="121">
        <f ca="1">HLOOKUP($H$4,'Met Data'!$H$2:$M$368,G56,FALSE)*L56</f>
        <v>3.6333333333333302</v>
      </c>
      <c r="K56" s="98">
        <f ca="1">HLOOKUP($H$4,'Met Data'!$O$2:$T$368,G56,FALSE)</f>
        <v>1.0815395194790001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45173</v>
      </c>
      <c r="Q56">
        <f ca="1"/>
        <v>10.508556960168562</v>
      </c>
      <c r="R56">
        <f ca="1"/>
        <v>0.2442819342634</v>
      </c>
      <c r="S56">
        <f ca="1"/>
        <v>3.6876561437890541E-3</v>
      </c>
      <c r="T56">
        <f ca="1"/>
        <v>0.11734222900146105</v>
      </c>
      <c r="U56">
        <f ca="1"/>
        <v>0</v>
      </c>
      <c r="V56">
        <f ca="1"/>
        <v>8.1462853734105405</v>
      </c>
      <c r="W56">
        <f ca="1"/>
        <v>5.6319997643332096</v>
      </c>
      <c r="X56">
        <f ca="1"/>
        <v>0</v>
      </c>
      <c r="Y56">
        <f ca="1"/>
        <v>0.99986858532008172</v>
      </c>
      <c r="Z56">
        <f ca="1"/>
        <v>0</v>
      </c>
      <c r="AA56">
        <f ca="1"/>
        <v>0</v>
      </c>
      <c r="AB56">
        <f ca="1"/>
        <v>3.9890064419835197E-2</v>
      </c>
      <c r="AD56" s="2">
        <f t="shared" ca="1" si="2"/>
        <v>45173</v>
      </c>
      <c r="AE56">
        <f t="shared" ca="1" si="3"/>
        <v>0</v>
      </c>
      <c r="AG56" s="65">
        <f t="shared" ca="1" si="7"/>
        <v>10.752838894431962</v>
      </c>
      <c r="AH56" s="65">
        <f t="shared" ca="1" si="8"/>
        <v>10.752838894431962</v>
      </c>
      <c r="AI56" s="3">
        <f t="shared" ca="1" si="9"/>
        <v>0</v>
      </c>
    </row>
    <row r="57" spans="1:35" x14ac:dyDescent="0.3">
      <c r="A57" s="1"/>
      <c r="B57" s="1"/>
      <c r="G57" s="3">
        <f t="shared" ca="1" si="4"/>
        <v>204</v>
      </c>
      <c r="H57" s="97">
        <f t="shared" ca="1" si="6"/>
        <v>45129</v>
      </c>
      <c r="I57" s="121">
        <f ca="1">HLOOKUP($H$4,'Met Data'!$A$2:$F$368,G57,FALSE)</f>
        <v>10.029166666666599</v>
      </c>
      <c r="J57" s="121">
        <f ca="1">HLOOKUP($H$4,'Met Data'!$H$2:$M$368,G57,FALSE)*L57</f>
        <v>4.68333333333333</v>
      </c>
      <c r="K57" s="98">
        <f ca="1">HLOOKUP($H$4,'Met Data'!$O$2:$T$368,G57,FALSE)</f>
        <v>1.0771273773513399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45174</v>
      </c>
      <c r="Q57">
        <f ca="1"/>
        <v>10.381590407995901</v>
      </c>
      <c r="R57">
        <f ca="1"/>
        <v>0.24422715378066301</v>
      </c>
      <c r="S57">
        <f ca="1"/>
        <v>3.1516874632739897E-3</v>
      </c>
      <c r="T57">
        <f ca="1"/>
        <v>0.11410891414473104</v>
      </c>
      <c r="U57">
        <f ca="1"/>
        <v>0</v>
      </c>
      <c r="V57">
        <f ca="1"/>
        <v>8.3905125271912002</v>
      </c>
      <c r="W57">
        <f ca="1"/>
        <v>5.8008481669469996</v>
      </c>
      <c r="X57">
        <f ca="1"/>
        <v>0</v>
      </c>
      <c r="Y57">
        <f ca="1"/>
        <v>1</v>
      </c>
      <c r="Z57">
        <f ca="1"/>
        <v>1.6852193243589539</v>
      </c>
      <c r="AA57">
        <f ca="1"/>
        <v>0</v>
      </c>
      <c r="AB57">
        <f ca="1"/>
        <v>4.2165217236127699E-2</v>
      </c>
      <c r="AD57" s="2">
        <f t="shared" ca="1" si="2"/>
        <v>45174</v>
      </c>
      <c r="AE57">
        <f t="shared" ca="1" si="3"/>
        <v>0</v>
      </c>
      <c r="AG57" s="65">
        <f t="shared" ca="1" si="7"/>
        <v>10.625817561776568</v>
      </c>
      <c r="AH57" s="65">
        <f t="shared" ca="1" si="8"/>
        <v>10.625817561776564</v>
      </c>
      <c r="AI57" s="3">
        <f t="shared" ca="1" si="9"/>
        <v>0</v>
      </c>
    </row>
    <row r="58" spans="1:35" x14ac:dyDescent="0.3">
      <c r="G58" s="3">
        <f t="shared" ca="1" si="4"/>
        <v>205</v>
      </c>
      <c r="H58" s="97">
        <f t="shared" ca="1" si="6"/>
        <v>45130</v>
      </c>
      <c r="I58" s="121">
        <f ca="1">HLOOKUP($H$4,'Met Data'!$A$2:$F$368,G58,FALSE)</f>
        <v>9.4250000000000007</v>
      </c>
      <c r="J58" s="121">
        <f ca="1">HLOOKUP($H$4,'Met Data'!$H$2:$M$368,G58,FALSE)*L58</f>
        <v>5.2666666666666604</v>
      </c>
      <c r="K58" s="98">
        <f ca="1">HLOOKUP($H$4,'Met Data'!$O$2:$T$368,G58,FALSE)</f>
        <v>0.87955885998233896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45175</v>
      </c>
      <c r="Q58">
        <f ca="1"/>
        <v>10.239387432210677</v>
      </c>
      <c r="R58">
        <f ca="1"/>
        <v>0.26567951923195698</v>
      </c>
      <c r="S58">
        <f ca="1"/>
        <v>2.9408978768555917E-3</v>
      </c>
      <c r="T58">
        <f ca="1"/>
        <v>0.12053564556988185</v>
      </c>
      <c r="U58">
        <f ca="1"/>
        <v>0</v>
      </c>
      <c r="V58">
        <f ca="1"/>
        <v>8.6561920464231594</v>
      </c>
      <c r="W58">
        <f ca="1"/>
        <v>5.9845278345641599</v>
      </c>
      <c r="X58">
        <f ca="1"/>
        <v>0</v>
      </c>
      <c r="Y58">
        <f ca="1"/>
        <v>1</v>
      </c>
      <c r="Z58">
        <f ca="1"/>
        <v>4.4597669175513772</v>
      </c>
      <c r="AA58">
        <f ca="1"/>
        <v>0</v>
      </c>
      <c r="AB58">
        <f ca="1"/>
        <v>4.4703262444042699E-2</v>
      </c>
      <c r="AD58" s="2">
        <f t="shared" ca="1" si="2"/>
        <v>45175</v>
      </c>
      <c r="AE58">
        <f t="shared" ca="1" si="3"/>
        <v>0</v>
      </c>
      <c r="AG58" s="65">
        <f t="shared" ca="1" si="7"/>
        <v>10.50506695144264</v>
      </c>
      <c r="AH58" s="65">
        <f t="shared" ca="1" si="8"/>
        <v>10.505066951442634</v>
      </c>
      <c r="AI58" s="3">
        <f t="shared" ca="1" si="9"/>
        <v>0</v>
      </c>
    </row>
    <row r="59" spans="1:35" x14ac:dyDescent="0.3">
      <c r="G59" s="3">
        <f t="shared" ca="1" si="4"/>
        <v>206</v>
      </c>
      <c r="H59" s="97">
        <f t="shared" ca="1" si="6"/>
        <v>45131</v>
      </c>
      <c r="I59" s="121">
        <f ca="1">HLOOKUP($H$4,'Met Data'!$A$2:$F$368,G59,FALSE)</f>
        <v>9.4</v>
      </c>
      <c r="J59" s="121">
        <f ca="1">HLOOKUP($H$4,'Met Data'!$H$2:$M$368,G59,FALSE)*L59</f>
        <v>2.0499999999999998</v>
      </c>
      <c r="K59" s="98">
        <f ca="1">HLOOKUP($H$4,'Met Data'!$O$2:$T$368,G59,FALSE)</f>
        <v>0.953998897248024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45176</v>
      </c>
      <c r="Q59">
        <f ca="1"/>
        <v>10.082440377726094</v>
      </c>
      <c r="R59">
        <f ca="1"/>
        <v>0.28534729800313302</v>
      </c>
      <c r="S59">
        <f ca="1"/>
        <v>2.6714932729518292E-3</v>
      </c>
      <c r="T59">
        <f ca="1"/>
        <v>0.12572875024560287</v>
      </c>
      <c r="U59">
        <f ca="1"/>
        <v>0</v>
      </c>
      <c r="V59">
        <f ca="1"/>
        <v>8.9415393444262907</v>
      </c>
      <c r="W59">
        <f ca="1"/>
        <v>6.1818049788626199</v>
      </c>
      <c r="X59">
        <f ca="1"/>
        <v>0</v>
      </c>
      <c r="Y59">
        <f ca="1"/>
        <v>0.99485816430600416</v>
      </c>
      <c r="Z59">
        <f ca="1"/>
        <v>0</v>
      </c>
      <c r="AA59">
        <f ca="1"/>
        <v>0</v>
      </c>
      <c r="AB59">
        <f ca="1"/>
        <v>4.7501312216588501E-2</v>
      </c>
      <c r="AD59" s="2">
        <f t="shared" ca="1" si="2"/>
        <v>45176</v>
      </c>
      <c r="AE59">
        <f t="shared" ca="1" si="3"/>
        <v>0</v>
      </c>
      <c r="AG59" s="65">
        <f t="shared" ca="1" si="7"/>
        <v>10.367787675729232</v>
      </c>
      <c r="AH59" s="65">
        <f t="shared" ca="1" si="8"/>
        <v>10.367787675729227</v>
      </c>
      <c r="AI59" s="3">
        <f t="shared" ca="1" si="9"/>
        <v>0</v>
      </c>
    </row>
    <row r="60" spans="1:35" x14ac:dyDescent="0.3">
      <c r="G60" s="3">
        <f t="shared" ca="1" si="4"/>
        <v>207</v>
      </c>
      <c r="H60" s="97">
        <f t="shared" ca="1" si="6"/>
        <v>45132</v>
      </c>
      <c r="I60" s="121">
        <f ca="1">HLOOKUP($H$4,'Met Data'!$A$2:$F$368,G60,FALSE)</f>
        <v>8.92916666666666</v>
      </c>
      <c r="J60" s="121">
        <f ca="1">HLOOKUP($H$4,'Met Data'!$H$2:$M$368,G60,FALSE)*L60</f>
        <v>1.1499999999999999</v>
      </c>
      <c r="K60" s="98">
        <f ca="1">HLOOKUP($H$4,'Met Data'!$O$2:$T$368,G60,FALSE)</f>
        <v>1.2467505566806001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45177</v>
      </c>
      <c r="Q60">
        <f ca="1"/>
        <v>9.9192898850381681</v>
      </c>
      <c r="R60">
        <f ca="1"/>
        <v>0.28885478029867301</v>
      </c>
      <c r="S60">
        <f ca="1"/>
        <v>2.2676889532167771E-3</v>
      </c>
      <c r="T60">
        <f ca="1"/>
        <v>0.12343659865752406</v>
      </c>
      <c r="U60">
        <f ca="1"/>
        <v>0</v>
      </c>
      <c r="V60">
        <f ca="1"/>
        <v>9.2303941247249703</v>
      </c>
      <c r="W60">
        <f ca="1"/>
        <v>6.3815070491925701</v>
      </c>
      <c r="X60">
        <f ca="1"/>
        <v>0</v>
      </c>
      <c r="Y60">
        <f ca="1"/>
        <v>0.98665107012881248</v>
      </c>
      <c r="Z60">
        <f ca="1"/>
        <v>0</v>
      </c>
      <c r="AA60">
        <f ca="1"/>
        <v>0</v>
      </c>
      <c r="AB60">
        <f ca="1"/>
        <v>5.0408621452839503E-2</v>
      </c>
      <c r="AD60" s="2">
        <f t="shared" ca="1" si="2"/>
        <v>45177</v>
      </c>
      <c r="AE60">
        <f t="shared" ca="1" si="3"/>
        <v>0</v>
      </c>
      <c r="AG60" s="65">
        <f t="shared" ca="1" si="7"/>
        <v>10.208144665336834</v>
      </c>
      <c r="AH60" s="65">
        <f t="shared" ca="1" si="8"/>
        <v>10.208144665336841</v>
      </c>
      <c r="AI60" s="3">
        <f t="shared" ca="1" si="9"/>
        <v>0</v>
      </c>
    </row>
    <row r="61" spans="1:35" x14ac:dyDescent="0.3">
      <c r="G61" s="3">
        <f t="shared" ca="1" si="4"/>
        <v>208</v>
      </c>
      <c r="H61" s="97">
        <f t="shared" ca="1" si="6"/>
        <v>45133</v>
      </c>
      <c r="I61" s="121">
        <f ca="1">HLOOKUP($H$4,'Met Data'!$A$2:$F$368,G61,FALSE)</f>
        <v>8.7624999999999993</v>
      </c>
      <c r="J61" s="121">
        <f ca="1">HLOOKUP($H$4,'Met Data'!$H$2:$M$368,G61,FALSE)*L61</f>
        <v>0.45</v>
      </c>
      <c r="K61" s="98">
        <f ca="1">HLOOKUP($H$4,'Met Data'!$O$2:$T$368,G61,FALSE)</f>
        <v>1.3150067848265401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45178</v>
      </c>
      <c r="Q61">
        <f ca="1"/>
        <v>9.763371632420828</v>
      </c>
      <c r="R61">
        <f ca="1"/>
        <v>0.270025484981538</v>
      </c>
      <c r="S61">
        <f ca="1"/>
        <v>1.8267792931427195E-3</v>
      </c>
      <c r="T61">
        <f ca="1"/>
        <v>0.11228045307105801</v>
      </c>
      <c r="U61">
        <f ca="1"/>
        <v>0</v>
      </c>
      <c r="V61">
        <f ca="1"/>
        <v>9.5004196097064995</v>
      </c>
      <c r="W61">
        <f ca="1"/>
        <v>6.5681913351057304</v>
      </c>
      <c r="X61">
        <f ca="1"/>
        <v>0</v>
      </c>
      <c r="Y61">
        <f ca="1"/>
        <v>1</v>
      </c>
      <c r="Z61">
        <f ca="1"/>
        <v>0.93569269722553372</v>
      </c>
      <c r="AA61">
        <f ca="1"/>
        <v>0</v>
      </c>
      <c r="AB61">
        <f ca="1"/>
        <v>5.3193400617861E-2</v>
      </c>
      <c r="AD61" s="2">
        <f t="shared" ca="1" si="2"/>
        <v>45178</v>
      </c>
      <c r="AE61">
        <f t="shared" ca="1" si="3"/>
        <v>0</v>
      </c>
      <c r="AG61" s="65">
        <f t="shared" ca="1" si="7"/>
        <v>10.03339711740237</v>
      </c>
      <c r="AH61" s="65">
        <f t="shared" ca="1" si="8"/>
        <v>10.033397117402366</v>
      </c>
      <c r="AI61" s="3">
        <f t="shared" ca="1" si="9"/>
        <v>0</v>
      </c>
    </row>
    <row r="62" spans="1:35" x14ac:dyDescent="0.3">
      <c r="G62" s="3">
        <f t="shared" ca="1" si="4"/>
        <v>209</v>
      </c>
      <c r="H62" s="97">
        <f t="shared" ca="1" si="6"/>
        <v>45134</v>
      </c>
      <c r="I62" s="121">
        <f ca="1">HLOOKUP($H$4,'Met Data'!$A$2:$F$368,G62,FALSE)</f>
        <v>9.3333333333333304</v>
      </c>
      <c r="J62" s="121">
        <f ca="1">HLOOKUP($H$4,'Met Data'!$H$2:$M$368,G62,FALSE)*L62</f>
        <v>2.0166666666666599</v>
      </c>
      <c r="K62" s="98">
        <f ca="1">HLOOKUP($H$4,'Met Data'!$O$2:$T$368,G62,FALSE)</f>
        <v>1.11956275252086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45179</v>
      </c>
      <c r="Q62">
        <f ca="1"/>
        <v>9.5914418237900136</v>
      </c>
      <c r="R62">
        <f ca="1"/>
        <v>0.29130406879970699</v>
      </c>
      <c r="S62">
        <f ca="1"/>
        <v>1.6959176377824656E-3</v>
      </c>
      <c r="T62">
        <f ca="1"/>
        <v>0.11767834253110734</v>
      </c>
      <c r="U62">
        <f ca="1"/>
        <v>0</v>
      </c>
      <c r="V62">
        <f ca="1"/>
        <v>9.7917236785062105</v>
      </c>
      <c r="W62">
        <f ca="1"/>
        <v>6.76958674069565</v>
      </c>
      <c r="X62">
        <f ca="1"/>
        <v>0</v>
      </c>
      <c r="Y62">
        <f ca="1"/>
        <v>1</v>
      </c>
      <c r="Z62">
        <f ca="1"/>
        <v>1.7740979388042319</v>
      </c>
      <c r="AA62">
        <f ca="1"/>
        <v>0</v>
      </c>
      <c r="AB62">
        <f ca="1"/>
        <v>5.62689425097447E-2</v>
      </c>
      <c r="AD62" s="2">
        <f t="shared" ca="1" si="2"/>
        <v>45179</v>
      </c>
      <c r="AE62">
        <f t="shared" ca="1" si="3"/>
        <v>0</v>
      </c>
      <c r="AG62" s="65">
        <f t="shared" ca="1" si="7"/>
        <v>9.8827458925897176</v>
      </c>
      <c r="AH62" s="65">
        <f t="shared" ca="1" si="8"/>
        <v>9.8827458925897211</v>
      </c>
      <c r="AI62" s="3">
        <f t="shared" ca="1" si="9"/>
        <v>0</v>
      </c>
    </row>
    <row r="63" spans="1:35" x14ac:dyDescent="0.3">
      <c r="G63" s="3">
        <f t="shared" ca="1" si="4"/>
        <v>210</v>
      </c>
      <c r="H63" s="97">
        <f t="shared" ca="1" si="6"/>
        <v>45135</v>
      </c>
      <c r="I63" s="121">
        <f ca="1">HLOOKUP($H$4,'Met Data'!$A$2:$F$368,G63,FALSE)</f>
        <v>8.9875000000000007</v>
      </c>
      <c r="J63" s="121">
        <f ca="1">HLOOKUP($H$4,'Met Data'!$H$2:$M$368,G63,FALSE)*L63</f>
        <v>1.2666666666666599</v>
      </c>
      <c r="K63" s="98">
        <f ca="1">HLOOKUP($H$4,'Met Data'!$O$2:$T$368,G63,FALSE)</f>
        <v>1.28515382274214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45180</v>
      </c>
      <c r="Q63">
        <f ca="1"/>
        <v>9.4008652838754827</v>
      </c>
      <c r="R63">
        <f ca="1"/>
        <v>0.31633016462554903</v>
      </c>
      <c r="S63">
        <f ca="1"/>
        <v>1.5725158475586875E-3</v>
      </c>
      <c r="T63">
        <f ca="1"/>
        <v>0.12418110886346219</v>
      </c>
      <c r="U63">
        <f ca="1"/>
        <v>0</v>
      </c>
      <c r="V63">
        <f ca="1"/>
        <v>10.108053843131801</v>
      </c>
      <c r="W63">
        <f ca="1"/>
        <v>6.9882841384614602</v>
      </c>
      <c r="X63">
        <f ca="1"/>
        <v>0</v>
      </c>
      <c r="Y63">
        <f ca="1"/>
        <v>1</v>
      </c>
      <c r="Z63">
        <f ca="1"/>
        <v>4.7596296112461971</v>
      </c>
      <c r="AA63">
        <f ca="1"/>
        <v>0</v>
      </c>
      <c r="AB63">
        <f ca="1"/>
        <v>5.9690966623320303E-2</v>
      </c>
      <c r="AD63" s="2">
        <f t="shared" ca="1" si="2"/>
        <v>45180</v>
      </c>
      <c r="AE63">
        <f t="shared" ca="1" si="3"/>
        <v>0</v>
      </c>
      <c r="AG63" s="65">
        <f t="shared" ca="1" si="7"/>
        <v>9.7171954485010339</v>
      </c>
      <c r="AH63" s="65">
        <f t="shared" ca="1" si="8"/>
        <v>9.7171954485010321</v>
      </c>
      <c r="AI63" s="3">
        <f t="shared" ca="1" si="9"/>
        <v>0</v>
      </c>
    </row>
    <row r="64" spans="1:35" x14ac:dyDescent="0.3">
      <c r="G64" s="3">
        <f t="shared" ca="1" si="4"/>
        <v>211</v>
      </c>
      <c r="H64" s="97">
        <f t="shared" ca="1" si="6"/>
        <v>45136</v>
      </c>
      <c r="I64" s="121">
        <f ca="1">HLOOKUP($H$4,'Met Data'!$A$2:$F$368,G64,FALSE)</f>
        <v>9.0374999999999996</v>
      </c>
      <c r="J64" s="121">
        <f ca="1">HLOOKUP($H$4,'Met Data'!$H$2:$M$368,G64,FALSE)*L64</f>
        <v>2.7999999999999901</v>
      </c>
      <c r="K64" s="98">
        <f ca="1">HLOOKUP($H$4,'Met Data'!$O$2:$T$368,G64,FALSE)</f>
        <v>1.1959337492079301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45181</v>
      </c>
      <c r="Q64">
        <f ca="1"/>
        <v>9.204168226963084</v>
      </c>
      <c r="R64">
        <f ca="1"/>
        <v>0.32000066629934298</v>
      </c>
      <c r="S64">
        <f ca="1"/>
        <v>1.3475369164949254E-3</v>
      </c>
      <c r="T64">
        <f ca="1"/>
        <v>0.12195607247044679</v>
      </c>
      <c r="U64">
        <f ca="1"/>
        <v>0</v>
      </c>
      <c r="V64">
        <f ca="1"/>
        <v>10.428054509431099</v>
      </c>
      <c r="W64">
        <f ca="1"/>
        <v>7.2095191670140997</v>
      </c>
      <c r="X64">
        <f ca="1"/>
        <v>0</v>
      </c>
      <c r="Y64">
        <f ca="1"/>
        <v>1</v>
      </c>
      <c r="Z64">
        <f ca="1"/>
        <v>9.4680063959359018E-2</v>
      </c>
      <c r="AA64">
        <f ca="1"/>
        <v>0</v>
      </c>
      <c r="AB64">
        <f ca="1"/>
        <v>6.3238044720393599E-2</v>
      </c>
      <c r="AD64" s="2">
        <f t="shared" ca="1" si="2"/>
        <v>45181</v>
      </c>
      <c r="AE64">
        <f t="shared" ca="1" si="3"/>
        <v>0</v>
      </c>
      <c r="AG64" s="65">
        <f t="shared" ca="1" si="7"/>
        <v>9.5241688932624236</v>
      </c>
      <c r="AH64" s="65">
        <f t="shared" ca="1" si="8"/>
        <v>9.5241688932624271</v>
      </c>
      <c r="AI64" s="3">
        <f t="shared" ca="1" si="9"/>
        <v>0</v>
      </c>
    </row>
    <row r="65" spans="7:35" x14ac:dyDescent="0.3">
      <c r="G65" s="3">
        <f t="shared" ca="1" si="4"/>
        <v>212</v>
      </c>
      <c r="H65" s="97">
        <f t="shared" ca="1" si="6"/>
        <v>45137</v>
      </c>
      <c r="I65" s="121">
        <f ca="1">HLOOKUP($H$4,'Met Data'!$A$2:$F$368,G65,FALSE)</f>
        <v>8.17916666666666</v>
      </c>
      <c r="J65" s="121">
        <f ca="1">HLOOKUP($H$4,'Met Data'!$H$2:$M$368,G65,FALSE)*L65</f>
        <v>1.55</v>
      </c>
      <c r="K65" s="98">
        <f ca="1">HLOOKUP($H$4,'Met Data'!$O$2:$T$368,G65,FALSE)</f>
        <v>1.3658842309244701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45182</v>
      </c>
      <c r="Q65">
        <f ca="1"/>
        <v>8.9828051189711076</v>
      </c>
      <c r="R65">
        <f ca="1"/>
        <v>0.35378753889699499</v>
      </c>
      <c r="S65">
        <f ca="1"/>
        <v>1.2604677381146331E-3</v>
      </c>
      <c r="T65">
        <f ca="1"/>
        <v>0.13116396316690532</v>
      </c>
      <c r="U65">
        <f ca="1"/>
        <v>0</v>
      </c>
      <c r="V65">
        <f ca="1"/>
        <v>10.7818420483281</v>
      </c>
      <c r="W65">
        <f ca="1"/>
        <v>7.4541130210663402</v>
      </c>
      <c r="X65">
        <f ca="1"/>
        <v>0</v>
      </c>
      <c r="Y65">
        <f ca="1"/>
        <v>0.99685507499290116</v>
      </c>
      <c r="Z65">
        <f ca="1"/>
        <v>0</v>
      </c>
      <c r="AA65">
        <f ca="1"/>
        <v>0</v>
      </c>
      <c r="AB65">
        <f ca="1"/>
        <v>6.7257251337578997E-2</v>
      </c>
      <c r="AD65" s="2">
        <f t="shared" ca="1" si="2"/>
        <v>45182</v>
      </c>
      <c r="AE65">
        <f t="shared" ca="1" si="3"/>
        <v>0</v>
      </c>
      <c r="AG65" s="65">
        <f t="shared" ca="1" si="7"/>
        <v>9.3365926578681044</v>
      </c>
      <c r="AH65" s="65">
        <f t="shared" ca="1" si="8"/>
        <v>9.3365926578681027</v>
      </c>
      <c r="AI65" s="3">
        <f t="shared" ca="1" si="9"/>
        <v>0</v>
      </c>
    </row>
    <row r="66" spans="7:35" x14ac:dyDescent="0.3">
      <c r="G66" s="3">
        <f t="shared" ca="1" si="4"/>
        <v>213</v>
      </c>
      <c r="H66" s="97">
        <f t="shared" ca="1" si="6"/>
        <v>45138</v>
      </c>
      <c r="I66" s="121">
        <f ca="1">HLOOKUP($H$4,'Met Data'!$A$2:$F$368,G66,FALSE)</f>
        <v>8.75</v>
      </c>
      <c r="J66" s="121">
        <f ca="1">HLOOKUP($H$4,'Met Data'!$H$2:$M$368,G66,FALSE)*L66</f>
        <v>2.44999999999999</v>
      </c>
      <c r="K66" s="98">
        <f ca="1">HLOOKUP($H$4,'Met Data'!$O$2:$T$368,G66,FALSE)</f>
        <v>0.89818915942500899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45183</v>
      </c>
      <c r="Q66">
        <f ca="1"/>
        <v>8.752592000957172</v>
      </c>
      <c r="R66">
        <f ca="1"/>
        <v>0.361024164741792</v>
      </c>
      <c r="S66">
        <f ca="1"/>
        <v>1.0833982939727281E-3</v>
      </c>
      <c r="T66">
        <f ca="1"/>
        <v>0.12972764843388243</v>
      </c>
      <c r="U66">
        <f ca="1"/>
        <v>0</v>
      </c>
      <c r="V66">
        <f ca="1"/>
        <v>11.142866213069899</v>
      </c>
      <c r="W66">
        <f ca="1"/>
        <v>7.7037099744680697</v>
      </c>
      <c r="X66">
        <f ca="1"/>
        <v>0</v>
      </c>
      <c r="Y66">
        <f ca="1"/>
        <v>1</v>
      </c>
      <c r="Z66">
        <f ca="1"/>
        <v>0.39250935582433044</v>
      </c>
      <c r="AA66">
        <f ca="1"/>
        <v>0</v>
      </c>
      <c r="AB66">
        <f ca="1"/>
        <v>7.1461688180295496E-2</v>
      </c>
      <c r="AD66" s="2">
        <f t="shared" ca="1" si="2"/>
        <v>45183</v>
      </c>
      <c r="AE66">
        <f t="shared" ca="1" si="3"/>
        <v>0</v>
      </c>
      <c r="AG66" s="65">
        <f t="shared" ca="1" si="7"/>
        <v>9.1136161656989625</v>
      </c>
      <c r="AH66" s="65">
        <f t="shared" ca="1" si="8"/>
        <v>9.1136161656989643</v>
      </c>
      <c r="AI66" s="3">
        <f t="shared" ca="1" si="9"/>
        <v>0</v>
      </c>
    </row>
    <row r="67" spans="7:35" x14ac:dyDescent="0.3">
      <c r="G67" s="3">
        <f t="shared" ca="1" si="4"/>
        <v>214</v>
      </c>
      <c r="H67" s="97">
        <f t="shared" ca="1" si="6"/>
        <v>45139</v>
      </c>
      <c r="I67" s="121">
        <f ca="1">HLOOKUP($H$4,'Met Data'!$A$2:$F$368,G67,FALSE)</f>
        <v>10.3375</v>
      </c>
      <c r="J67" s="121">
        <f ca="1">HLOOKUP($H$4,'Met Data'!$H$2:$M$368,G67,FALSE)*L67</f>
        <v>5.2666666666666604</v>
      </c>
      <c r="K67" s="98">
        <f ca="1">HLOOKUP($H$4,'Met Data'!$O$2:$T$368,G67,FALSE)</f>
        <v>0.94454335980482496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45184</v>
      </c>
      <c r="Q67">
        <f ca="1"/>
        <v>8.5052444741463944</v>
      </c>
      <c r="R67">
        <f ca="1"/>
        <v>0.38138272200125001</v>
      </c>
      <c r="S67">
        <f ca="1"/>
        <v>9.5796236280070108E-4</v>
      </c>
      <c r="T67">
        <f ca="1"/>
        <v>0.1330772328276684</v>
      </c>
      <c r="U67">
        <f ca="1"/>
        <v>0</v>
      </c>
      <c r="V67">
        <f ca="1"/>
        <v>11.5242489350711</v>
      </c>
      <c r="W67">
        <f ca="1"/>
        <v>7.96738197980227</v>
      </c>
      <c r="X67">
        <f ca="1"/>
        <v>0</v>
      </c>
      <c r="Y67">
        <f ca="1"/>
        <v>0.99579990684845654</v>
      </c>
      <c r="Z67">
        <f ca="1"/>
        <v>0</v>
      </c>
      <c r="AA67">
        <f ca="1"/>
        <v>0</v>
      </c>
      <c r="AB67">
        <f ca="1"/>
        <v>7.6013091481923006E-2</v>
      </c>
      <c r="AD67" s="2">
        <f t="shared" ca="1" si="2"/>
        <v>45184</v>
      </c>
      <c r="AE67">
        <f t="shared" ca="1" si="3"/>
        <v>0</v>
      </c>
      <c r="AG67" s="65">
        <f t="shared" ca="1" si="7"/>
        <v>8.8866271961476411</v>
      </c>
      <c r="AH67" s="65">
        <f t="shared" ca="1" si="8"/>
        <v>8.8866271961476446</v>
      </c>
      <c r="AI67" s="3">
        <f t="shared" ca="1" si="9"/>
        <v>0</v>
      </c>
    </row>
    <row r="68" spans="7:35" x14ac:dyDescent="0.3">
      <c r="G68" s="3">
        <f t="shared" ca="1" si="4"/>
        <v>215</v>
      </c>
      <c r="H68" s="97">
        <f t="shared" ca="1" si="6"/>
        <v>45140</v>
      </c>
      <c r="I68" s="121">
        <f ca="1">HLOOKUP($H$4,'Met Data'!$A$2:$F$368,G68,FALSE)</f>
        <v>10.595454545454499</v>
      </c>
      <c r="J68" s="121">
        <f ca="1">HLOOKUP($H$4,'Met Data'!$H$2:$M$368,G68,FALSE)*L68</f>
        <v>4.4166666666666599</v>
      </c>
      <c r="K68" s="98">
        <f ca="1">HLOOKUP($H$4,'Met Data'!$O$2:$T$368,G68,FALSE)</f>
        <v>1.0832642567801201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45185</v>
      </c>
      <c r="Q68">
        <f ca="1"/>
        <v>8.2475739814570446</v>
      </c>
      <c r="R68">
        <f ca="1"/>
        <v>0.39058856180353302</v>
      </c>
      <c r="S68">
        <f ca="1"/>
        <v>8.2550125287885238E-4</v>
      </c>
      <c r="T68">
        <f ca="1"/>
        <v>0.13209256786130394</v>
      </c>
      <c r="U68">
        <f ca="1"/>
        <v>0</v>
      </c>
      <c r="V68">
        <f ca="1"/>
        <v>11.9148374968747</v>
      </c>
      <c r="W68">
        <f ca="1"/>
        <v>8.2374185163578009</v>
      </c>
      <c r="X68">
        <f ca="1"/>
        <v>0</v>
      </c>
      <c r="Y68">
        <f ca="1"/>
        <v>1</v>
      </c>
      <c r="Z68">
        <f ca="1"/>
        <v>0.21520494497633536</v>
      </c>
      <c r="AA68">
        <f ca="1"/>
        <v>0</v>
      </c>
      <c r="AB68">
        <f ca="1"/>
        <v>8.0787818404615699E-2</v>
      </c>
      <c r="AD68" s="2">
        <f t="shared" ca="1" si="2"/>
        <v>45185</v>
      </c>
      <c r="AE68">
        <f t="shared" ca="1" si="3"/>
        <v>0</v>
      </c>
      <c r="AG68" s="65">
        <f t="shared" ca="1" si="7"/>
        <v>8.6381625432605773</v>
      </c>
      <c r="AH68" s="65">
        <f t="shared" ca="1" si="8"/>
        <v>8.6381625432605773</v>
      </c>
      <c r="AI68" s="3">
        <f t="shared" ca="1" si="9"/>
        <v>0</v>
      </c>
    </row>
    <row r="69" spans="7:35" x14ac:dyDescent="0.3">
      <c r="G69" s="3">
        <f t="shared" ca="1" si="4"/>
        <v>216</v>
      </c>
      <c r="H69" s="97">
        <f t="shared" ca="1" si="6"/>
        <v>45141</v>
      </c>
      <c r="I69" s="121">
        <f ca="1">HLOOKUP($H$4,'Met Data'!$A$2:$F$368,G69,FALSE)</f>
        <v>10.1041666666666</v>
      </c>
      <c r="J69" s="121">
        <f ca="1">HLOOKUP($H$4,'Met Data'!$H$2:$M$368,G69,FALSE)*L69</f>
        <v>2.0833333333333299</v>
      </c>
      <c r="K69" s="98">
        <f ca="1">HLOOKUP($H$4,'Met Data'!$O$2:$T$368,G69,FALSE)</f>
        <v>1.39183263100002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45186</v>
      </c>
      <c r="Q69">
        <f ca="1"/>
        <v>7.9560870932060155</v>
      </c>
      <c r="R69">
        <f ca="1"/>
        <v>0.43608969465681102</v>
      </c>
      <c r="S69">
        <f ca="1"/>
        <v>7.71843519135228E-4</v>
      </c>
      <c r="T69">
        <f ca="1"/>
        <v>0.14383096288664848</v>
      </c>
      <c r="U69">
        <f ca="1"/>
        <v>0</v>
      </c>
      <c r="V69">
        <f ca="1"/>
        <v>12.3509271915315</v>
      </c>
      <c r="W69">
        <f ca="1"/>
        <v>8.5389126262439898</v>
      </c>
      <c r="X69">
        <f ca="1"/>
        <v>0</v>
      </c>
      <c r="Y69">
        <f ca="1"/>
        <v>1</v>
      </c>
      <c r="Z69">
        <f ca="1"/>
        <v>2.5617247807118702</v>
      </c>
      <c r="AA69">
        <f ca="1"/>
        <v>0</v>
      </c>
      <c r="AB69">
        <f ca="1"/>
        <v>8.62498188723307E-2</v>
      </c>
      <c r="AD69" s="2">
        <f t="shared" ca="1" si="2"/>
        <v>45186</v>
      </c>
      <c r="AE69">
        <f t="shared" ca="1" si="3"/>
        <v>0</v>
      </c>
      <c r="AG69" s="65">
        <f t="shared" ca="1" si="7"/>
        <v>8.3921767878628284</v>
      </c>
      <c r="AH69" s="65">
        <f t="shared" ca="1" si="8"/>
        <v>8.3921767878628266</v>
      </c>
      <c r="AI69" s="3">
        <f t="shared" ca="1" si="9"/>
        <v>0</v>
      </c>
    </row>
    <row r="70" spans="7:35" x14ac:dyDescent="0.3">
      <c r="G70" s="3">
        <f t="shared" ca="1" si="4"/>
        <v>217</v>
      </c>
      <c r="H70" s="97">
        <f t="shared" ca="1" si="6"/>
        <v>45142</v>
      </c>
      <c r="I70" s="121">
        <f ca="1">HLOOKUP($H$4,'Met Data'!$A$2:$F$368,G70,FALSE)</f>
        <v>10.1833333333333</v>
      </c>
      <c r="J70" s="121">
        <f ca="1">HLOOKUP($H$4,'Met Data'!$H$2:$M$368,G70,FALSE)*L70</f>
        <v>5.9833333333333298</v>
      </c>
      <c r="K70" s="98">
        <f ca="1">HLOOKUP($H$4,'Met Data'!$O$2:$T$368,G70,FALSE)</f>
        <v>1.0301492818772899</v>
      </c>
      <c r="L70">
        <f t="shared" ref="L70:L133" ca="1" si="10">IF(H70&lt;$B$31,$J$3,$J$4)</f>
        <v>1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45187</v>
      </c>
      <c r="Q70">
        <f ca="1"/>
        <v>7.6711866478020028</v>
      </c>
      <c r="R70">
        <f ca="1"/>
        <v>0.41833031787182601</v>
      </c>
      <c r="S70">
        <f ca="1"/>
        <v>6.122074770487329E-4</v>
      </c>
      <c r="T70">
        <f ca="1"/>
        <v>0.13281766499077044</v>
      </c>
      <c r="U70">
        <f ca="1"/>
        <v>0</v>
      </c>
      <c r="V70">
        <f ca="1"/>
        <v>12.7692575094033</v>
      </c>
      <c r="W70">
        <f ca="1"/>
        <v>8.8281286484763601</v>
      </c>
      <c r="X70">
        <f ca="1"/>
        <v>0</v>
      </c>
      <c r="Y70">
        <f ca="1"/>
        <v>1</v>
      </c>
      <c r="Z70">
        <f ca="1"/>
        <v>1.9258837330422409</v>
      </c>
      <c r="AA70">
        <f ca="1"/>
        <v>0</v>
      </c>
      <c r="AB70">
        <f ca="1"/>
        <v>9.1614518146371296E-2</v>
      </c>
      <c r="AD70" s="2">
        <f t="shared" ref="AD70:AD133" ca="1" si="12">IFERROR(P70,$AD$4)</f>
        <v>45187</v>
      </c>
      <c r="AE70">
        <f t="shared" ref="AE70:AE133" ca="1" si="13">IFERROR(U70,0)</f>
        <v>0</v>
      </c>
      <c r="AG70" s="65">
        <f t="shared" ca="1" si="7"/>
        <v>8.0895169656738357</v>
      </c>
      <c r="AH70" s="65">
        <f t="shared" ca="1" si="8"/>
        <v>8.0895169656738286</v>
      </c>
      <c r="AI70" s="3">
        <f t="shared" ca="1" si="9"/>
        <v>0</v>
      </c>
    </row>
    <row r="71" spans="7:35" x14ac:dyDescent="0.3">
      <c r="G71" s="3">
        <f t="shared" ref="G71:G134" ca="1" si="14">H71-DATE(YEAR(H71),1,0)+1</f>
        <v>218</v>
      </c>
      <c r="H71" s="97">
        <f t="shared" ca="1" si="6"/>
        <v>45143</v>
      </c>
      <c r="I71" s="121">
        <f ca="1">HLOOKUP($H$4,'Met Data'!$A$2:$F$368,G71,FALSE)</f>
        <v>9.7708333333333304</v>
      </c>
      <c r="J71" s="121">
        <f ca="1">HLOOKUP($H$4,'Met Data'!$H$2:$M$368,G71,FALSE)*L71</f>
        <v>2.9833333333333298</v>
      </c>
      <c r="K71" s="98">
        <f ca="1">HLOOKUP($H$4,'Met Data'!$O$2:$T$368,G71,FALSE)</f>
        <v>1.3432284560273799</v>
      </c>
      <c r="L71">
        <f t="shared" ca="1" si="10"/>
        <v>1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45188</v>
      </c>
      <c r="Q71">
        <f ca="1"/>
        <v>7.3956024092075623</v>
      </c>
      <c r="R71">
        <f ca="1"/>
        <v>0.39862057876164603</v>
      </c>
      <c r="S71">
        <f ca="1"/>
        <v>4.894153332888762E-4</v>
      </c>
      <c r="T71">
        <f ca="1"/>
        <v>0.12254692483391046</v>
      </c>
      <c r="U71">
        <f ca="1"/>
        <v>0</v>
      </c>
      <c r="V71">
        <f ca="1"/>
        <v>13.167878088165001</v>
      </c>
      <c r="W71">
        <f ca="1"/>
        <v>9.1037181844103401</v>
      </c>
      <c r="X71">
        <f ca="1"/>
        <v>0</v>
      </c>
      <c r="Y71">
        <f ca="1"/>
        <v>1</v>
      </c>
      <c r="Z71">
        <f ca="1"/>
        <v>6.7945774165971216</v>
      </c>
      <c r="AA71">
        <f ca="1"/>
        <v>0</v>
      </c>
      <c r="AB71">
        <f ca="1"/>
        <v>9.6835998880636306E-2</v>
      </c>
      <c r="AD71" s="2">
        <f t="shared" ca="1" si="12"/>
        <v>45188</v>
      </c>
      <c r="AE71">
        <f t="shared" ca="1" si="13"/>
        <v>0</v>
      </c>
      <c r="AG71" s="65">
        <f t="shared" ca="1" si="7"/>
        <v>7.794222987969202</v>
      </c>
      <c r="AH71" s="65">
        <f t="shared" ca="1" si="8"/>
        <v>7.7942229879692082</v>
      </c>
      <c r="AI71" s="3">
        <f t="shared" ca="1" si="9"/>
        <v>0</v>
      </c>
    </row>
    <row r="72" spans="7:35" x14ac:dyDescent="0.3">
      <c r="G72" s="3">
        <f t="shared" ca="1" si="14"/>
        <v>219</v>
      </c>
      <c r="H72" s="97">
        <f t="shared" ref="H72:H135" ca="1" si="16">H71+1</f>
        <v>45144</v>
      </c>
      <c r="I72" s="121">
        <f ca="1">HLOOKUP($H$4,'Met Data'!$A$2:$F$368,G72,FALSE)</f>
        <v>9.8791666666666593</v>
      </c>
      <c r="J72" s="121">
        <f ca="1">HLOOKUP($H$4,'Met Data'!$H$2:$M$368,G72,FALSE)*L72</f>
        <v>4.4833333333333298</v>
      </c>
      <c r="K72" s="98">
        <f ca="1">HLOOKUP($H$4,'Met Data'!$O$2:$T$368,G72,FALSE)</f>
        <v>1.0259838566514501</v>
      </c>
      <c r="L72">
        <f t="shared" ca="1" si="10"/>
        <v>1</v>
      </c>
      <c r="N72" t="b">
        <f t="shared" ca="1" si="15"/>
        <v>1</v>
      </c>
      <c r="O72" t="b">
        <f t="shared" ca="1" si="11"/>
        <v>1</v>
      </c>
      <c r="P72" s="2">
        <f ca="1"/>
        <v>45189</v>
      </c>
      <c r="Q72">
        <f ca="1"/>
        <v>7.1119190583457907</v>
      </c>
      <c r="R72">
        <f ca="1"/>
        <v>0.40527740811345903</v>
      </c>
      <c r="S72">
        <f ca="1"/>
        <v>4.2297392090672213E-4</v>
      </c>
      <c r="T72">
        <f ca="1"/>
        <v>0.12117108333077703</v>
      </c>
      <c r="U72">
        <f ca="1"/>
        <v>0</v>
      </c>
      <c r="V72">
        <f ca="1"/>
        <v>13.5731554962784</v>
      </c>
      <c r="W72">
        <f ca="1"/>
        <v>9.3839099727356992</v>
      </c>
      <c r="X72">
        <f ca="1"/>
        <v>0</v>
      </c>
      <c r="Y72">
        <f ca="1"/>
        <v>1</v>
      </c>
      <c r="Z72">
        <f ca="1"/>
        <v>1.7638169905054895</v>
      </c>
      <c r="AA72">
        <f ca="1"/>
        <v>0</v>
      </c>
      <c r="AB72">
        <f ca="1"/>
        <v>0.10224984437189399</v>
      </c>
      <c r="AD72" s="2">
        <f t="shared" ca="1" si="12"/>
        <v>45189</v>
      </c>
      <c r="AE72">
        <f t="shared" ca="1" si="13"/>
        <v>0</v>
      </c>
      <c r="AG72" s="65">
        <f t="shared" ref="AG72:AG135" ca="1" si="17">Q71+S72+T72+U72</f>
        <v>7.5171964664592466</v>
      </c>
      <c r="AH72" s="65">
        <f t="shared" ref="AH72:AH135" ca="1" si="18">Q72+R72+X72</f>
        <v>7.5171964664592501</v>
      </c>
      <c r="AI72" s="3">
        <f t="shared" ref="AI72:AI135" ca="1" si="19">AH72-AG72</f>
        <v>0</v>
      </c>
    </row>
    <row r="73" spans="7:35" x14ac:dyDescent="0.3">
      <c r="G73" s="3">
        <f t="shared" ca="1" si="14"/>
        <v>220</v>
      </c>
      <c r="H73" s="97">
        <f t="shared" ca="1" si="16"/>
        <v>45145</v>
      </c>
      <c r="I73" s="121">
        <f ca="1">HLOOKUP($H$4,'Met Data'!$A$2:$F$368,G73,FALSE)</f>
        <v>9.9874999999999901</v>
      </c>
      <c r="J73" s="121">
        <f ca="1">HLOOKUP($H$4,'Met Data'!$H$2:$M$368,G73,FALSE)*L73</f>
        <v>2.2000000000000002</v>
      </c>
      <c r="K73" s="98">
        <f ca="1">HLOOKUP($H$4,'Met Data'!$O$2:$T$368,G73,FALSE)</f>
        <v>1.1029484647982599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45190</v>
      </c>
      <c r="Q73">
        <f ca="1"/>
        <v>6.8325245594595998</v>
      </c>
      <c r="R73">
        <f ca="1"/>
        <v>0.39470378578010401</v>
      </c>
      <c r="S73">
        <f ca="1"/>
        <v>3.5009744357931483E-4</v>
      </c>
      <c r="T73">
        <f ca="1"/>
        <v>0.11495918945033315</v>
      </c>
      <c r="U73">
        <f ca="1"/>
        <v>0</v>
      </c>
      <c r="V73">
        <f ca="1"/>
        <v>13.9678592820585</v>
      </c>
      <c r="W73">
        <f ca="1"/>
        <v>9.6567916024108307</v>
      </c>
      <c r="X73">
        <f ca="1"/>
        <v>0</v>
      </c>
      <c r="Y73">
        <f ca="1"/>
        <v>0.99716819626085473</v>
      </c>
      <c r="Z73">
        <f ca="1"/>
        <v>0</v>
      </c>
      <c r="AA73">
        <f ca="1"/>
        <v>0</v>
      </c>
      <c r="AB73">
        <f ca="1"/>
        <v>0.107620115653545</v>
      </c>
      <c r="AD73" s="2">
        <f t="shared" ca="1" si="12"/>
        <v>45190</v>
      </c>
      <c r="AE73">
        <f t="shared" ca="1" si="13"/>
        <v>0</v>
      </c>
      <c r="AG73" s="65">
        <f t="shared" ca="1" si="17"/>
        <v>7.2272283452397037</v>
      </c>
      <c r="AH73" s="65">
        <f t="shared" ca="1" si="18"/>
        <v>7.2272283452397037</v>
      </c>
      <c r="AI73" s="3">
        <f t="shared" ca="1" si="19"/>
        <v>0</v>
      </c>
    </row>
    <row r="74" spans="7:35" x14ac:dyDescent="0.3">
      <c r="G74" s="3">
        <f t="shared" ca="1" si="14"/>
        <v>221</v>
      </c>
      <c r="H74" s="97">
        <f t="shared" ca="1" si="16"/>
        <v>45146</v>
      </c>
      <c r="I74" s="121">
        <f ca="1">HLOOKUP($H$4,'Met Data'!$A$2:$F$368,G74,FALSE)</f>
        <v>9.4625000000000004</v>
      </c>
      <c r="J74" s="121">
        <f ca="1">HLOOKUP($H$4,'Met Data'!$H$2:$M$368,G74,FALSE)*L74</f>
        <v>3.61666666666666</v>
      </c>
      <c r="K74" s="98">
        <f ca="1">HLOOKUP($H$4,'Met Data'!$O$2:$T$368,G74,FALSE)</f>
        <v>1.10790183862933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45191</v>
      </c>
      <c r="Q74">
        <f ca="1"/>
        <v>6.5334622949518533</v>
      </c>
      <c r="R74">
        <f ca="1"/>
        <v>0.41787883619046401</v>
      </c>
      <c r="S74">
        <f ca="1"/>
        <v>3.1940496696300925E-4</v>
      </c>
      <c r="T74">
        <f ca="1"/>
        <v>0.11849716671574995</v>
      </c>
      <c r="U74">
        <f ca="1"/>
        <v>0</v>
      </c>
      <c r="V74">
        <f ca="1"/>
        <v>14.385738118249</v>
      </c>
      <c r="W74">
        <f ca="1"/>
        <v>9.9456954891597906</v>
      </c>
      <c r="X74">
        <f ca="1"/>
        <v>0</v>
      </c>
      <c r="Y74">
        <f ca="1"/>
        <v>1</v>
      </c>
      <c r="Z74">
        <f ca="1"/>
        <v>1.2852060010159505</v>
      </c>
      <c r="AA74">
        <f ca="1"/>
        <v>0</v>
      </c>
      <c r="AB74">
        <f ca="1"/>
        <v>0.113406046533025</v>
      </c>
      <c r="AD74" s="2">
        <f t="shared" ca="1" si="12"/>
        <v>45191</v>
      </c>
      <c r="AE74">
        <f t="shared" ca="1" si="13"/>
        <v>0</v>
      </c>
      <c r="AG74" s="65">
        <f t="shared" ca="1" si="17"/>
        <v>6.9513411311423132</v>
      </c>
      <c r="AH74" s="65">
        <f t="shared" ca="1" si="18"/>
        <v>6.9513411311423177</v>
      </c>
      <c r="AI74" s="3">
        <f t="shared" ca="1" si="19"/>
        <v>0</v>
      </c>
    </row>
    <row r="75" spans="7:35" x14ac:dyDescent="0.3">
      <c r="G75" s="3">
        <f t="shared" ca="1" si="14"/>
        <v>222</v>
      </c>
      <c r="H75" s="97">
        <f t="shared" ca="1" si="16"/>
        <v>45147</v>
      </c>
      <c r="I75" s="121">
        <f ca="1">HLOOKUP($H$4,'Met Data'!$A$2:$F$368,G75,FALSE)</f>
        <v>8.42916666666666</v>
      </c>
      <c r="J75" s="121">
        <f ca="1">HLOOKUP($H$4,'Met Data'!$H$2:$M$368,G75,FALSE)*L75</f>
        <v>3.4</v>
      </c>
      <c r="K75" s="98">
        <f ca="1">HLOOKUP($H$4,'Met Data'!$O$2:$T$368,G75,FALSE)</f>
        <v>1.32402542664303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45192</v>
      </c>
      <c r="Q75">
        <f ca="1"/>
        <v>6.1982731605465631</v>
      </c>
      <c r="R75">
        <f ca="1"/>
        <v>0.46353856677702299</v>
      </c>
      <c r="S75">
        <f ca="1"/>
        <v>3.0181658734336914E-4</v>
      </c>
      <c r="T75">
        <f ca="1"/>
        <v>0.12804761578438767</v>
      </c>
      <c r="U75">
        <f ca="1"/>
        <v>0</v>
      </c>
      <c r="V75">
        <f ca="1"/>
        <v>14.849276685026</v>
      </c>
      <c r="W75">
        <f ca="1"/>
        <v>10.266166597054999</v>
      </c>
      <c r="X75">
        <f ca="1"/>
        <v>0</v>
      </c>
      <c r="Y75">
        <f ca="1"/>
        <v>0.9971725500268166</v>
      </c>
      <c r="Z75">
        <f ca="1"/>
        <v>0</v>
      </c>
      <c r="AA75">
        <f ca="1"/>
        <v>0</v>
      </c>
      <c r="AB75">
        <f ca="1"/>
        <v>0.11993895408461799</v>
      </c>
      <c r="AD75" s="2">
        <f t="shared" ca="1" si="12"/>
        <v>45192</v>
      </c>
      <c r="AE75">
        <f t="shared" ca="1" si="13"/>
        <v>0</v>
      </c>
      <c r="AG75" s="65">
        <f t="shared" ca="1" si="17"/>
        <v>6.6618117273235837</v>
      </c>
      <c r="AH75" s="65">
        <f t="shared" ca="1" si="18"/>
        <v>6.6618117273235864</v>
      </c>
      <c r="AI75" s="3">
        <f t="shared" ca="1" si="19"/>
        <v>0</v>
      </c>
    </row>
    <row r="76" spans="7:35" x14ac:dyDescent="0.3">
      <c r="G76" s="3">
        <f t="shared" ca="1" si="14"/>
        <v>223</v>
      </c>
      <c r="H76" s="97">
        <f t="shared" ca="1" si="16"/>
        <v>45148</v>
      </c>
      <c r="I76" s="121">
        <f ca="1">HLOOKUP($H$4,'Met Data'!$A$2:$F$368,G76,FALSE)</f>
        <v>7.8416666666666597</v>
      </c>
      <c r="J76" s="121">
        <f ca="1">HLOOKUP($H$4,'Met Data'!$H$2:$M$368,G76,FALSE)*L76</f>
        <v>1.38333333333333</v>
      </c>
      <c r="K76" s="98">
        <f ca="1">HLOOKUP($H$4,'Met Data'!$O$2:$T$368,G76,FALSE)</f>
        <v>1.2882274194230801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45193</v>
      </c>
      <c r="Q76">
        <f ca="1"/>
        <v>5.8280437862033949</v>
      </c>
      <c r="R76">
        <f ca="1"/>
        <v>0.507042132167562</v>
      </c>
      <c r="S76">
        <f ca="1"/>
        <v>2.7936020356157036E-4</v>
      </c>
      <c r="T76">
        <f ca="1"/>
        <v>0.13653339762082931</v>
      </c>
      <c r="U76">
        <f ca="1"/>
        <v>0</v>
      </c>
      <c r="V76">
        <f ca="1"/>
        <v>15.3563188171936</v>
      </c>
      <c r="W76">
        <f ca="1"/>
        <v>10.616714243985699</v>
      </c>
      <c r="X76">
        <f ca="1"/>
        <v>0</v>
      </c>
      <c r="Y76">
        <f ca="1"/>
        <v>1</v>
      </c>
      <c r="Z76">
        <f ca="1"/>
        <v>3.5059976573639489</v>
      </c>
      <c r="AA76">
        <f ca="1"/>
        <v>0</v>
      </c>
      <c r="AB76">
        <f ca="1"/>
        <v>0.127215364727256</v>
      </c>
      <c r="AD76" s="2">
        <f t="shared" ca="1" si="12"/>
        <v>45193</v>
      </c>
      <c r="AE76">
        <f t="shared" ca="1" si="13"/>
        <v>0</v>
      </c>
      <c r="AG76" s="65">
        <f t="shared" ca="1" si="17"/>
        <v>6.3350859183709547</v>
      </c>
      <c r="AH76" s="65">
        <f t="shared" ca="1" si="18"/>
        <v>6.3350859183709574</v>
      </c>
      <c r="AI76" s="3">
        <f t="shared" ca="1" si="19"/>
        <v>0</v>
      </c>
    </row>
    <row r="77" spans="7:35" x14ac:dyDescent="0.3">
      <c r="G77" s="3">
        <f t="shared" ca="1" si="14"/>
        <v>224</v>
      </c>
      <c r="H77" s="97">
        <f t="shared" ca="1" si="16"/>
        <v>45149</v>
      </c>
      <c r="I77" s="121">
        <f ca="1">HLOOKUP($H$4,'Met Data'!$A$2:$F$368,G77,FALSE)</f>
        <v>8.7916666666666607</v>
      </c>
      <c r="J77" s="121">
        <f ca="1">HLOOKUP($H$4,'Met Data'!$H$2:$M$368,G77,FALSE)*L77</f>
        <v>4.7</v>
      </c>
      <c r="K77" s="98">
        <f ca="1">HLOOKUP($H$4,'Met Data'!$O$2:$T$368,G77,FALSE)</f>
        <v>1.2700812995642401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45194</v>
      </c>
      <c r="Q77">
        <f ca="1"/>
        <v>5.4271376843447214</v>
      </c>
      <c r="R77">
        <f ca="1"/>
        <v>0.543680706038561</v>
      </c>
      <c r="S77">
        <f ca="1"/>
        <v>2.4869922700817139E-4</v>
      </c>
      <c r="T77">
        <f ca="1"/>
        <v>0.14252590495287512</v>
      </c>
      <c r="U77">
        <f ca="1"/>
        <v>0</v>
      </c>
      <c r="V77">
        <f ca="1"/>
        <v>15.899999523232101</v>
      </c>
      <c r="W77">
        <f ca="1"/>
        <v>10.9925922629753</v>
      </c>
      <c r="X77">
        <f ca="1"/>
        <v>0</v>
      </c>
      <c r="Y77">
        <f ca="1"/>
        <v>0.9949975150017849</v>
      </c>
      <c r="Z77">
        <f ca="1"/>
        <v>0</v>
      </c>
      <c r="AA77">
        <f ca="1"/>
        <v>0</v>
      </c>
      <c r="AB77">
        <f ca="1"/>
        <v>0.135158917685019</v>
      </c>
      <c r="AD77" s="2">
        <f t="shared" ca="1" si="12"/>
        <v>45194</v>
      </c>
      <c r="AE77">
        <f t="shared" ca="1" si="13"/>
        <v>0</v>
      </c>
      <c r="AG77" s="65">
        <f t="shared" ca="1" si="17"/>
        <v>5.9708183903832781</v>
      </c>
      <c r="AH77" s="65">
        <f t="shared" ca="1" si="18"/>
        <v>5.9708183903832825</v>
      </c>
      <c r="AI77" s="3">
        <f t="shared" ca="1" si="19"/>
        <v>0</v>
      </c>
    </row>
    <row r="78" spans="7:35" x14ac:dyDescent="0.3">
      <c r="G78" s="3">
        <f t="shared" ca="1" si="14"/>
        <v>225</v>
      </c>
      <c r="H78" s="97">
        <f t="shared" ca="1" si="16"/>
        <v>45150</v>
      </c>
      <c r="I78" s="121">
        <f ca="1">HLOOKUP($H$4,'Met Data'!$A$2:$F$368,G78,FALSE)</f>
        <v>9.2041666666666604</v>
      </c>
      <c r="J78" s="121">
        <f ca="1">HLOOKUP($H$4,'Met Data'!$H$2:$M$368,G78,FALSE)*L78</f>
        <v>4.9666666666666597</v>
      </c>
      <c r="K78" s="98">
        <f ca="1">HLOOKUP($H$4,'Met Data'!$O$2:$T$368,G78,FALSE)</f>
        <v>1.216678160996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45195</v>
      </c>
      <c r="Q78">
        <f ca="1"/>
        <v>5.0236763239138753</v>
      </c>
      <c r="R78">
        <f ca="1"/>
        <v>0.54072656241195605</v>
      </c>
      <c r="S78">
        <f ca="1"/>
        <v>2.0329137619591603E-4</v>
      </c>
      <c r="T78">
        <f ca="1"/>
        <v>0.13706191060491688</v>
      </c>
      <c r="U78">
        <f ca="1"/>
        <v>0</v>
      </c>
      <c r="V78">
        <f ca="1"/>
        <v>16.440726085644101</v>
      </c>
      <c r="W78">
        <f ca="1"/>
        <v>11.366427911062599</v>
      </c>
      <c r="X78">
        <f ca="1"/>
        <v>0</v>
      </c>
      <c r="Y78">
        <f ca="1"/>
        <v>0.98541928612045682</v>
      </c>
      <c r="Z78">
        <f ca="1"/>
        <v>0</v>
      </c>
      <c r="AA78">
        <f ca="1"/>
        <v>0</v>
      </c>
      <c r="AB78">
        <f ca="1"/>
        <v>0.143193600899541</v>
      </c>
      <c r="AD78" s="2">
        <f t="shared" ca="1" si="12"/>
        <v>45195</v>
      </c>
      <c r="AE78">
        <f t="shared" ca="1" si="13"/>
        <v>0</v>
      </c>
      <c r="AG78" s="65">
        <f t="shared" ca="1" si="17"/>
        <v>5.5644028863258344</v>
      </c>
      <c r="AH78" s="65">
        <f t="shared" ca="1" si="18"/>
        <v>5.5644028863258317</v>
      </c>
      <c r="AI78" s="3">
        <f t="shared" ca="1" si="19"/>
        <v>0</v>
      </c>
    </row>
    <row r="79" spans="7:35" x14ac:dyDescent="0.3">
      <c r="G79" s="3">
        <f t="shared" ca="1" si="14"/>
        <v>226</v>
      </c>
      <c r="H79" s="97">
        <f t="shared" ca="1" si="16"/>
        <v>45151</v>
      </c>
      <c r="I79" s="121">
        <f ca="1">HLOOKUP($H$4,'Met Data'!$A$2:$F$368,G79,FALSE)</f>
        <v>9.49583333333333</v>
      </c>
      <c r="J79" s="121">
        <f ca="1">HLOOKUP($H$4,'Met Data'!$H$2:$M$368,G79,FALSE)*L79</f>
        <v>3.11666666666666</v>
      </c>
      <c r="K79" s="98">
        <f ca="1">HLOOKUP($H$4,'Met Data'!$O$2:$T$368,G79,FALSE)</f>
        <v>1.2041756804414001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45196</v>
      </c>
      <c r="Q79">
        <f ca="1"/>
        <v>4.5909863175409811</v>
      </c>
      <c r="R79">
        <f ca="1"/>
        <v>0.57463664890918797</v>
      </c>
      <c r="S79">
        <f ca="1"/>
        <v>1.7860113470936239E-4</v>
      </c>
      <c r="T79">
        <f ca="1"/>
        <v>0.14176804140159066</v>
      </c>
      <c r="U79">
        <f ca="1"/>
        <v>0</v>
      </c>
      <c r="V79">
        <f ca="1"/>
        <v>17.0153627345533</v>
      </c>
      <c r="W79">
        <f ca="1"/>
        <v>11.7637075695677</v>
      </c>
      <c r="X79">
        <f ca="1"/>
        <v>0</v>
      </c>
      <c r="Y79">
        <f ca="1"/>
        <v>0.97401760187942987</v>
      </c>
      <c r="Z79">
        <f ca="1"/>
        <v>0</v>
      </c>
      <c r="AA79">
        <f ca="1"/>
        <v>0</v>
      </c>
      <c r="AB79">
        <f ca="1"/>
        <v>0.15186665552703399</v>
      </c>
      <c r="AD79" s="2">
        <f t="shared" ca="1" si="12"/>
        <v>45196</v>
      </c>
      <c r="AE79">
        <f t="shared" ca="1" si="13"/>
        <v>0</v>
      </c>
      <c r="AG79" s="65">
        <f t="shared" ca="1" si="17"/>
        <v>5.1656229664501749</v>
      </c>
      <c r="AH79" s="65">
        <f t="shared" ca="1" si="18"/>
        <v>5.1656229664501687</v>
      </c>
      <c r="AI79" s="3">
        <f t="shared" ca="1" si="19"/>
        <v>0</v>
      </c>
    </row>
    <row r="80" spans="7:35" x14ac:dyDescent="0.3">
      <c r="G80" s="3">
        <f t="shared" ca="1" si="14"/>
        <v>227</v>
      </c>
      <c r="H80" s="97">
        <f t="shared" ca="1" si="16"/>
        <v>45152</v>
      </c>
      <c r="I80" s="121">
        <f ca="1">HLOOKUP($H$4,'Met Data'!$A$2:$F$368,G80,FALSE)</f>
        <v>9.7791666666666597</v>
      </c>
      <c r="J80" s="121">
        <f ca="1">HLOOKUP($H$4,'Met Data'!$H$2:$M$368,G80,FALSE)*L80</f>
        <v>6.7</v>
      </c>
      <c r="K80" s="98">
        <f ca="1">HLOOKUP($H$4,'Met Data'!$O$2:$T$368,G80,FALSE)</f>
        <v>1.1357294741412001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45197</v>
      </c>
      <c r="Q80">
        <f ca="1"/>
        <v>4.1305871021834548</v>
      </c>
      <c r="R80">
        <f ca="1"/>
        <v>0.60592316840307003</v>
      </c>
      <c r="S80">
        <f ca="1"/>
        <v>1.6105163088716933E-4</v>
      </c>
      <c r="T80">
        <f ca="1"/>
        <v>0.14536290141465791</v>
      </c>
      <c r="U80">
        <f ca="1"/>
        <v>0</v>
      </c>
      <c r="V80">
        <f ca="1"/>
        <v>17.621285902956298</v>
      </c>
      <c r="W80">
        <f ca="1"/>
        <v>12.1826174143896</v>
      </c>
      <c r="X80">
        <f ca="1"/>
        <v>0</v>
      </c>
      <c r="Y80">
        <f ca="1"/>
        <v>0.99954705734993177</v>
      </c>
      <c r="Z80">
        <f ca="1"/>
        <v>0</v>
      </c>
      <c r="AA80">
        <f ca="1"/>
        <v>0</v>
      </c>
      <c r="AB80">
        <f ca="1"/>
        <v>0.161147872415561</v>
      </c>
      <c r="AD80" s="2">
        <f t="shared" ca="1" si="12"/>
        <v>45197</v>
      </c>
      <c r="AE80">
        <f t="shared" ca="1" si="13"/>
        <v>0</v>
      </c>
      <c r="AG80" s="65">
        <f t="shared" ca="1" si="17"/>
        <v>4.7365102705865265</v>
      </c>
      <c r="AH80" s="65">
        <f t="shared" ca="1" si="18"/>
        <v>4.7365102705865247</v>
      </c>
      <c r="AI80" s="3">
        <f t="shared" ca="1" si="19"/>
        <v>0</v>
      </c>
    </row>
    <row r="81" spans="7:35" x14ac:dyDescent="0.3">
      <c r="G81" s="3">
        <f t="shared" ca="1" si="14"/>
        <v>228</v>
      </c>
      <c r="H81" s="97">
        <f t="shared" ca="1" si="16"/>
        <v>45153</v>
      </c>
      <c r="I81" s="121">
        <f ca="1">HLOOKUP($H$4,'Met Data'!$A$2:$F$368,G81,FALSE)</f>
        <v>9.4375</v>
      </c>
      <c r="J81" s="121">
        <f ca="1">HLOOKUP($H$4,'Met Data'!$H$2:$M$368,G81,FALSE)*L81</f>
        <v>3.2833333333333301</v>
      </c>
      <c r="K81" s="98">
        <f ca="1">HLOOKUP($H$4,'Met Data'!$O$2:$T$368,G81,FALSE)</f>
        <v>1.2410385498851699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45198</v>
      </c>
      <c r="Q81">
        <f ca="1"/>
        <v>3.6391584424805217</v>
      </c>
      <c r="R81">
        <f ca="1"/>
        <v>0.64119715964899604</v>
      </c>
      <c r="S81">
        <f ca="1"/>
        <v>1.4062300034660145E-4</v>
      </c>
      <c r="T81">
        <f ca="1"/>
        <v>0.14962787694571178</v>
      </c>
      <c r="U81">
        <f ca="1"/>
        <v>0</v>
      </c>
      <c r="V81">
        <f ca="1"/>
        <v>18.262483062605298</v>
      </c>
      <c r="W81">
        <f ca="1"/>
        <v>12.625914216122201</v>
      </c>
      <c r="X81">
        <f ca="1"/>
        <v>0</v>
      </c>
      <c r="Y81">
        <f ca="1"/>
        <v>0.99824797853425684</v>
      </c>
      <c r="Z81">
        <f ca="1"/>
        <v>0</v>
      </c>
      <c r="AA81">
        <f ca="1"/>
        <v>0</v>
      </c>
      <c r="AB81">
        <f ca="1"/>
        <v>0.17110476257493201</v>
      </c>
      <c r="AD81" s="2">
        <f t="shared" ca="1" si="12"/>
        <v>45198</v>
      </c>
      <c r="AE81">
        <f t="shared" ca="1" si="13"/>
        <v>0</v>
      </c>
      <c r="AG81" s="65">
        <f t="shared" ca="1" si="17"/>
        <v>4.2803556021295126</v>
      </c>
      <c r="AH81" s="65">
        <f t="shared" ca="1" si="18"/>
        <v>4.2803556021295179</v>
      </c>
      <c r="AI81" s="3">
        <f t="shared" ca="1" si="19"/>
        <v>0</v>
      </c>
    </row>
    <row r="82" spans="7:35" x14ac:dyDescent="0.3">
      <c r="G82" s="3">
        <f t="shared" ca="1" si="14"/>
        <v>229</v>
      </c>
      <c r="H82" s="97">
        <f t="shared" ca="1" si="16"/>
        <v>45154</v>
      </c>
      <c r="I82" s="121">
        <f ca="1">HLOOKUP($H$4,'Met Data'!$A$2:$F$368,G82,FALSE)</f>
        <v>9.6999999999999993</v>
      </c>
      <c r="J82" s="121">
        <f ca="1">HLOOKUP($H$4,'Met Data'!$H$2:$M$368,G82,FALSE)*L82</f>
        <v>1.5999999999999901</v>
      </c>
      <c r="K82" s="98">
        <f ca="1">HLOOKUP($H$4,'Met Data'!$O$2:$T$368,G82,FALSE)</f>
        <v>1.30158376837533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45199</v>
      </c>
      <c r="Q82">
        <f ca="1"/>
        <v>3.1326741314367439</v>
      </c>
      <c r="R82">
        <f ca="1"/>
        <v>0.65450421484508003</v>
      </c>
      <c r="S82">
        <f ca="1"/>
        <v>1.1830280752296227E-4</v>
      </c>
      <c r="T82">
        <f ca="1"/>
        <v>0.14790160099378513</v>
      </c>
      <c r="U82">
        <f ca="1"/>
        <v>0</v>
      </c>
      <c r="V82">
        <f ca="1"/>
        <v>18.916987277450399</v>
      </c>
      <c r="W82">
        <f ca="1"/>
        <v>13.0784109572497</v>
      </c>
      <c r="X82">
        <f ca="1"/>
        <v>0</v>
      </c>
      <c r="Y82">
        <f ca="1"/>
        <v>1</v>
      </c>
      <c r="Z82">
        <f ca="1"/>
        <v>2.9633411665739402</v>
      </c>
      <c r="AA82">
        <f ca="1"/>
        <v>0</v>
      </c>
      <c r="AB82">
        <f ca="1"/>
        <v>0.181393690404999</v>
      </c>
      <c r="AD82" s="2">
        <f t="shared" ca="1" si="12"/>
        <v>45199</v>
      </c>
      <c r="AE82">
        <f t="shared" ca="1" si="13"/>
        <v>0</v>
      </c>
      <c r="AG82" s="65">
        <f t="shared" ca="1" si="17"/>
        <v>3.7871783462818298</v>
      </c>
      <c r="AH82" s="65">
        <f t="shared" ca="1" si="18"/>
        <v>3.787178346281824</v>
      </c>
      <c r="AI82" s="3">
        <f t="shared" ca="1" si="19"/>
        <v>-5.773159728050814E-15</v>
      </c>
    </row>
    <row r="83" spans="7:35" x14ac:dyDescent="0.3">
      <c r="G83" s="3">
        <f t="shared" ca="1" si="14"/>
        <v>230</v>
      </c>
      <c r="H83" s="97">
        <f t="shared" ca="1" si="16"/>
        <v>45155</v>
      </c>
      <c r="I83" s="121">
        <f ca="1">HLOOKUP($H$4,'Met Data'!$A$2:$F$368,G83,FALSE)</f>
        <v>9.61666666666666</v>
      </c>
      <c r="J83" s="121">
        <f ca="1">HLOOKUP($H$4,'Met Data'!$H$2:$M$368,G83,FALSE)*L83</f>
        <v>6.5999999999999899</v>
      </c>
      <c r="K83" s="98">
        <f ca="1">HLOOKUP($H$4,'Met Data'!$O$2:$T$368,G83,FALSE)</f>
        <v>1.3713845776081399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45200</v>
      </c>
      <c r="Q83">
        <f ca="1"/>
        <v>50</v>
      </c>
      <c r="R83">
        <f ca="1"/>
        <v>0.627065829223032</v>
      </c>
      <c r="S83">
        <f ca="1"/>
        <v>9.344455548894985E-5</v>
      </c>
      <c r="T83">
        <f ca="1"/>
        <v>0.13658619139489347</v>
      </c>
      <c r="U83">
        <f ca="1"/>
        <v>0</v>
      </c>
      <c r="V83">
        <f ca="1"/>
        <v>19.544053106673498</v>
      </c>
      <c r="W83">
        <f ca="1"/>
        <v>13.511937950292801</v>
      </c>
      <c r="X83">
        <f ca="1"/>
        <v>0</v>
      </c>
      <c r="Y83">
        <f ca="1"/>
        <v>0.99902208054655905</v>
      </c>
      <c r="Z83">
        <f ca="1"/>
        <v>0</v>
      </c>
      <c r="AA83">
        <f ca="1"/>
        <v>0</v>
      </c>
      <c r="AB83">
        <f ca="1"/>
        <v>0.19135300308919001</v>
      </c>
      <c r="AD83" s="2">
        <f t="shared" ca="1" si="12"/>
        <v>45200</v>
      </c>
      <c r="AE83">
        <f t="shared" ca="1" si="13"/>
        <v>0</v>
      </c>
      <c r="AG83" s="65">
        <f t="shared" ca="1" si="17"/>
        <v>3.2693537673871265</v>
      </c>
      <c r="AH83" s="65">
        <f t="shared" ca="1" si="18"/>
        <v>50.627065829223035</v>
      </c>
      <c r="AI83" s="3">
        <f t="shared" ca="1" si="19"/>
        <v>47.357712061835912</v>
      </c>
    </row>
    <row r="84" spans="7:35" x14ac:dyDescent="0.3">
      <c r="G84" s="3">
        <f t="shared" ca="1" si="14"/>
        <v>231</v>
      </c>
      <c r="H84" s="97">
        <f t="shared" ca="1" si="16"/>
        <v>45156</v>
      </c>
      <c r="I84" s="121">
        <f ca="1">HLOOKUP($H$4,'Met Data'!$A$2:$F$368,G84,FALSE)</f>
        <v>8.8333333333333304</v>
      </c>
      <c r="J84" s="121">
        <f ca="1">HLOOKUP($H$4,'Met Data'!$H$2:$M$368,G84,FALSE)*L84</f>
        <v>3.3</v>
      </c>
      <c r="K84" s="98">
        <f ca="1">HLOOKUP($H$4,'Met Data'!$O$2:$T$368,G84,FALSE)</f>
        <v>1.38797998518043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45201</v>
      </c>
      <c r="Q84">
        <f ca="1"/>
        <v>49.475966902202032</v>
      </c>
      <c r="R84">
        <f ca="1"/>
        <v>0.66539827618883496</v>
      </c>
      <c r="S84">
        <f ca="1"/>
        <v>8.3005230551926084E-5</v>
      </c>
      <c r="T84">
        <f ca="1"/>
        <v>0.14128217316031588</v>
      </c>
      <c r="U84">
        <f ca="1"/>
        <v>0</v>
      </c>
      <c r="V84">
        <f ca="1"/>
        <v>20.209451382862301</v>
      </c>
      <c r="W84">
        <f ca="1"/>
        <v>13.971966388151699</v>
      </c>
      <c r="X84">
        <f ca="1"/>
        <v>0</v>
      </c>
      <c r="Y84">
        <f ca="1"/>
        <v>1</v>
      </c>
      <c r="Z84">
        <f ca="1"/>
        <v>4.7734714539316769E-2</v>
      </c>
      <c r="AA84">
        <f ca="1"/>
        <v>0</v>
      </c>
      <c r="AB84">
        <f ca="1"/>
        <v>0.20201183252080501</v>
      </c>
      <c r="AD84" s="2">
        <f t="shared" ca="1" si="12"/>
        <v>45201</v>
      </c>
      <c r="AE84">
        <f t="shared" ca="1" si="13"/>
        <v>0</v>
      </c>
      <c r="AG84" s="65">
        <f t="shared" ca="1" si="17"/>
        <v>50.141365178390863</v>
      </c>
      <c r="AH84" s="65">
        <f t="shared" ca="1" si="18"/>
        <v>50.141365178390863</v>
      </c>
      <c r="AI84" s="3">
        <f t="shared" ca="1" si="19"/>
        <v>0</v>
      </c>
    </row>
    <row r="85" spans="7:35" x14ac:dyDescent="0.3">
      <c r="G85" s="3">
        <f t="shared" ca="1" si="14"/>
        <v>232</v>
      </c>
      <c r="H85" s="97">
        <f t="shared" ca="1" si="16"/>
        <v>45157</v>
      </c>
      <c r="I85" s="121">
        <f ca="1">HLOOKUP($H$4,'Met Data'!$A$2:$F$368,G85,FALSE)</f>
        <v>9.4833333333333307</v>
      </c>
      <c r="J85" s="121">
        <f ca="1">HLOOKUP($H$4,'Met Data'!$H$2:$M$368,G85,FALSE)*L85</f>
        <v>2.1333333333333302</v>
      </c>
      <c r="K85" s="98">
        <f ca="1">HLOOKUP($H$4,'Met Data'!$O$2:$T$368,G85,FALSE)</f>
        <v>1.56092628574794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45202</v>
      </c>
      <c r="Q85">
        <f ca="1"/>
        <v>48.891502550692202</v>
      </c>
      <c r="R85">
        <f ca="1"/>
        <v>0.73811253030292401</v>
      </c>
      <c r="S85">
        <f ca="1"/>
        <v>7.6503963872221644E-5</v>
      </c>
      <c r="T85">
        <f ca="1"/>
        <v>0.15357167482921516</v>
      </c>
      <c r="U85">
        <f ca="1"/>
        <v>0</v>
      </c>
      <c r="V85">
        <f ca="1"/>
        <v>20.947563913165201</v>
      </c>
      <c r="W85">
        <f ca="1"/>
        <v>14.4822664091019</v>
      </c>
      <c r="X85">
        <f ca="1"/>
        <v>0</v>
      </c>
      <c r="Y85">
        <f ca="1"/>
        <v>1</v>
      </c>
      <c r="Z85">
        <f ca="1"/>
        <v>1.6390791116568693</v>
      </c>
      <c r="AA85">
        <f ca="1"/>
        <v>0</v>
      </c>
      <c r="AB85">
        <f ca="1"/>
        <v>0.21392249792111201</v>
      </c>
      <c r="AD85" s="2">
        <f t="shared" ca="1" si="12"/>
        <v>45202</v>
      </c>
      <c r="AE85">
        <f t="shared" ca="1" si="13"/>
        <v>0</v>
      </c>
      <c r="AG85" s="65">
        <f t="shared" ca="1" si="17"/>
        <v>49.629615080995123</v>
      </c>
      <c r="AH85" s="65">
        <f t="shared" ca="1" si="18"/>
        <v>49.629615080995123</v>
      </c>
      <c r="AI85" s="3">
        <f t="shared" ca="1" si="19"/>
        <v>0</v>
      </c>
    </row>
    <row r="86" spans="7:35" x14ac:dyDescent="0.3">
      <c r="G86" s="3">
        <f t="shared" ca="1" si="14"/>
        <v>233</v>
      </c>
      <c r="H86" s="97">
        <f t="shared" ca="1" si="16"/>
        <v>45158</v>
      </c>
      <c r="I86" s="121">
        <f ca="1">HLOOKUP($H$4,'Met Data'!$A$2:$F$368,G86,FALSE)</f>
        <v>9.2583333333333293</v>
      </c>
      <c r="J86" s="121">
        <f ca="1">HLOOKUP($H$4,'Met Data'!$H$2:$M$368,G86,FALSE)*L86</f>
        <v>3.65</v>
      </c>
      <c r="K86" s="98">
        <f ca="1">HLOOKUP($H$4,'Met Data'!$O$2:$T$368,G86,FALSE)</f>
        <v>1.4422774750484899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45203</v>
      </c>
      <c r="Q86">
        <f ca="1"/>
        <v>48.33029833026859</v>
      </c>
      <c r="R86">
        <f ca="1"/>
        <v>0.70168432388268798</v>
      </c>
      <c r="S86">
        <f ca="1"/>
        <v>5.9128190288320915E-5</v>
      </c>
      <c r="T86">
        <f ca="1"/>
        <v>0.14042097526879244</v>
      </c>
      <c r="U86">
        <f ca="1"/>
        <v>0</v>
      </c>
      <c r="V86">
        <f ca="1"/>
        <v>21.6492482370479</v>
      </c>
      <c r="W86">
        <f ca="1"/>
        <v>14.9673814972183</v>
      </c>
      <c r="X86">
        <f ca="1"/>
        <v>0</v>
      </c>
      <c r="Y86">
        <f ca="1"/>
        <v>0.99090143984120871</v>
      </c>
      <c r="Z86">
        <f ca="1"/>
        <v>0</v>
      </c>
      <c r="AA86">
        <f ca="1"/>
        <v>0</v>
      </c>
      <c r="AB86">
        <f ca="1"/>
        <v>0.22530844564661801</v>
      </c>
      <c r="AD86" s="2">
        <f t="shared" ca="1" si="12"/>
        <v>45203</v>
      </c>
      <c r="AE86">
        <f t="shared" ca="1" si="13"/>
        <v>0</v>
      </c>
      <c r="AG86" s="65">
        <f t="shared" ca="1" si="17"/>
        <v>49.031982654151278</v>
      </c>
      <c r="AH86" s="65">
        <f t="shared" ca="1" si="18"/>
        <v>49.031982654151278</v>
      </c>
      <c r="AI86" s="3">
        <f t="shared" ca="1" si="19"/>
        <v>0</v>
      </c>
    </row>
    <row r="87" spans="7:35" x14ac:dyDescent="0.3">
      <c r="G87" s="3">
        <f t="shared" ca="1" si="14"/>
        <v>234</v>
      </c>
      <c r="H87" s="97">
        <f t="shared" ca="1" si="16"/>
        <v>45159</v>
      </c>
      <c r="I87" s="121">
        <f ca="1">HLOOKUP($H$4,'Met Data'!$A$2:$F$368,G87,FALSE)</f>
        <v>9.7708333333333304</v>
      </c>
      <c r="J87" s="121">
        <f ca="1">HLOOKUP($H$4,'Met Data'!$H$2:$M$368,G87,FALSE)*L87</f>
        <v>2.36666666666666</v>
      </c>
      <c r="K87" s="98">
        <f ca="1">HLOOKUP($H$4,'Met Data'!$O$2:$T$368,G87,FALSE)</f>
        <v>1.70464821639982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45204</v>
      </c>
      <c r="Q87">
        <f ca="1"/>
        <v>47.752063420923051</v>
      </c>
      <c r="R87">
        <f ca="1"/>
        <v>0.71800902023328905</v>
      </c>
      <c r="S87">
        <f ca="1"/>
        <v>5.0440267685992985E-5</v>
      </c>
      <c r="T87">
        <f ca="1"/>
        <v>0.13972367062006683</v>
      </c>
      <c r="U87">
        <f ca="1"/>
        <v>0</v>
      </c>
      <c r="V87">
        <f ca="1"/>
        <v>22.367257257281199</v>
      </c>
      <c r="W87">
        <f ca="1"/>
        <v>15.4637827951574</v>
      </c>
      <c r="X87">
        <f ca="1"/>
        <v>0</v>
      </c>
      <c r="Y87">
        <f ca="1"/>
        <v>0.98979948972201337</v>
      </c>
      <c r="Z87">
        <f ca="1"/>
        <v>0</v>
      </c>
      <c r="AA87">
        <f ca="1"/>
        <v>0</v>
      </c>
      <c r="AB87">
        <f ca="1"/>
        <v>0.23700124753971</v>
      </c>
      <c r="AD87" s="2">
        <f t="shared" ca="1" si="12"/>
        <v>45204</v>
      </c>
      <c r="AE87">
        <f t="shared" ca="1" si="13"/>
        <v>0</v>
      </c>
      <c r="AG87" s="65">
        <f t="shared" ca="1" si="17"/>
        <v>48.47007244115634</v>
      </c>
      <c r="AH87" s="65">
        <f t="shared" ca="1" si="18"/>
        <v>48.47007244115634</v>
      </c>
      <c r="AI87" s="3">
        <f t="shared" ca="1" si="19"/>
        <v>0</v>
      </c>
    </row>
    <row r="88" spans="7:35" x14ac:dyDescent="0.3">
      <c r="G88" s="3">
        <f t="shared" ca="1" si="14"/>
        <v>235</v>
      </c>
      <c r="H88" s="97">
        <f t="shared" ca="1" si="16"/>
        <v>45160</v>
      </c>
      <c r="I88" s="121">
        <f ca="1">HLOOKUP($H$4,'Met Data'!$A$2:$F$368,G88,FALSE)</f>
        <v>9.5208333333333304</v>
      </c>
      <c r="J88" s="121">
        <f ca="1">HLOOKUP($H$4,'Met Data'!$H$2:$M$368,G88,FALSE)*L88</f>
        <v>4.4666666666666597</v>
      </c>
      <c r="K88" s="98">
        <f ca="1">HLOOKUP($H$4,'Met Data'!$O$2:$T$368,G88,FALSE)</f>
        <v>1.6762831823304301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45205</v>
      </c>
      <c r="Q88">
        <f ca="1"/>
        <v>47.157199651327176</v>
      </c>
      <c r="R88">
        <f ca="1"/>
        <v>0.733828248358524</v>
      </c>
      <c r="S88">
        <f ca="1"/>
        <v>4.2697981285397721E-5</v>
      </c>
      <c r="T88">
        <f ca="1"/>
        <v>0.13892178078136472</v>
      </c>
      <c r="U88">
        <f ca="1"/>
        <v>0</v>
      </c>
      <c r="V88">
        <f ca="1"/>
        <v>23.101085505639698</v>
      </c>
      <c r="W88">
        <f ca="1"/>
        <v>15.971120843405201</v>
      </c>
      <c r="X88">
        <f ca="1"/>
        <v>0</v>
      </c>
      <c r="Y88">
        <f ca="1"/>
        <v>0.98089020639036351</v>
      </c>
      <c r="Z88">
        <f ca="1"/>
        <v>0</v>
      </c>
      <c r="AA88">
        <f ca="1"/>
        <v>0</v>
      </c>
      <c r="AB88">
        <f ca="1"/>
        <v>0.248973797645821</v>
      </c>
      <c r="AD88" s="2">
        <f t="shared" ca="1" si="12"/>
        <v>45205</v>
      </c>
      <c r="AE88">
        <f t="shared" ca="1" si="13"/>
        <v>0</v>
      </c>
      <c r="AG88" s="65">
        <f t="shared" ca="1" si="17"/>
        <v>47.891027899685703</v>
      </c>
      <c r="AH88" s="65">
        <f t="shared" ca="1" si="18"/>
        <v>47.891027899685703</v>
      </c>
      <c r="AI88" s="3">
        <f t="shared" ca="1" si="19"/>
        <v>0</v>
      </c>
    </row>
    <row r="89" spans="7:35" x14ac:dyDescent="0.3">
      <c r="G89" s="3">
        <f t="shared" ca="1" si="14"/>
        <v>236</v>
      </c>
      <c r="H89" s="97">
        <f t="shared" ca="1" si="16"/>
        <v>45161</v>
      </c>
      <c r="I89" s="121">
        <f ca="1">HLOOKUP($H$4,'Met Data'!$A$2:$F$368,G89,FALSE)</f>
        <v>9.5791666666666604</v>
      </c>
      <c r="J89" s="121">
        <f ca="1">HLOOKUP($H$4,'Met Data'!$H$2:$M$368,G89,FALSE)*L89</f>
        <v>1.4833333333333301</v>
      </c>
      <c r="K89" s="98">
        <f ca="1">HLOOKUP($H$4,'Met Data'!$O$2:$T$368,G89,FALSE)</f>
        <v>1.44273965203753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45206</v>
      </c>
      <c r="Q89">
        <f ca="1"/>
        <v>46.527030919537083</v>
      </c>
      <c r="R89">
        <f ca="1"/>
        <v>0.77300328868675905</v>
      </c>
      <c r="S89">
        <f ca="1"/>
        <v>3.7375826473832657E-5</v>
      </c>
      <c r="T89">
        <f ca="1"/>
        <v>0.14279718107019571</v>
      </c>
      <c r="U89">
        <f ca="1"/>
        <v>0</v>
      </c>
      <c r="V89">
        <f ca="1"/>
        <v>23.8740887943265</v>
      </c>
      <c r="W89">
        <f ca="1"/>
        <v>16.505542870151601</v>
      </c>
      <c r="X89">
        <f ca="1"/>
        <v>0</v>
      </c>
      <c r="Y89">
        <f ca="1"/>
        <v>0.97290888484646165</v>
      </c>
      <c r="Z89">
        <f ca="1"/>
        <v>0</v>
      </c>
      <c r="AA89">
        <f ca="1"/>
        <v>0</v>
      </c>
      <c r="AB89">
        <f ca="1"/>
        <v>0.26158628835345699</v>
      </c>
      <c r="AD89" s="2">
        <f t="shared" ca="1" si="12"/>
        <v>45206</v>
      </c>
      <c r="AE89">
        <f t="shared" ca="1" si="13"/>
        <v>0</v>
      </c>
      <c r="AG89" s="65">
        <f t="shared" ca="1" si="17"/>
        <v>47.300034208223842</v>
      </c>
      <c r="AH89" s="65">
        <f t="shared" ca="1" si="18"/>
        <v>47.300034208223842</v>
      </c>
      <c r="AI89" s="3">
        <f t="shared" ca="1" si="19"/>
        <v>0</v>
      </c>
    </row>
    <row r="90" spans="7:35" x14ac:dyDescent="0.3">
      <c r="G90" s="3">
        <f t="shared" ca="1" si="14"/>
        <v>237</v>
      </c>
      <c r="H90" s="97">
        <f t="shared" ca="1" si="16"/>
        <v>45162</v>
      </c>
      <c r="I90" s="121">
        <f ca="1">HLOOKUP($H$4,'Met Data'!$A$2:$F$368,G90,FALSE)</f>
        <v>9.8874999999999993</v>
      </c>
      <c r="J90" s="121">
        <f ca="1">HLOOKUP($H$4,'Met Data'!$H$2:$M$368,G90,FALSE)*L90</f>
        <v>0.56666666666666599</v>
      </c>
      <c r="K90" s="98">
        <f ca="1">HLOOKUP($H$4,'Met Data'!$O$2:$T$368,G90,FALSE)</f>
        <v>1.7386735184612501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45207</v>
      </c>
      <c r="Q90">
        <f ca="1"/>
        <v>45.889767477101678</v>
      </c>
      <c r="R90">
        <f ca="1"/>
        <v>0.77669797129765406</v>
      </c>
      <c r="S90">
        <f ca="1"/>
        <v>3.1960234808252281E-5</v>
      </c>
      <c r="T90">
        <f ca="1"/>
        <v>0.13940256862744027</v>
      </c>
      <c r="U90">
        <f ca="1"/>
        <v>0</v>
      </c>
      <c r="V90">
        <f ca="1"/>
        <v>24.650786765624101</v>
      </c>
      <c r="W90">
        <f ca="1"/>
        <v>17.0425192453698</v>
      </c>
      <c r="X90">
        <f ca="1"/>
        <v>0</v>
      </c>
      <c r="Y90">
        <f ca="1"/>
        <v>0.99066914271046969</v>
      </c>
      <c r="Z90">
        <f ca="1"/>
        <v>0</v>
      </c>
      <c r="AA90">
        <f ca="1"/>
        <v>0</v>
      </c>
      <c r="AB90">
        <f ca="1"/>
        <v>0.2742363517159</v>
      </c>
      <c r="AD90" s="2">
        <f t="shared" ca="1" si="12"/>
        <v>45207</v>
      </c>
      <c r="AE90">
        <f t="shared" ca="1" si="13"/>
        <v>0</v>
      </c>
      <c r="AG90" s="65">
        <f t="shared" ca="1" si="17"/>
        <v>46.666465448399329</v>
      </c>
      <c r="AH90" s="65">
        <f t="shared" ca="1" si="18"/>
        <v>46.666465448399329</v>
      </c>
      <c r="AI90" s="3">
        <f t="shared" ca="1" si="19"/>
        <v>0</v>
      </c>
    </row>
    <row r="91" spans="7:35" x14ac:dyDescent="0.3">
      <c r="G91" s="3">
        <f t="shared" ca="1" si="14"/>
        <v>238</v>
      </c>
      <c r="H91" s="97">
        <f t="shared" ca="1" si="16"/>
        <v>45163</v>
      </c>
      <c r="I91" s="121">
        <f ca="1">HLOOKUP($H$4,'Met Data'!$A$2:$F$368,G91,FALSE)</f>
        <v>9.7208333333333297</v>
      </c>
      <c r="J91" s="121">
        <f ca="1">HLOOKUP($H$4,'Met Data'!$H$2:$M$368,G91,FALSE)*L91</f>
        <v>2.4666666666666601</v>
      </c>
      <c r="K91" s="98">
        <f ca="1">HLOOKUP($H$4,'Met Data'!$O$2:$T$368,G91,FALSE)</f>
        <v>1.45538034550647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45208</v>
      </c>
      <c r="Q91">
        <f ca="1"/>
        <v>45.250950096857679</v>
      </c>
      <c r="R91">
        <f ca="1"/>
        <v>0.77390437952514202</v>
      </c>
      <c r="S91">
        <f ca="1"/>
        <v>2.6640950026953667E-5</v>
      </c>
      <c r="T91">
        <f ca="1"/>
        <v>0.13506035833111663</v>
      </c>
      <c r="U91">
        <f ca="1"/>
        <v>0</v>
      </c>
      <c r="V91">
        <f ca="1"/>
        <v>25.4246911451493</v>
      </c>
      <c r="W91">
        <f ca="1"/>
        <v>17.577564248498302</v>
      </c>
      <c r="X91">
        <f ca="1"/>
        <v>0</v>
      </c>
      <c r="Y91">
        <f ca="1"/>
        <v>0.98996444489180624</v>
      </c>
      <c r="Z91">
        <f ca="1"/>
        <v>0</v>
      </c>
      <c r="AA91">
        <f ca="1"/>
        <v>0</v>
      </c>
      <c r="AB91">
        <f ca="1"/>
        <v>0.286795789032675</v>
      </c>
      <c r="AD91" s="2">
        <f t="shared" ca="1" si="12"/>
        <v>45208</v>
      </c>
      <c r="AE91">
        <f t="shared" ca="1" si="13"/>
        <v>0</v>
      </c>
      <c r="AG91" s="65">
        <f t="shared" ca="1" si="17"/>
        <v>46.024854476382821</v>
      </c>
      <c r="AH91" s="65">
        <f t="shared" ca="1" si="18"/>
        <v>46.024854476382821</v>
      </c>
      <c r="AI91" s="3">
        <f t="shared" ca="1" si="19"/>
        <v>0</v>
      </c>
    </row>
    <row r="92" spans="7:35" x14ac:dyDescent="0.3">
      <c r="G92" s="3">
        <f t="shared" ca="1" si="14"/>
        <v>239</v>
      </c>
      <c r="H92" s="97">
        <f t="shared" ca="1" si="16"/>
        <v>45164</v>
      </c>
      <c r="I92" s="121">
        <f ca="1">HLOOKUP($H$4,'Met Data'!$A$2:$F$368,G92,FALSE)</f>
        <v>10.716666666666599</v>
      </c>
      <c r="J92" s="121">
        <f ca="1">HLOOKUP($H$4,'Met Data'!$H$2:$M$368,G92,FALSE)*L92</f>
        <v>3.0666666666666602</v>
      </c>
      <c r="K92" s="98">
        <f ca="1">HLOOKUP($H$4,'Met Data'!$O$2:$T$368,G92,FALSE)</f>
        <v>1.4899612238642299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45209</v>
      </c>
      <c r="Q92">
        <f ca="1"/>
        <v>44.604789518850581</v>
      </c>
      <c r="R92">
        <f ca="1"/>
        <v>0.77858624623709405</v>
      </c>
      <c r="S92">
        <f ca="1"/>
        <v>2.264985041993133E-5</v>
      </c>
      <c r="T92">
        <f ca="1"/>
        <v>0.13240301837957422</v>
      </c>
      <c r="U92">
        <f ca="1"/>
        <v>0</v>
      </c>
      <c r="V92">
        <f ca="1"/>
        <v>26.203277391386401</v>
      </c>
      <c r="W92">
        <f ca="1"/>
        <v>18.115846097748602</v>
      </c>
      <c r="X92">
        <f ca="1"/>
        <v>0</v>
      </c>
      <c r="Y92">
        <f ca="1"/>
        <v>0.99353802141951819</v>
      </c>
      <c r="Z92">
        <f ca="1"/>
        <v>0</v>
      </c>
      <c r="AA92">
        <f ca="1"/>
        <v>0</v>
      </c>
      <c r="AB92">
        <f ca="1"/>
        <v>0.29936450258995301</v>
      </c>
      <c r="AD92" s="2">
        <f t="shared" ca="1" si="12"/>
        <v>45209</v>
      </c>
      <c r="AE92">
        <f t="shared" ca="1" si="13"/>
        <v>0</v>
      </c>
      <c r="AG92" s="65">
        <f t="shared" ca="1" si="17"/>
        <v>45.383375765087678</v>
      </c>
      <c r="AH92" s="65">
        <f t="shared" ca="1" si="18"/>
        <v>45.383375765087678</v>
      </c>
      <c r="AI92" s="3">
        <f t="shared" ca="1" si="19"/>
        <v>0</v>
      </c>
    </row>
    <row r="93" spans="7:35" x14ac:dyDescent="0.3">
      <c r="G93" s="3">
        <f t="shared" ca="1" si="14"/>
        <v>240</v>
      </c>
      <c r="H93" s="97">
        <f t="shared" ca="1" si="16"/>
        <v>45165</v>
      </c>
      <c r="I93" s="121">
        <f ca="1">HLOOKUP($H$4,'Met Data'!$A$2:$F$368,G93,FALSE)</f>
        <v>10.754166666666601</v>
      </c>
      <c r="J93" s="121">
        <f ca="1">HLOOKUP($H$4,'Met Data'!$H$2:$M$368,G93,FALSE)*L93</f>
        <v>1.0333333333333301</v>
      </c>
      <c r="K93" s="98">
        <f ca="1">HLOOKUP($H$4,'Met Data'!$O$2:$T$368,G93,FALSE)</f>
        <v>1.6543487023337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45210</v>
      </c>
      <c r="Q93">
        <f ca="1"/>
        <v>43.872344538616915</v>
      </c>
      <c r="R93">
        <f ca="1"/>
        <v>0.87964807985065396</v>
      </c>
      <c r="S93">
        <f ca="1"/>
        <v>2.1725396190874547E-5</v>
      </c>
      <c r="T93">
        <f ca="1"/>
        <v>0.14718137422080188</v>
      </c>
      <c r="U93">
        <f ca="1"/>
        <v>0</v>
      </c>
      <c r="V93">
        <f ca="1"/>
        <v>27.082925471237001</v>
      </c>
      <c r="W93">
        <f ca="1"/>
        <v>18.7239978566577</v>
      </c>
      <c r="X93">
        <f ca="1"/>
        <v>0</v>
      </c>
      <c r="Y93">
        <f ca="1"/>
        <v>1</v>
      </c>
      <c r="Z93">
        <f ca="1"/>
        <v>0.32139801265080337</v>
      </c>
      <c r="AA93">
        <f ca="1"/>
        <v>0</v>
      </c>
      <c r="AB93">
        <f ca="1"/>
        <v>0.31345930639405301</v>
      </c>
      <c r="AD93" s="2">
        <f t="shared" ca="1" si="12"/>
        <v>45210</v>
      </c>
      <c r="AE93">
        <f t="shared" ca="1" si="13"/>
        <v>0</v>
      </c>
      <c r="AG93" s="65">
        <f t="shared" ca="1" si="17"/>
        <v>44.751992618467568</v>
      </c>
      <c r="AH93" s="65">
        <f t="shared" ca="1" si="18"/>
        <v>44.751992618467568</v>
      </c>
      <c r="AI93" s="3">
        <f t="shared" ca="1" si="19"/>
        <v>0</v>
      </c>
    </row>
    <row r="94" spans="7:35" x14ac:dyDescent="0.3">
      <c r="G94" s="3">
        <f t="shared" ca="1" si="14"/>
        <v>241</v>
      </c>
      <c r="H94" s="97">
        <f t="shared" ca="1" si="16"/>
        <v>45166</v>
      </c>
      <c r="I94" s="121">
        <f ca="1">HLOOKUP($H$4,'Met Data'!$A$2:$F$368,G94,FALSE)</f>
        <v>11.0833333333333</v>
      </c>
      <c r="J94" s="121">
        <f ca="1">HLOOKUP($H$4,'Met Data'!$H$2:$M$368,G94,FALSE)*L94</f>
        <v>1.9</v>
      </c>
      <c r="K94" s="98">
        <f ca="1">HLOOKUP($H$4,'Met Data'!$O$2:$T$368,G94,FALSE)</f>
        <v>1.6425180639822501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45211</v>
      </c>
      <c r="Q94">
        <f ca="1"/>
        <v>43.1106806827596</v>
      </c>
      <c r="R94">
        <f ca="1"/>
        <v>0.91019508583099895</v>
      </c>
      <c r="S94">
        <f ca="1"/>
        <v>1.8501287209305395E-5</v>
      </c>
      <c r="T94">
        <f ca="1"/>
        <v>0.14851272868647591</v>
      </c>
      <c r="U94">
        <f ca="1"/>
        <v>0</v>
      </c>
      <c r="V94">
        <f ca="1"/>
        <v>27.993120557068</v>
      </c>
      <c r="W94">
        <f ca="1"/>
        <v>19.3532685332816</v>
      </c>
      <c r="X94">
        <f ca="1"/>
        <v>0</v>
      </c>
      <c r="Y94">
        <f ca="1"/>
        <v>0.9934390802860078</v>
      </c>
      <c r="Z94">
        <f ca="1"/>
        <v>0</v>
      </c>
      <c r="AA94">
        <f ca="1"/>
        <v>0</v>
      </c>
      <c r="AB94">
        <f ca="1"/>
        <v>0.327898965205346</v>
      </c>
      <c r="AD94" s="2">
        <f t="shared" ca="1" si="12"/>
        <v>45211</v>
      </c>
      <c r="AE94">
        <f t="shared" ca="1" si="13"/>
        <v>0</v>
      </c>
      <c r="AG94" s="65">
        <f t="shared" ca="1" si="17"/>
        <v>44.020875768590599</v>
      </c>
      <c r="AH94" s="65">
        <f t="shared" ca="1" si="18"/>
        <v>44.020875768590599</v>
      </c>
      <c r="AI94" s="3">
        <f t="shared" ca="1" si="19"/>
        <v>0</v>
      </c>
    </row>
    <row r="95" spans="7:35" x14ac:dyDescent="0.3">
      <c r="G95" s="3">
        <f t="shared" ca="1" si="14"/>
        <v>242</v>
      </c>
      <c r="H95" s="97">
        <f t="shared" ca="1" si="16"/>
        <v>45167</v>
      </c>
      <c r="I95" s="121">
        <f ca="1">HLOOKUP($H$4,'Met Data'!$A$2:$F$368,G95,FALSE)</f>
        <v>10.5791666666666</v>
      </c>
      <c r="J95" s="121">
        <f ca="1">HLOOKUP($H$4,'Met Data'!$H$2:$M$368,G95,FALSE)*L95</f>
        <v>3.0166666666666599</v>
      </c>
      <c r="K95" s="98">
        <f ca="1">HLOOKUP($H$4,'Met Data'!$O$2:$T$368,G95,FALSE)</f>
        <v>1.5065040723285099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45212</v>
      </c>
      <c r="Q95">
        <f ca="1"/>
        <v>42.352124362933402</v>
      </c>
      <c r="R95">
        <f ca="1"/>
        <v>0.90136878353725103</v>
      </c>
      <c r="S95">
        <f ca="1"/>
        <v>1.5282640861007444E-5</v>
      </c>
      <c r="T95">
        <f ca="1"/>
        <v>0.14279718107019571</v>
      </c>
      <c r="U95">
        <f ca="1"/>
        <v>0</v>
      </c>
      <c r="V95">
        <f ca="1"/>
        <v>28.8944893406053</v>
      </c>
      <c r="W95">
        <f ca="1"/>
        <v>19.9764370749864</v>
      </c>
      <c r="X95">
        <f ca="1"/>
        <v>0</v>
      </c>
      <c r="Y95">
        <f ca="1"/>
        <v>0.99968227106384933</v>
      </c>
      <c r="Z95">
        <f ca="1"/>
        <v>0</v>
      </c>
      <c r="AA95">
        <f ca="1"/>
        <v>0</v>
      </c>
      <c r="AB95">
        <f ca="1"/>
        <v>0.34202792368970197</v>
      </c>
      <c r="AD95" s="2">
        <f t="shared" ca="1" si="12"/>
        <v>45212</v>
      </c>
      <c r="AE95">
        <f t="shared" ca="1" si="13"/>
        <v>0</v>
      </c>
      <c r="AG95" s="65">
        <f t="shared" ca="1" si="17"/>
        <v>43.253493146470653</v>
      </c>
      <c r="AH95" s="65">
        <f t="shared" ca="1" si="18"/>
        <v>43.253493146470653</v>
      </c>
      <c r="AI95" s="3">
        <f t="shared" ca="1" si="19"/>
        <v>0</v>
      </c>
    </row>
    <row r="96" spans="7:35" x14ac:dyDescent="0.3">
      <c r="G96" s="3">
        <f t="shared" ca="1" si="14"/>
        <v>243</v>
      </c>
      <c r="H96" s="97">
        <f t="shared" ca="1" si="16"/>
        <v>45168</v>
      </c>
      <c r="I96" s="121">
        <f ca="1">HLOOKUP($H$4,'Met Data'!$A$2:$F$368,G96,FALSE)</f>
        <v>11.1208333333333</v>
      </c>
      <c r="J96" s="121">
        <f ca="1">HLOOKUP($H$4,'Met Data'!$H$2:$M$368,G96,FALSE)*L96</f>
        <v>1.56666666666666</v>
      </c>
      <c r="K96" s="98">
        <f ca="1">HLOOKUP($H$4,'Met Data'!$O$2:$T$368,G96,FALSE)</f>
        <v>1.7782422370636499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45213</v>
      </c>
      <c r="Q96">
        <f ca="1"/>
        <v>41.531088800179468</v>
      </c>
      <c r="R96">
        <f ca="1"/>
        <v>0.97219083826597696</v>
      </c>
      <c r="S96">
        <f ca="1"/>
        <v>1.3739685670097382E-5</v>
      </c>
      <c r="T96">
        <f ca="1"/>
        <v>0.15114153582636605</v>
      </c>
      <c r="U96">
        <f ca="1"/>
        <v>0</v>
      </c>
      <c r="V96">
        <f ca="1"/>
        <v>29.866680178871199</v>
      </c>
      <c r="W96">
        <f ca="1"/>
        <v>20.648569012553001</v>
      </c>
      <c r="X96">
        <f ca="1"/>
        <v>0</v>
      </c>
      <c r="Y96">
        <f ca="1"/>
        <v>1</v>
      </c>
      <c r="Z96">
        <f ca="1"/>
        <v>1.3774587226410091</v>
      </c>
      <c r="AA96">
        <f ca="1"/>
        <v>0</v>
      </c>
      <c r="AB96">
        <f ca="1"/>
        <v>0.35705001121666702</v>
      </c>
      <c r="AD96" s="2">
        <f t="shared" ca="1" si="12"/>
        <v>45213</v>
      </c>
      <c r="AE96">
        <f t="shared" ca="1" si="13"/>
        <v>0</v>
      </c>
      <c r="AG96" s="65">
        <f t="shared" ca="1" si="17"/>
        <v>42.503279638445441</v>
      </c>
      <c r="AH96" s="65">
        <f t="shared" ca="1" si="18"/>
        <v>42.503279638445449</v>
      </c>
      <c r="AI96" s="3">
        <f t="shared" ca="1" si="19"/>
        <v>0</v>
      </c>
    </row>
    <row r="97" spans="7:35" x14ac:dyDescent="0.3">
      <c r="G97" s="3">
        <f t="shared" ca="1" si="14"/>
        <v>244</v>
      </c>
      <c r="H97" s="97">
        <f t="shared" ca="1" si="16"/>
        <v>45169</v>
      </c>
      <c r="I97" s="121">
        <f ca="1">HLOOKUP($H$4,'Met Data'!$A$2:$F$368,G97,FALSE)</f>
        <v>10.6666666666666</v>
      </c>
      <c r="J97" s="121">
        <f ca="1">HLOOKUP($H$4,'Met Data'!$H$2:$M$368,G97,FALSE)*L97</f>
        <v>1.7333333333333301</v>
      </c>
      <c r="K97" s="98">
        <f ca="1">HLOOKUP($H$4,'Met Data'!$O$2:$T$368,G97,FALSE)</f>
        <v>1.8075127039194601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45214</v>
      </c>
      <c r="Q97">
        <f ca="1"/>
        <v>40.690964951563714</v>
      </c>
      <c r="R97">
        <f ca="1"/>
        <v>0.990098834507119</v>
      </c>
      <c r="S97">
        <f ca="1"/>
        <v>1.1555679871751298E-5</v>
      </c>
      <c r="T97">
        <f ca="1"/>
        <v>0.14996343021149125</v>
      </c>
      <c r="U97">
        <f ca="1"/>
        <v>0</v>
      </c>
      <c r="V97">
        <f ca="1"/>
        <v>30.8567790133784</v>
      </c>
      <c r="W97">
        <f ca="1"/>
        <v>21.333081787027002</v>
      </c>
      <c r="X97">
        <f ca="1"/>
        <v>0</v>
      </c>
      <c r="Y97">
        <f ca="1"/>
        <v>1</v>
      </c>
      <c r="Z97">
        <f ca="1"/>
        <v>1.835742295912155</v>
      </c>
      <c r="AA97">
        <f ca="1"/>
        <v>0</v>
      </c>
      <c r="AB97">
        <f ca="1"/>
        <v>0.372091509931058</v>
      </c>
      <c r="AD97" s="2">
        <f t="shared" ca="1" si="12"/>
        <v>45214</v>
      </c>
      <c r="AE97">
        <f t="shared" ca="1" si="13"/>
        <v>0</v>
      </c>
      <c r="AG97" s="65">
        <f t="shared" ca="1" si="17"/>
        <v>41.68106378607083</v>
      </c>
      <c r="AH97" s="65">
        <f t="shared" ca="1" si="18"/>
        <v>41.68106378607083</v>
      </c>
      <c r="AI97" s="3">
        <f t="shared" ca="1" si="19"/>
        <v>0</v>
      </c>
    </row>
    <row r="98" spans="7:35" x14ac:dyDescent="0.3">
      <c r="G98" s="3">
        <f t="shared" ca="1" si="14"/>
        <v>245</v>
      </c>
      <c r="H98" s="97">
        <f t="shared" ca="1" si="16"/>
        <v>45170</v>
      </c>
      <c r="I98" s="121">
        <f ca="1">HLOOKUP($H$4,'Met Data'!$A$2:$F$368,G98,FALSE)</f>
        <v>10.1208333333333</v>
      </c>
      <c r="J98" s="121">
        <f ca="1">HLOOKUP($H$4,'Met Data'!$H$2:$M$368,G98,FALSE)*L98</f>
        <v>0.8</v>
      </c>
      <c r="K98" s="98">
        <f ca="1">HLOOKUP($H$4,'Met Data'!$O$2:$T$368,G98,FALSE)</f>
        <v>1.80445161149383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45215</v>
      </c>
      <c r="Q98">
        <f ca="1"/>
        <v>39.851353613840139</v>
      </c>
      <c r="R98">
        <f ca="1"/>
        <v>0.98465452368927597</v>
      </c>
      <c r="S98">
        <f ca="1"/>
        <v>9.4072984673636729E-6</v>
      </c>
      <c r="T98">
        <f ca="1"/>
        <v>0.14503377866723463</v>
      </c>
      <c r="U98">
        <f ca="1"/>
        <v>0</v>
      </c>
      <c r="V98">
        <f ca="1"/>
        <v>31.841433537067601</v>
      </c>
      <c r="W98">
        <f ca="1"/>
        <v>22.013830593528201</v>
      </c>
      <c r="X98">
        <f ca="1"/>
        <v>0</v>
      </c>
      <c r="Y98">
        <f ca="1"/>
        <v>0.98905524108303511</v>
      </c>
      <c r="Z98">
        <f ca="1"/>
        <v>0</v>
      </c>
      <c r="AA98">
        <f ca="1"/>
        <v>0</v>
      </c>
      <c r="AB98">
        <f ca="1"/>
        <v>0.38676960772382302</v>
      </c>
      <c r="AD98" s="2">
        <f t="shared" ca="1" si="12"/>
        <v>45215</v>
      </c>
      <c r="AE98">
        <f t="shared" ca="1" si="13"/>
        <v>0</v>
      </c>
      <c r="AG98" s="65">
        <f t="shared" ca="1" si="17"/>
        <v>40.836008137529419</v>
      </c>
      <c r="AH98" s="65">
        <f t="shared" ca="1" si="18"/>
        <v>40.836008137529419</v>
      </c>
      <c r="AI98" s="3">
        <f t="shared" ca="1" si="19"/>
        <v>0</v>
      </c>
    </row>
    <row r="99" spans="7:35" x14ac:dyDescent="0.3">
      <c r="G99" s="3">
        <f t="shared" ca="1" si="14"/>
        <v>246</v>
      </c>
      <c r="H99" s="97">
        <f t="shared" ca="1" si="16"/>
        <v>45171</v>
      </c>
      <c r="I99" s="121">
        <f ca="1">HLOOKUP($H$4,'Met Data'!$A$2:$F$368,G99,FALSE)</f>
        <v>9.6624999999999996</v>
      </c>
      <c r="J99" s="121">
        <f ca="1">HLOOKUP($H$4,'Met Data'!$H$2:$M$368,G99,FALSE)*L99</f>
        <v>3.0833333333333299</v>
      </c>
      <c r="K99" s="98">
        <f ca="1">HLOOKUP($H$4,'Met Data'!$O$2:$T$368,G99,FALSE)</f>
        <v>1.4517482623371101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45216</v>
      </c>
      <c r="Q99">
        <f ca="1"/>
        <v>38.94101103357935</v>
      </c>
      <c r="R99">
        <f ca="1"/>
        <v>1.0645482587019199</v>
      </c>
      <c r="S99">
        <f ca="1"/>
        <v>8.487943413251564E-6</v>
      </c>
      <c r="T99">
        <f ca="1"/>
        <v>0.15419719049772196</v>
      </c>
      <c r="U99">
        <f ca="1"/>
        <v>0</v>
      </c>
      <c r="V99">
        <f ca="1"/>
        <v>32.905981795769598</v>
      </c>
      <c r="W99">
        <f ca="1"/>
        <v>22.749814574853001</v>
      </c>
      <c r="X99">
        <f ca="1"/>
        <v>0</v>
      </c>
      <c r="Y99">
        <f ca="1"/>
        <v>0.99002045794235238</v>
      </c>
      <c r="Z99">
        <f ca="1"/>
        <v>0</v>
      </c>
      <c r="AA99">
        <f ca="1"/>
        <v>0</v>
      </c>
      <c r="AB99">
        <f ca="1"/>
        <v>0.40230087142378101</v>
      </c>
      <c r="AD99" s="2">
        <f t="shared" ca="1" si="12"/>
        <v>45216</v>
      </c>
      <c r="AE99">
        <f t="shared" ca="1" si="13"/>
        <v>0</v>
      </c>
      <c r="AG99" s="65">
        <f t="shared" ca="1" si="17"/>
        <v>40.005559292281269</v>
      </c>
      <c r="AH99" s="65">
        <f t="shared" ca="1" si="18"/>
        <v>40.005559292281269</v>
      </c>
      <c r="AI99" s="3">
        <f t="shared" ca="1" si="19"/>
        <v>0</v>
      </c>
    </row>
    <row r="100" spans="7:35" x14ac:dyDescent="0.3">
      <c r="G100" s="3">
        <f t="shared" ca="1" si="14"/>
        <v>247</v>
      </c>
      <c r="H100" s="97">
        <f t="shared" ca="1" si="16"/>
        <v>45172</v>
      </c>
      <c r="I100" s="121">
        <f ca="1">HLOOKUP($H$4,'Met Data'!$A$2:$F$368,G100,FALSE)</f>
        <v>9.7541666666666593</v>
      </c>
      <c r="J100" s="121">
        <f ca="1">HLOOKUP($H$4,'Met Data'!$H$2:$M$368,G100,FALSE)*L100</f>
        <v>1.0833333333333299</v>
      </c>
      <c r="K100" s="98">
        <f ca="1">HLOOKUP($H$4,'Met Data'!$O$2:$T$368,G100,FALSE)</f>
        <v>1.75831978881469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45217</v>
      </c>
      <c r="Q100">
        <f ca="1"/>
        <v>38.022290379436967</v>
      </c>
      <c r="R100">
        <f ca="1"/>
        <v>1.0695882632773099</v>
      </c>
      <c r="S100">
        <f ca="1"/>
        <v>7.0925157260895152E-6</v>
      </c>
      <c r="T100">
        <f ca="1"/>
        <v>0.15086051661920263</v>
      </c>
      <c r="U100">
        <f ca="1"/>
        <v>0</v>
      </c>
      <c r="V100">
        <f ca="1"/>
        <v>33.975570059046902</v>
      </c>
      <c r="W100">
        <f ca="1"/>
        <v>23.489283003785498</v>
      </c>
      <c r="X100">
        <f ca="1"/>
        <v>0</v>
      </c>
      <c r="Y100">
        <f ca="1"/>
        <v>0.99706222735777483</v>
      </c>
      <c r="Z100">
        <f ca="1"/>
        <v>0</v>
      </c>
      <c r="AA100">
        <f ca="1"/>
        <v>0</v>
      </c>
      <c r="AB100">
        <f ca="1"/>
        <v>0.41753169999317802</v>
      </c>
      <c r="AD100" s="2">
        <f t="shared" ca="1" si="12"/>
        <v>45217</v>
      </c>
      <c r="AE100">
        <f t="shared" ca="1" si="13"/>
        <v>0</v>
      </c>
      <c r="AG100" s="65">
        <f t="shared" ca="1" si="17"/>
        <v>39.091878642714278</v>
      </c>
      <c r="AH100" s="65">
        <f t="shared" ca="1" si="18"/>
        <v>39.091878642714278</v>
      </c>
      <c r="AI100" s="3">
        <f t="shared" ca="1" si="19"/>
        <v>0</v>
      </c>
    </row>
    <row r="101" spans="7:35" x14ac:dyDescent="0.3">
      <c r="G101" s="3">
        <f t="shared" ca="1" si="14"/>
        <v>248</v>
      </c>
      <c r="H101" s="97">
        <f t="shared" ca="1" si="16"/>
        <v>45173</v>
      </c>
      <c r="I101" s="121">
        <f ca="1">HLOOKUP($H$4,'Met Data'!$A$2:$F$368,G101,FALSE)</f>
        <v>10.0583333333333</v>
      </c>
      <c r="J101" s="121">
        <f ca="1">HLOOKUP($H$4,'Met Data'!$H$2:$M$368,G101,FALSE)*L101</f>
        <v>2.44999999999999</v>
      </c>
      <c r="K101" s="98">
        <f ca="1">HLOOKUP($H$4,'Met Data'!$O$2:$T$368,G101,FALSE)</f>
        <v>1.8005069619965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45218</v>
      </c>
      <c r="Q101">
        <f ca="1"/>
        <v>37.121852296344471</v>
      </c>
      <c r="R101">
        <f ca="1"/>
        <v>1.04351250548144</v>
      </c>
      <c r="S101">
        <f ca="1"/>
        <v>5.6437227442242276E-6</v>
      </c>
      <c r="T101">
        <f ca="1"/>
        <v>0.14306877866619833</v>
      </c>
      <c r="U101">
        <f ca="1"/>
        <v>0</v>
      </c>
      <c r="V101">
        <f ca="1"/>
        <v>35.019082564528297</v>
      </c>
      <c r="W101">
        <f ca="1"/>
        <v>24.2107237483159</v>
      </c>
      <c r="X101">
        <f ca="1"/>
        <v>0</v>
      </c>
      <c r="Y101">
        <f ca="1"/>
        <v>0.98134964064731822</v>
      </c>
      <c r="Z101">
        <f ca="1"/>
        <v>0</v>
      </c>
      <c r="AA101">
        <f ca="1"/>
        <v>0</v>
      </c>
      <c r="AB101">
        <f ca="1"/>
        <v>0.43201357516792099</v>
      </c>
      <c r="AD101" s="2">
        <f t="shared" ca="1" si="12"/>
        <v>45218</v>
      </c>
      <c r="AE101">
        <f t="shared" ca="1" si="13"/>
        <v>0</v>
      </c>
      <c r="AG101" s="65">
        <f t="shared" ca="1" si="17"/>
        <v>38.165364801825909</v>
      </c>
      <c r="AH101" s="65">
        <f t="shared" ca="1" si="18"/>
        <v>38.165364801825909</v>
      </c>
      <c r="AI101" s="3">
        <f t="shared" ca="1" si="19"/>
        <v>0</v>
      </c>
    </row>
    <row r="102" spans="7:35" x14ac:dyDescent="0.3">
      <c r="G102" s="3">
        <f t="shared" ca="1" si="14"/>
        <v>249</v>
      </c>
      <c r="H102" s="97">
        <f t="shared" ca="1" si="16"/>
        <v>45174</v>
      </c>
      <c r="I102" s="121">
        <f ca="1">HLOOKUP($H$4,'Met Data'!$A$2:$F$368,G102,FALSE)</f>
        <v>9.7750000000000004</v>
      </c>
      <c r="J102" s="121">
        <f ca="1">HLOOKUP($H$4,'Met Data'!$H$2:$M$368,G102,FALSE)*L102</f>
        <v>3.2</v>
      </c>
      <c r="K102" s="98">
        <f ca="1">HLOOKUP($H$4,'Met Data'!$O$2:$T$368,G102,FALSE)</f>
        <v>1.49919962363172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45219</v>
      </c>
      <c r="Q102">
        <f ca="1"/>
        <v>36.160096000146204</v>
      </c>
      <c r="R102">
        <f ca="1"/>
        <v>1.1116127969966001</v>
      </c>
      <c r="S102">
        <f ca="1"/>
        <v>4.9734271672019814E-6</v>
      </c>
      <c r="T102">
        <f ca="1"/>
        <v>0.14985152737116575</v>
      </c>
      <c r="U102">
        <f ca="1"/>
        <v>0</v>
      </c>
      <c r="V102">
        <f ca="1"/>
        <v>36.1306953615249</v>
      </c>
      <c r="W102">
        <f ca="1"/>
        <v>24.9792461758691</v>
      </c>
      <c r="X102">
        <f ca="1"/>
        <v>0</v>
      </c>
      <c r="Y102">
        <f ca="1"/>
        <v>0.96841540401245518</v>
      </c>
      <c r="Z102">
        <f ca="1"/>
        <v>0</v>
      </c>
      <c r="AA102">
        <f ca="1"/>
        <v>0</v>
      </c>
      <c r="AB102">
        <f ca="1"/>
        <v>0.44701618307848501</v>
      </c>
      <c r="AD102" s="2">
        <f t="shared" ca="1" si="12"/>
        <v>45219</v>
      </c>
      <c r="AE102">
        <f t="shared" ca="1" si="13"/>
        <v>0</v>
      </c>
      <c r="AG102" s="65">
        <f t="shared" ca="1" si="17"/>
        <v>37.271708797142807</v>
      </c>
      <c r="AH102" s="65">
        <f t="shared" ca="1" si="18"/>
        <v>37.271708797142807</v>
      </c>
      <c r="AI102" s="3">
        <f t="shared" ca="1" si="19"/>
        <v>0</v>
      </c>
    </row>
    <row r="103" spans="7:35" x14ac:dyDescent="0.3">
      <c r="G103" s="3">
        <f t="shared" ca="1" si="14"/>
        <v>250</v>
      </c>
      <c r="H103" s="97">
        <f t="shared" ca="1" si="16"/>
        <v>45175</v>
      </c>
      <c r="I103" s="121">
        <f ca="1">HLOOKUP($H$4,'Met Data'!$A$2:$F$368,G103,FALSE)</f>
        <v>10.3333333333333</v>
      </c>
      <c r="J103" s="121">
        <f ca="1">HLOOKUP($H$4,'Met Data'!$H$2:$M$368,G103,FALSE)*L103</f>
        <v>5.93333333333333</v>
      </c>
      <c r="K103" s="98">
        <f ca="1">HLOOKUP($H$4,'Met Data'!$O$2:$T$368,G103,FALSE)</f>
        <v>1.4735664157819599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45220</v>
      </c>
      <c r="Q103">
        <f ca="1"/>
        <v>35.186156952326577</v>
      </c>
      <c r="R103">
        <f ca="1"/>
        <v>1.1202536856952301</v>
      </c>
      <c r="S103">
        <f ca="1"/>
        <v>4.1204086480508453E-6</v>
      </c>
      <c r="T103">
        <f ca="1"/>
        <v>0.14631051746695869</v>
      </c>
      <c r="U103">
        <f ca="1"/>
        <v>0</v>
      </c>
      <c r="V103">
        <f ca="1"/>
        <v>37.250949047220097</v>
      </c>
      <c r="W103">
        <f ca="1"/>
        <v>25.7537425511645</v>
      </c>
      <c r="X103">
        <f ca="1"/>
        <v>0</v>
      </c>
      <c r="Y103">
        <f ca="1"/>
        <v>0.95398279591459423</v>
      </c>
      <c r="Z103">
        <f ca="1"/>
        <v>0</v>
      </c>
      <c r="AA103">
        <f ca="1"/>
        <v>0</v>
      </c>
      <c r="AB103">
        <f ca="1"/>
        <v>0.461681500514461</v>
      </c>
      <c r="AD103" s="2">
        <f t="shared" ca="1" si="12"/>
        <v>45220</v>
      </c>
      <c r="AE103">
        <f t="shared" ca="1" si="13"/>
        <v>0</v>
      </c>
      <c r="AG103" s="65">
        <f t="shared" ca="1" si="17"/>
        <v>36.306410638021809</v>
      </c>
      <c r="AH103" s="65">
        <f t="shared" ca="1" si="18"/>
        <v>36.306410638021809</v>
      </c>
      <c r="AI103" s="3">
        <f t="shared" ca="1" si="19"/>
        <v>0</v>
      </c>
    </row>
    <row r="104" spans="7:35" x14ac:dyDescent="0.3">
      <c r="G104" s="3">
        <f t="shared" ca="1" si="14"/>
        <v>251</v>
      </c>
      <c r="H104" s="97">
        <f t="shared" ca="1" si="16"/>
        <v>45176</v>
      </c>
      <c r="I104" s="121">
        <f ca="1">HLOOKUP($H$4,'Met Data'!$A$2:$F$368,G104,FALSE)</f>
        <v>10.7708333333333</v>
      </c>
      <c r="J104" s="121">
        <f ca="1">HLOOKUP($H$4,'Met Data'!$H$2:$M$368,G104,FALSE)*L104</f>
        <v>1.2</v>
      </c>
      <c r="K104" s="98">
        <f ca="1">HLOOKUP($H$4,'Met Data'!$O$2:$T$368,G104,FALSE)</f>
        <v>1.8170202832795099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45221</v>
      </c>
      <c r="Q104">
        <f ca="1"/>
        <v>34.155446329270703</v>
      </c>
      <c r="R104">
        <f ca="1"/>
        <v>1.18405892704764</v>
      </c>
      <c r="S104">
        <f ca="1"/>
        <v>3.7000729686922552E-6</v>
      </c>
      <c r="T104">
        <f ca="1"/>
        <v>0.1533446039187977</v>
      </c>
      <c r="U104">
        <f ca="1"/>
        <v>0</v>
      </c>
      <c r="V104">
        <f ca="1"/>
        <v>38.435007974267798</v>
      </c>
      <c r="W104">
        <f ca="1"/>
        <v>26.572351192086401</v>
      </c>
      <c r="X104">
        <f ca="1"/>
        <v>0</v>
      </c>
      <c r="Y104">
        <f ca="1"/>
        <v>0.96609665600118089</v>
      </c>
      <c r="Z104">
        <f ca="1"/>
        <v>0</v>
      </c>
      <c r="AA104">
        <f ca="1"/>
        <v>0</v>
      </c>
      <c r="AB104">
        <f ca="1"/>
        <v>0.47667834368842399</v>
      </c>
      <c r="AD104" s="2">
        <f t="shared" ca="1" si="12"/>
        <v>45221</v>
      </c>
      <c r="AE104">
        <f t="shared" ca="1" si="13"/>
        <v>0</v>
      </c>
      <c r="AG104" s="65">
        <f t="shared" ca="1" si="17"/>
        <v>35.33950525631834</v>
      </c>
      <c r="AH104" s="65">
        <f t="shared" ca="1" si="18"/>
        <v>35.33950525631834</v>
      </c>
      <c r="AI104" s="3">
        <f t="shared" ca="1" si="19"/>
        <v>0</v>
      </c>
    </row>
    <row r="105" spans="7:35" x14ac:dyDescent="0.3">
      <c r="G105" s="3">
        <f t="shared" ca="1" si="14"/>
        <v>252</v>
      </c>
      <c r="H105" s="97">
        <f t="shared" ca="1" si="16"/>
        <v>45177</v>
      </c>
      <c r="I105" s="121">
        <f ca="1">HLOOKUP($H$4,'Met Data'!$A$2:$F$368,G105,FALSE)</f>
        <v>10.5791666666666</v>
      </c>
      <c r="J105" s="121">
        <f ca="1">HLOOKUP($H$4,'Met Data'!$H$2:$M$368,G105,FALSE)*L105</f>
        <v>0.88333333333333297</v>
      </c>
      <c r="K105" s="98">
        <f ca="1">HLOOKUP($H$4,'Met Data'!$O$2:$T$368,G105,FALSE)</f>
        <v>1.8773510693625799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45222</v>
      </c>
      <c r="Q105">
        <f ca="1"/>
        <v>33.156003298859446</v>
      </c>
      <c r="R105">
        <f ca="1"/>
        <v>1.1434952040469899</v>
      </c>
      <c r="S105">
        <f ca="1"/>
        <v>2.980537354233122E-6</v>
      </c>
      <c r="T105">
        <f ca="1"/>
        <v>0.14404919309838005</v>
      </c>
      <c r="U105">
        <f ca="1"/>
        <v>0</v>
      </c>
      <c r="V105">
        <f ca="1"/>
        <v>39.578503178314797</v>
      </c>
      <c r="W105">
        <f ca="1"/>
        <v>27.3629157776003</v>
      </c>
      <c r="X105">
        <f ca="1"/>
        <v>0</v>
      </c>
      <c r="Y105">
        <f ca="1"/>
        <v>0.96747264068500016</v>
      </c>
      <c r="Z105">
        <f ca="1"/>
        <v>0</v>
      </c>
      <c r="AA105">
        <f ca="1"/>
        <v>0</v>
      </c>
      <c r="AB105">
        <f ca="1"/>
        <v>0.49066544364768999</v>
      </c>
      <c r="AD105" s="2">
        <f t="shared" ca="1" si="12"/>
        <v>45222</v>
      </c>
      <c r="AE105">
        <f t="shared" ca="1" si="13"/>
        <v>0</v>
      </c>
      <c r="AG105" s="65">
        <f t="shared" ca="1" si="17"/>
        <v>34.299498502906438</v>
      </c>
      <c r="AH105" s="65">
        <f t="shared" ca="1" si="18"/>
        <v>34.299498502906438</v>
      </c>
      <c r="AI105" s="3">
        <f t="shared" ca="1" si="19"/>
        <v>0</v>
      </c>
    </row>
    <row r="106" spans="7:35" x14ac:dyDescent="0.3">
      <c r="G106" s="3">
        <f t="shared" ca="1" si="14"/>
        <v>253</v>
      </c>
      <c r="H106" s="97">
        <f t="shared" ca="1" si="16"/>
        <v>45178</v>
      </c>
      <c r="I106" s="121">
        <f ca="1">HLOOKUP($H$4,'Met Data'!$A$2:$F$368,G106,FALSE)</f>
        <v>9.6125000000000007</v>
      </c>
      <c r="J106" s="121">
        <f ca="1">HLOOKUP($H$4,'Met Data'!$H$2:$M$368,G106,FALSE)*L106</f>
        <v>4.36666666666666</v>
      </c>
      <c r="K106" s="98">
        <f ca="1">HLOOKUP($H$4,'Met Data'!$O$2:$T$368,G106,FALSE)</f>
        <v>1.8525160666589899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45223</v>
      </c>
      <c r="Q106">
        <f ca="1"/>
        <v>32.128942671481795</v>
      </c>
      <c r="R106">
        <f ca="1"/>
        <v>1.1698324994580001</v>
      </c>
      <c r="S106">
        <f ca="1"/>
        <v>2.5206963994548241E-6</v>
      </c>
      <c r="T106">
        <f ca="1"/>
        <v>0.14276935138395233</v>
      </c>
      <c r="U106">
        <f ca="1"/>
        <v>0</v>
      </c>
      <c r="V106">
        <f ca="1"/>
        <v>40.748335677772801</v>
      </c>
      <c r="W106">
        <f ca="1"/>
        <v>28.1716888636454</v>
      </c>
      <c r="X106">
        <f ca="1"/>
        <v>0</v>
      </c>
      <c r="Y106">
        <f ca="1"/>
        <v>0.95036042653841479</v>
      </c>
      <c r="Z106">
        <f ca="1"/>
        <v>0</v>
      </c>
      <c r="AA106">
        <f ca="1"/>
        <v>0</v>
      </c>
      <c r="AB106">
        <f ca="1"/>
        <v>0.50446910059461303</v>
      </c>
      <c r="AD106" s="2">
        <f t="shared" ca="1" si="12"/>
        <v>45223</v>
      </c>
      <c r="AE106">
        <f t="shared" ca="1" si="13"/>
        <v>0</v>
      </c>
      <c r="AG106" s="65">
        <f t="shared" ca="1" si="17"/>
        <v>33.298775170939798</v>
      </c>
      <c r="AH106" s="65">
        <f t="shared" ca="1" si="18"/>
        <v>33.298775170939798</v>
      </c>
      <c r="AI106" s="3">
        <f t="shared" ca="1" si="19"/>
        <v>0</v>
      </c>
    </row>
    <row r="107" spans="7:35" x14ac:dyDescent="0.3">
      <c r="G107" s="3">
        <f t="shared" ca="1" si="14"/>
        <v>254</v>
      </c>
      <c r="H107" s="97">
        <f t="shared" ca="1" si="16"/>
        <v>45179</v>
      </c>
      <c r="I107" s="121">
        <f ca="1">HLOOKUP($H$4,'Met Data'!$A$2:$F$368,G107,FALSE)</f>
        <v>10.0875</v>
      </c>
      <c r="J107" s="121">
        <f ca="1">HLOOKUP($H$4,'Met Data'!$H$2:$M$368,G107,FALSE)*L107</f>
        <v>3.44999999999999</v>
      </c>
      <c r="K107" s="98">
        <f ca="1">HLOOKUP($H$4,'Met Data'!$O$2:$T$368,G107,FALSE)</f>
        <v>1.67590206119575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45224</v>
      </c>
      <c r="Q107">
        <f ca="1"/>
        <v>31.027304375384841</v>
      </c>
      <c r="R107">
        <f ca="1"/>
        <v>1.2496825066611601</v>
      </c>
      <c r="S107">
        <f ca="1"/>
        <v>2.2401360919215758E-6</v>
      </c>
      <c r="T107">
        <f ca="1"/>
        <v>0.1480419704281096</v>
      </c>
      <c r="U107">
        <f ca="1"/>
        <v>0</v>
      </c>
      <c r="V107">
        <f ca="1"/>
        <v>41.998018184433903</v>
      </c>
      <c r="W107">
        <f ca="1"/>
        <v>29.035666892942</v>
      </c>
      <c r="X107">
        <f ca="1"/>
        <v>0</v>
      </c>
      <c r="Y107">
        <f ca="1"/>
        <v>0.93713708156909747</v>
      </c>
      <c r="Z107">
        <f ca="1"/>
        <v>0</v>
      </c>
      <c r="AA107">
        <f ca="1"/>
        <v>0</v>
      </c>
      <c r="AB107">
        <f ca="1"/>
        <v>0.51865207434615102</v>
      </c>
      <c r="AD107" s="2">
        <f t="shared" ca="1" si="12"/>
        <v>45224</v>
      </c>
      <c r="AE107">
        <f t="shared" ca="1" si="13"/>
        <v>0</v>
      </c>
      <c r="AG107" s="65">
        <f t="shared" ca="1" si="17"/>
        <v>32.276986882045996</v>
      </c>
      <c r="AH107" s="65">
        <f t="shared" ca="1" si="18"/>
        <v>32.276986882046003</v>
      </c>
      <c r="AI107" s="3">
        <f t="shared" ca="1" si="19"/>
        <v>0</v>
      </c>
    </row>
    <row r="108" spans="7:35" x14ac:dyDescent="0.3">
      <c r="G108" s="3">
        <f t="shared" ca="1" si="14"/>
        <v>255</v>
      </c>
      <c r="H108" s="97">
        <f t="shared" ca="1" si="16"/>
        <v>45180</v>
      </c>
      <c r="I108" s="121">
        <f ca="1">HLOOKUP($H$4,'Met Data'!$A$2:$F$368,G108,FALSE)</f>
        <v>10.6416666666666</v>
      </c>
      <c r="J108" s="121">
        <f ca="1">HLOOKUP($H$4,'Met Data'!$H$2:$M$368,G108,FALSE)*L108</f>
        <v>6.4666666666666597</v>
      </c>
      <c r="K108" s="98">
        <f ca="1">HLOOKUP($H$4,'Met Data'!$O$2:$T$368,G108,FALSE)</f>
        <v>1.7070370554204599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45225</v>
      </c>
      <c r="Q108">
        <f ca="1"/>
        <v>61.823797585880229</v>
      </c>
      <c r="R108">
        <f ca="1"/>
        <v>1.36503531074266</v>
      </c>
      <c r="S108">
        <f ca="1"/>
        <v>2.0647644444245777E-6</v>
      </c>
      <c r="T108">
        <f ca="1"/>
        <v>0.16152645647359931</v>
      </c>
      <c r="U108">
        <f ca="1"/>
        <v>40</v>
      </c>
      <c r="V108">
        <f ca="1"/>
        <v>43.363053495176601</v>
      </c>
      <c r="W108">
        <f ca="1"/>
        <v>29.979395009011</v>
      </c>
      <c r="X108">
        <f ca="1"/>
        <v>7.9999999999999982</v>
      </c>
      <c r="Y108">
        <f ca="1"/>
        <v>0.9428759804541037</v>
      </c>
      <c r="Z108">
        <f ca="1"/>
        <v>0</v>
      </c>
      <c r="AA108">
        <f ca="1"/>
        <v>0</v>
      </c>
      <c r="AB108">
        <f ca="1"/>
        <v>0.53348617740382198</v>
      </c>
      <c r="AD108" s="2">
        <f t="shared" ca="1" si="12"/>
        <v>45225</v>
      </c>
      <c r="AE108">
        <f t="shared" ca="1" si="13"/>
        <v>40</v>
      </c>
      <c r="AG108" s="65">
        <f t="shared" ca="1" si="17"/>
        <v>71.188832896622884</v>
      </c>
      <c r="AH108" s="65">
        <f t="shared" ca="1" si="18"/>
        <v>71.188832896622884</v>
      </c>
      <c r="AI108" s="3">
        <f t="shared" ca="1" si="19"/>
        <v>0</v>
      </c>
    </row>
    <row r="109" spans="7:35" x14ac:dyDescent="0.3">
      <c r="G109" s="3">
        <f t="shared" ca="1" si="14"/>
        <v>256</v>
      </c>
      <c r="H109" s="97">
        <f t="shared" ca="1" si="16"/>
        <v>45181</v>
      </c>
      <c r="I109" s="121">
        <f ca="1">HLOOKUP($H$4,'Met Data'!$A$2:$F$368,G109,FALSE)</f>
        <v>10.4541666666666</v>
      </c>
      <c r="J109" s="121">
        <f ca="1">HLOOKUP($H$4,'Met Data'!$H$2:$M$368,G109,FALSE)*L109</f>
        <v>2.0166666666666599</v>
      </c>
      <c r="K109" s="98">
        <f ca="1">HLOOKUP($H$4,'Met Data'!$O$2:$T$368,G109,FALSE)</f>
        <v>1.9219866027073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45226</v>
      </c>
      <c r="Q109">
        <f ca="1"/>
        <v>60.585461071582884</v>
      </c>
      <c r="R109">
        <f ca="1"/>
        <v>1.40531685265628</v>
      </c>
      <c r="S109">
        <f ca="1"/>
        <v>1.7960765567251694E-6</v>
      </c>
      <c r="T109">
        <f ca="1"/>
        <v>0.16697854228238354</v>
      </c>
      <c r="U109">
        <f ca="1"/>
        <v>0</v>
      </c>
      <c r="V109">
        <f ca="1"/>
        <v>44.768370347832899</v>
      </c>
      <c r="W109">
        <f ca="1"/>
        <v>30.9509720923289</v>
      </c>
      <c r="X109">
        <f ca="1"/>
        <v>0</v>
      </c>
      <c r="Y109">
        <f ca="1"/>
        <v>0.96252995413020603</v>
      </c>
      <c r="Z109">
        <f ca="1"/>
        <v>0</v>
      </c>
      <c r="AA109">
        <f ca="1"/>
        <v>0</v>
      </c>
      <c r="AB109">
        <f ca="1"/>
        <v>0.54805165623430496</v>
      </c>
      <c r="AD109" s="2">
        <f t="shared" ca="1" si="12"/>
        <v>45226</v>
      </c>
      <c r="AE109">
        <f t="shared" ca="1" si="13"/>
        <v>0</v>
      </c>
      <c r="AG109" s="65">
        <f t="shared" ca="1" si="17"/>
        <v>61.990777924239168</v>
      </c>
      <c r="AH109" s="65">
        <f t="shared" ca="1" si="18"/>
        <v>61.990777924239161</v>
      </c>
      <c r="AI109" s="3">
        <f t="shared" ca="1" si="19"/>
        <v>0</v>
      </c>
    </row>
    <row r="110" spans="7:35" x14ac:dyDescent="0.3">
      <c r="G110" s="3">
        <f t="shared" ca="1" si="14"/>
        <v>257</v>
      </c>
      <c r="H110" s="97">
        <f t="shared" ca="1" si="16"/>
        <v>45182</v>
      </c>
      <c r="I110" s="121">
        <f ca="1">HLOOKUP($H$4,'Met Data'!$A$2:$F$368,G110,FALSE)</f>
        <v>11.216666666666599</v>
      </c>
      <c r="J110" s="121">
        <f ca="1">HLOOKUP($H$4,'Met Data'!$H$2:$M$368,G110,FALSE)*L110</f>
        <v>1.4833333333333301</v>
      </c>
      <c r="K110" s="98">
        <f ca="1">HLOOKUP($H$4,'Met Data'!$O$2:$T$368,G110,FALSE)</f>
        <v>1.86072433418519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45227</v>
      </c>
      <c r="Q110">
        <f ca="1"/>
        <v>59.362755313291999</v>
      </c>
      <c r="R110">
        <f ca="1"/>
        <v>1.3829544440924</v>
      </c>
      <c r="S110">
        <f ca="1"/>
        <v>1.4952184162930573E-6</v>
      </c>
      <c r="T110">
        <f ca="1"/>
        <v>0.1602471905830955</v>
      </c>
      <c r="U110">
        <f ca="1"/>
        <v>0</v>
      </c>
      <c r="V110">
        <f ca="1"/>
        <v>46.151324791925298</v>
      </c>
      <c r="W110">
        <f ca="1"/>
        <v>31.907088745034699</v>
      </c>
      <c r="X110">
        <f ca="1"/>
        <v>0</v>
      </c>
      <c r="Y110">
        <f ca="1"/>
        <v>0.98832485524480884</v>
      </c>
      <c r="Z110">
        <f ca="1"/>
        <v>0</v>
      </c>
      <c r="AA110">
        <f ca="1"/>
        <v>0</v>
      </c>
      <c r="AB110">
        <f ca="1"/>
        <v>0.56170088686181296</v>
      </c>
      <c r="AD110" s="2">
        <f t="shared" ca="1" si="12"/>
        <v>45227</v>
      </c>
      <c r="AE110">
        <f t="shared" ca="1" si="13"/>
        <v>0</v>
      </c>
      <c r="AG110" s="65">
        <f t="shared" ca="1" si="17"/>
        <v>60.74570975738439</v>
      </c>
      <c r="AH110" s="65">
        <f t="shared" ca="1" si="18"/>
        <v>60.745709757384397</v>
      </c>
      <c r="AI110" s="3">
        <f t="shared" ca="1" si="19"/>
        <v>0</v>
      </c>
    </row>
    <row r="111" spans="7:35" x14ac:dyDescent="0.3">
      <c r="G111" s="3">
        <f t="shared" ca="1" si="14"/>
        <v>258</v>
      </c>
      <c r="H111" s="97">
        <f t="shared" ca="1" si="16"/>
        <v>45183</v>
      </c>
      <c r="I111" s="121">
        <f ca="1">HLOOKUP($H$4,'Met Data'!$A$2:$F$368,G111,FALSE)</f>
        <v>11.1</v>
      </c>
      <c r="J111" s="121">
        <f ca="1">HLOOKUP($H$4,'Met Data'!$H$2:$M$368,G111,FALSE)*L111</f>
        <v>2.4166666666666599</v>
      </c>
      <c r="K111" s="98">
        <f ca="1">HLOOKUP($H$4,'Met Data'!$O$2:$T$368,G111,FALSE)</f>
        <v>1.6515892534407901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45228</v>
      </c>
      <c r="Q111">
        <f ca="1"/>
        <v>58.066206476004595</v>
      </c>
      <c r="R111">
        <f ca="1"/>
        <v>1.4644270551614</v>
      </c>
      <c r="S111">
        <f ca="1"/>
        <v>1.3172582555272833E-6</v>
      </c>
      <c r="T111">
        <f ca="1"/>
        <v>0.16787690061574395</v>
      </c>
      <c r="U111">
        <f ca="1"/>
        <v>0</v>
      </c>
      <c r="V111">
        <f ca="1"/>
        <v>47.615751847086699</v>
      </c>
      <c r="W111">
        <f ca="1"/>
        <v>32.919532141195702</v>
      </c>
      <c r="X111">
        <f ca="1"/>
        <v>0</v>
      </c>
      <c r="Y111">
        <f ca="1"/>
        <v>0.99571327601680737</v>
      </c>
      <c r="Z111">
        <f ca="1"/>
        <v>0</v>
      </c>
      <c r="AA111">
        <f ca="1"/>
        <v>0</v>
      </c>
      <c r="AB111">
        <f ca="1"/>
        <v>0.57543402652304998</v>
      </c>
      <c r="AD111" s="2">
        <f t="shared" ca="1" si="12"/>
        <v>45228</v>
      </c>
      <c r="AE111">
        <f t="shared" ca="1" si="13"/>
        <v>0</v>
      </c>
      <c r="AG111" s="65">
        <f t="shared" ca="1" si="17"/>
        <v>59.530633531165996</v>
      </c>
      <c r="AH111" s="65">
        <f t="shared" ca="1" si="18"/>
        <v>59.530633531165996</v>
      </c>
      <c r="AI111" s="3">
        <f t="shared" ca="1" si="19"/>
        <v>0</v>
      </c>
    </row>
    <row r="112" spans="7:35" x14ac:dyDescent="0.3">
      <c r="G112" s="3">
        <f t="shared" ca="1" si="14"/>
        <v>259</v>
      </c>
      <c r="H112" s="97">
        <f t="shared" ca="1" si="16"/>
        <v>45184</v>
      </c>
      <c r="I112" s="121">
        <f ca="1">HLOOKUP($H$4,'Met Data'!$A$2:$F$368,G112,FALSE)</f>
        <v>11.3708333333333</v>
      </c>
      <c r="J112" s="121">
        <f ca="1">HLOOKUP($H$4,'Met Data'!$H$2:$M$368,G112,FALSE)*L112</f>
        <v>1.3</v>
      </c>
      <c r="K112" s="98">
        <f ca="1">HLOOKUP($H$4,'Met Data'!$O$2:$T$368,G112,FALSE)</f>
        <v>1.8040111781852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45229</v>
      </c>
      <c r="Q112">
        <f ca="1"/>
        <v>56.829517234188444</v>
      </c>
      <c r="R112">
        <f ca="1"/>
        <v>1.39168581675686</v>
      </c>
      <c r="S112">
        <f ca="1"/>
        <v>1.0015370588653412E-6</v>
      </c>
      <c r="T112">
        <f ca="1"/>
        <v>0.15499557340364872</v>
      </c>
      <c r="U112">
        <f ca="1"/>
        <v>0</v>
      </c>
      <c r="V112">
        <f ca="1"/>
        <v>49.007437663843497</v>
      </c>
      <c r="W112">
        <f ca="1"/>
        <v>33.881685298459701</v>
      </c>
      <c r="X112">
        <f ca="1"/>
        <v>0</v>
      </c>
      <c r="Y112">
        <f ca="1"/>
        <v>0.97249873646843865</v>
      </c>
      <c r="Z112">
        <f ca="1"/>
        <v>0</v>
      </c>
      <c r="AA112">
        <f ca="1"/>
        <v>0</v>
      </c>
      <c r="AB112">
        <f ca="1"/>
        <v>0.587819802320101</v>
      </c>
      <c r="AD112" s="2">
        <f t="shared" ca="1" si="12"/>
        <v>45229</v>
      </c>
      <c r="AE112">
        <f t="shared" ca="1" si="13"/>
        <v>0</v>
      </c>
      <c r="AG112" s="65">
        <f t="shared" ca="1" si="17"/>
        <v>58.221203050945299</v>
      </c>
      <c r="AH112" s="65">
        <f t="shared" ca="1" si="18"/>
        <v>58.221203050945306</v>
      </c>
      <c r="AI112" s="3">
        <f t="shared" ca="1" si="19"/>
        <v>0</v>
      </c>
    </row>
    <row r="113" spans="7:35" x14ac:dyDescent="0.3">
      <c r="G113" s="3">
        <f t="shared" ca="1" si="14"/>
        <v>260</v>
      </c>
      <c r="H113" s="97">
        <f t="shared" ca="1" si="16"/>
        <v>45185</v>
      </c>
      <c r="I113" s="121">
        <f ca="1">HLOOKUP($H$4,'Met Data'!$A$2:$F$368,G113,FALSE)</f>
        <v>11.2916666666666</v>
      </c>
      <c r="J113" s="121">
        <f ca="1">HLOOKUP($H$4,'Met Data'!$H$2:$M$368,G113,FALSE)*L113</f>
        <v>2.6</v>
      </c>
      <c r="K113" s="98">
        <f ca="1">HLOOKUP($H$4,'Met Data'!$O$2:$T$368,G113,FALSE)</f>
        <v>1.8880733064353601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45230</v>
      </c>
      <c r="Q113">
        <f ca="1"/>
        <v>55.6119359812445</v>
      </c>
      <c r="R113">
        <f ca="1"/>
        <v>1.3667632733070401</v>
      </c>
      <c r="S113">
        <f ca="1"/>
        <v>8.2338030988819193E-7</v>
      </c>
      <c r="T113">
        <f ca="1"/>
        <v>0.14918119698277593</v>
      </c>
      <c r="U113">
        <f ca="1"/>
        <v>0</v>
      </c>
      <c r="V113">
        <f ca="1"/>
        <v>50.374200937150597</v>
      </c>
      <c r="W113">
        <f ca="1"/>
        <v>34.826608055313997</v>
      </c>
      <c r="X113">
        <f ca="1"/>
        <v>0</v>
      </c>
      <c r="Y113">
        <f ca="1"/>
        <v>0.97516739197619673</v>
      </c>
      <c r="Z113">
        <f ca="1"/>
        <v>0</v>
      </c>
      <c r="AA113">
        <f ca="1"/>
        <v>0</v>
      </c>
      <c r="AB113">
        <f ca="1"/>
        <v>0.59937457187332499</v>
      </c>
      <c r="AD113" s="2">
        <f t="shared" ca="1" si="12"/>
        <v>45230</v>
      </c>
      <c r="AE113">
        <f t="shared" ca="1" si="13"/>
        <v>0</v>
      </c>
      <c r="AG113" s="65">
        <f t="shared" ca="1" si="17"/>
        <v>56.978699254551529</v>
      </c>
      <c r="AH113" s="65">
        <f t="shared" ca="1" si="18"/>
        <v>56.978699254551543</v>
      </c>
      <c r="AI113" s="3">
        <f t="shared" ca="1" si="19"/>
        <v>0</v>
      </c>
    </row>
    <row r="114" spans="7:35" x14ac:dyDescent="0.3">
      <c r="G114" s="3">
        <f t="shared" ca="1" si="14"/>
        <v>261</v>
      </c>
      <c r="H114" s="97">
        <f t="shared" ca="1" si="16"/>
        <v>45186</v>
      </c>
      <c r="I114" s="121">
        <f ca="1">HLOOKUP($H$4,'Met Data'!$A$2:$F$368,G114,FALSE)</f>
        <v>12.2125</v>
      </c>
      <c r="J114" s="121">
        <f ca="1">HLOOKUP($H$4,'Met Data'!$H$2:$M$368,G114,FALSE)*L114</f>
        <v>4.5999999999999996</v>
      </c>
      <c r="K114" s="98">
        <f ca="1">HLOOKUP($H$4,'Met Data'!$O$2:$T$368,G114,FALSE)</f>
        <v>2.0382752192881299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45231</v>
      </c>
      <c r="Q114">
        <f ca="1"/>
        <v>54.387893014454065</v>
      </c>
      <c r="R114">
        <f ca="1"/>
        <v>1.37139104536862</v>
      </c>
      <c r="S114">
        <f ca="1"/>
        <v>6.918696098061765E-7</v>
      </c>
      <c r="T114">
        <f ca="1"/>
        <v>0.14734738670858233</v>
      </c>
      <c r="U114">
        <f ca="1"/>
        <v>0</v>
      </c>
      <c r="V114">
        <f ca="1"/>
        <v>51.745591982519201</v>
      </c>
      <c r="W114">
        <f ca="1"/>
        <v>35.774730259519401</v>
      </c>
      <c r="X114">
        <f ca="1"/>
        <v>0</v>
      </c>
      <c r="Y114">
        <f ca="1"/>
        <v>0.97193921837769226</v>
      </c>
      <c r="Z114">
        <f ca="1"/>
        <v>0</v>
      </c>
      <c r="AA114">
        <f ca="1"/>
        <v>0</v>
      </c>
      <c r="AB114">
        <f ca="1"/>
        <v>0.61038399452990599</v>
      </c>
      <c r="AD114" s="2">
        <f t="shared" ca="1" si="12"/>
        <v>45231</v>
      </c>
      <c r="AE114">
        <f t="shared" ca="1" si="13"/>
        <v>0</v>
      </c>
      <c r="AG114" s="65">
        <f t="shared" ca="1" si="17"/>
        <v>55.75928405982269</v>
      </c>
      <c r="AH114" s="65">
        <f t="shared" ca="1" si="18"/>
        <v>55.759284059822683</v>
      </c>
      <c r="AI114" s="3">
        <f t="shared" ca="1" si="19"/>
        <v>0</v>
      </c>
    </row>
    <row r="115" spans="7:35" x14ac:dyDescent="0.3">
      <c r="G115" s="3">
        <f t="shared" ca="1" si="14"/>
        <v>262</v>
      </c>
      <c r="H115" s="97">
        <f t="shared" ca="1" si="16"/>
        <v>45187</v>
      </c>
      <c r="I115" s="121">
        <f ca="1">HLOOKUP($H$4,'Met Data'!$A$2:$F$368,G115,FALSE)</f>
        <v>11.35</v>
      </c>
      <c r="J115" s="121">
        <f ca="1">HLOOKUP($H$4,'Met Data'!$H$2:$M$368,G115,FALSE)*L115</f>
        <v>3.93333333333333</v>
      </c>
      <c r="K115" s="98">
        <f ca="1">HLOOKUP($H$4,'Met Data'!$O$2:$T$368,G115,FALSE)</f>
        <v>2.00744960029109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45232</v>
      </c>
      <c r="Q115">
        <f ca="1"/>
        <v>53.062290986294073</v>
      </c>
      <c r="R115">
        <f ca="1"/>
        <v>1.48359475921425</v>
      </c>
      <c r="S115">
        <f ca="1"/>
        <v>6.210028243172844E-7</v>
      </c>
      <c r="T115">
        <f ca="1"/>
        <v>0.1579921100514349</v>
      </c>
      <c r="U115">
        <f ca="1"/>
        <v>0</v>
      </c>
      <c r="V115">
        <f ca="1"/>
        <v>53.2291867417334</v>
      </c>
      <c r="W115">
        <f ca="1"/>
        <v>36.800425401692301</v>
      </c>
      <c r="X115">
        <f ca="1"/>
        <v>0</v>
      </c>
      <c r="Y115">
        <f ca="1"/>
        <v>0.95707653553817706</v>
      </c>
      <c r="Z115">
        <f ca="1"/>
        <v>0</v>
      </c>
      <c r="AA115">
        <f ca="1"/>
        <v>0</v>
      </c>
      <c r="AB115">
        <f ca="1"/>
        <v>0.62166141980018297</v>
      </c>
      <c r="AD115" s="2">
        <f t="shared" ca="1" si="12"/>
        <v>45232</v>
      </c>
      <c r="AE115">
        <f t="shared" ca="1" si="13"/>
        <v>0</v>
      </c>
      <c r="AG115" s="65">
        <f t="shared" ca="1" si="17"/>
        <v>54.545885745508329</v>
      </c>
      <c r="AH115" s="65">
        <f t="shared" ca="1" si="18"/>
        <v>54.545885745508322</v>
      </c>
      <c r="AI115" s="3">
        <f t="shared" ca="1" si="19"/>
        <v>0</v>
      </c>
    </row>
    <row r="116" spans="7:35" x14ac:dyDescent="0.3">
      <c r="G116" s="3">
        <f t="shared" ca="1" si="14"/>
        <v>263</v>
      </c>
      <c r="H116" s="97">
        <f t="shared" ca="1" si="16"/>
        <v>45188</v>
      </c>
      <c r="I116" s="121">
        <f ca="1">HLOOKUP($H$4,'Met Data'!$A$2:$F$368,G116,FALSE)</f>
        <v>10.504166666666601</v>
      </c>
      <c r="J116" s="121">
        <f ca="1">HLOOKUP($H$4,'Met Data'!$H$2:$M$368,G116,FALSE)*L116</f>
        <v>8.7333333333333307</v>
      </c>
      <c r="K116" s="98">
        <f ca="1">HLOOKUP($H$4,'Met Data'!$O$2:$T$368,G116,FALSE)</f>
        <v>1.9387559167362001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45233</v>
      </c>
      <c r="Q116">
        <f ca="1"/>
        <v>51.613753765357664</v>
      </c>
      <c r="R116">
        <f ca="1"/>
        <v>1.6220503806150799</v>
      </c>
      <c r="S116">
        <f ca="1"/>
        <v>5.7967888494397067E-7</v>
      </c>
      <c r="T116">
        <f ca="1"/>
        <v>0.17351257999978084</v>
      </c>
      <c r="U116">
        <f ca="1"/>
        <v>0</v>
      </c>
      <c r="V116">
        <f ca="1"/>
        <v>54.8512371223485</v>
      </c>
      <c r="W116">
        <f ca="1"/>
        <v>37.921842948784203</v>
      </c>
      <c r="X116">
        <f ca="1"/>
        <v>0</v>
      </c>
      <c r="Y116">
        <f ca="1"/>
        <v>0.97838550964343418</v>
      </c>
      <c r="Z116">
        <f ca="1"/>
        <v>0</v>
      </c>
      <c r="AA116">
        <f ca="1"/>
        <v>0</v>
      </c>
      <c r="AB116">
        <f ca="1"/>
        <v>0.633272710072187</v>
      </c>
      <c r="AD116" s="2">
        <f t="shared" ca="1" si="12"/>
        <v>45233</v>
      </c>
      <c r="AE116">
        <f t="shared" ca="1" si="13"/>
        <v>0</v>
      </c>
      <c r="AG116" s="65">
        <f t="shared" ca="1" si="17"/>
        <v>53.235804145972736</v>
      </c>
      <c r="AH116" s="65">
        <f t="shared" ca="1" si="18"/>
        <v>53.235804145972743</v>
      </c>
      <c r="AI116" s="3">
        <f t="shared" ca="1" si="19"/>
        <v>0</v>
      </c>
    </row>
    <row r="117" spans="7:35" x14ac:dyDescent="0.3">
      <c r="G117" s="3">
        <f t="shared" ca="1" si="14"/>
        <v>264</v>
      </c>
      <c r="H117" s="97">
        <f t="shared" ca="1" si="16"/>
        <v>45189</v>
      </c>
      <c r="I117" s="121">
        <f ca="1">HLOOKUP($H$4,'Met Data'!$A$2:$F$368,G117,FALSE)</f>
        <v>10.387499999999999</v>
      </c>
      <c r="J117" s="121">
        <f ca="1">HLOOKUP($H$4,'Met Data'!$H$2:$M$368,G117,FALSE)*L117</f>
        <v>3.85</v>
      </c>
      <c r="K117" s="98">
        <f ca="1">HLOOKUP($H$4,'Met Data'!$O$2:$T$368,G117,FALSE)</f>
        <v>2.0861830094945102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45234</v>
      </c>
      <c r="Q117">
        <f ca="1"/>
        <v>50.190595343641775</v>
      </c>
      <c r="R117">
        <f ca="1"/>
        <v>1.58977890842416</v>
      </c>
      <c r="S117">
        <f ca="1"/>
        <v>4.6268032659765361E-7</v>
      </c>
      <c r="T117">
        <f ca="1"/>
        <v>0.16662002402795043</v>
      </c>
      <c r="U117">
        <f ca="1"/>
        <v>0</v>
      </c>
      <c r="V117">
        <f ca="1"/>
        <v>56.441016030772701</v>
      </c>
      <c r="W117">
        <f ca="1"/>
        <v>39.020949354608298</v>
      </c>
      <c r="X117">
        <f ca="1"/>
        <v>0</v>
      </c>
      <c r="Y117">
        <f ca="1"/>
        <v>0.97128956156304547</v>
      </c>
      <c r="Z117">
        <f ca="1"/>
        <v>0</v>
      </c>
      <c r="AA117">
        <f ca="1"/>
        <v>0</v>
      </c>
      <c r="AB117">
        <f ca="1"/>
        <v>0.64396079420397501</v>
      </c>
      <c r="AD117" s="2">
        <f t="shared" ca="1" si="12"/>
        <v>45234</v>
      </c>
      <c r="AE117">
        <f t="shared" ca="1" si="13"/>
        <v>0</v>
      </c>
      <c r="AG117" s="65">
        <f t="shared" ca="1" si="17"/>
        <v>51.78037425206594</v>
      </c>
      <c r="AH117" s="65">
        <f t="shared" ca="1" si="18"/>
        <v>51.780374252065933</v>
      </c>
      <c r="AI117" s="3">
        <f t="shared" ca="1" si="19"/>
        <v>0</v>
      </c>
    </row>
    <row r="118" spans="7:35" x14ac:dyDescent="0.3">
      <c r="G118" s="3">
        <f t="shared" ca="1" si="14"/>
        <v>265</v>
      </c>
      <c r="H118" s="97">
        <f t="shared" ca="1" si="16"/>
        <v>45190</v>
      </c>
      <c r="I118" s="121">
        <f ca="1">HLOOKUP($H$4,'Met Data'!$A$2:$F$368,G118,FALSE)</f>
        <v>9.85</v>
      </c>
      <c r="J118" s="121">
        <f ca="1">HLOOKUP($H$4,'Met Data'!$H$2:$M$368,G118,FALSE)*L118</f>
        <v>1.7999999999999901</v>
      </c>
      <c r="K118" s="98">
        <f ca="1">HLOOKUP($H$4,'Met Data'!$O$2:$T$368,G118,FALSE)</f>
        <v>2.1398164486974101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45235</v>
      </c>
      <c r="Q118">
        <f ca="1"/>
        <v>48.803236952500754</v>
      </c>
      <c r="R118">
        <f ca="1"/>
        <v>1.54452271834847</v>
      </c>
      <c r="S118">
        <f ca="1"/>
        <v>3.6507428403194871E-7</v>
      </c>
      <c r="T118">
        <f ca="1"/>
        <v>0.15716396213315756</v>
      </c>
      <c r="U118">
        <f ca="1"/>
        <v>0</v>
      </c>
      <c r="V118">
        <f ca="1"/>
        <v>57.985538749121098</v>
      </c>
      <c r="W118">
        <f ca="1"/>
        <v>40.088767530256597</v>
      </c>
      <c r="X118">
        <f ca="1"/>
        <v>0</v>
      </c>
      <c r="Y118">
        <f ca="1"/>
        <v>0.95257052466101444</v>
      </c>
      <c r="Z118">
        <f ca="1"/>
        <v>0</v>
      </c>
      <c r="AA118">
        <f ca="1"/>
        <v>0</v>
      </c>
      <c r="AB118">
        <f ca="1"/>
        <v>0.653722798155707</v>
      </c>
      <c r="AD118" s="2">
        <f t="shared" ca="1" si="12"/>
        <v>45235</v>
      </c>
      <c r="AE118">
        <f t="shared" ca="1" si="13"/>
        <v>0</v>
      </c>
      <c r="AG118" s="65">
        <f t="shared" ca="1" si="17"/>
        <v>50.347759670849214</v>
      </c>
      <c r="AH118" s="65">
        <f t="shared" ca="1" si="18"/>
        <v>50.347759670849221</v>
      </c>
      <c r="AI118" s="3">
        <f t="shared" ca="1" si="19"/>
        <v>0</v>
      </c>
    </row>
    <row r="119" spans="7:35" x14ac:dyDescent="0.3">
      <c r="G119" s="3">
        <f t="shared" ca="1" si="14"/>
        <v>266</v>
      </c>
      <c r="H119" s="97">
        <f t="shared" ca="1" si="16"/>
        <v>45191</v>
      </c>
      <c r="I119" s="121">
        <f ca="1">HLOOKUP($H$4,'Met Data'!$A$2:$F$368,G119,FALSE)</f>
        <v>10.158333333333299</v>
      </c>
      <c r="J119" s="121">
        <f ca="1">HLOOKUP($H$4,'Met Data'!$H$2:$M$368,G119,FALSE)*L119</f>
        <v>3.93333333333333</v>
      </c>
      <c r="K119" s="98">
        <f ca="1">HLOOKUP($H$4,'Met Data'!$O$2:$T$368,G119,FALSE)</f>
        <v>2.31412085445224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45236</v>
      </c>
      <c r="Q119">
        <f ca="1"/>
        <v>47.412068379037464</v>
      </c>
      <c r="R119">
        <f ca="1"/>
        <v>1.54157062007541</v>
      </c>
      <c r="S119">
        <f ca="1"/>
        <v>2.9811713149648492E-7</v>
      </c>
      <c r="T119">
        <f ca="1"/>
        <v>0.15040174849498825</v>
      </c>
      <c r="U119">
        <f ca="1"/>
        <v>0</v>
      </c>
      <c r="V119">
        <f ca="1"/>
        <v>59.527109369196502</v>
      </c>
      <c r="W119">
        <f ca="1"/>
        <v>41.154544749074198</v>
      </c>
      <c r="X119">
        <f ca="1"/>
        <v>0</v>
      </c>
      <c r="Y119">
        <f ca="1"/>
        <v>0.92947985000938338</v>
      </c>
      <c r="Z119">
        <f ca="1"/>
        <v>0</v>
      </c>
      <c r="AA119">
        <f ca="1"/>
        <v>0</v>
      </c>
      <c r="AB119">
        <f ca="1"/>
        <v>0.66288769828092398</v>
      </c>
      <c r="AD119" s="2">
        <f t="shared" ca="1" si="12"/>
        <v>45236</v>
      </c>
      <c r="AE119">
        <f t="shared" ca="1" si="13"/>
        <v>0</v>
      </c>
      <c r="AG119" s="65">
        <f t="shared" ca="1" si="17"/>
        <v>48.953638999112869</v>
      </c>
      <c r="AH119" s="65">
        <f t="shared" ca="1" si="18"/>
        <v>48.953638999112876</v>
      </c>
      <c r="AI119" s="3">
        <f t="shared" ca="1" si="19"/>
        <v>0</v>
      </c>
    </row>
    <row r="120" spans="7:35" x14ac:dyDescent="0.3">
      <c r="G120" s="3">
        <f t="shared" ca="1" si="14"/>
        <v>267</v>
      </c>
      <c r="H120" s="97">
        <f t="shared" ca="1" si="16"/>
        <v>45192</v>
      </c>
      <c r="I120" s="121">
        <f ca="1">HLOOKUP($H$4,'Met Data'!$A$2:$F$368,G120,FALSE)</f>
        <v>10.9625</v>
      </c>
      <c r="J120" s="121">
        <f ca="1">HLOOKUP($H$4,'Met Data'!$H$2:$M$368,G120,FALSE)*L120</f>
        <v>1.86666666666666</v>
      </c>
      <c r="K120" s="98">
        <f ca="1">HLOOKUP($H$4,'Met Data'!$O$2:$T$368,G120,FALSE)</f>
        <v>2.2059606634486699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45237</v>
      </c>
      <c r="Q120">
        <f ca="1"/>
        <v>45.974928264157519</v>
      </c>
      <c r="R120">
        <f ca="1"/>
        <v>1.58955049155568</v>
      </c>
      <c r="S120">
        <f ca="1"/>
        <v>2.5731910282791171E-7</v>
      </c>
      <c r="T120">
        <f ca="1"/>
        <v>0.15241011935663423</v>
      </c>
      <c r="U120">
        <f ca="1"/>
        <v>0</v>
      </c>
      <c r="V120">
        <f ca="1"/>
        <v>61.1166598607522</v>
      </c>
      <c r="W120">
        <f ca="1"/>
        <v>42.253493237063303</v>
      </c>
      <c r="X120">
        <f ca="1"/>
        <v>0</v>
      </c>
      <c r="Y120">
        <f ca="1"/>
        <v>0.92111575992938255</v>
      </c>
      <c r="Z120">
        <f ca="1"/>
        <v>0</v>
      </c>
      <c r="AA120">
        <f ca="1"/>
        <v>0</v>
      </c>
      <c r="AB120">
        <f ca="1"/>
        <v>0.67176594011697499</v>
      </c>
      <c r="AD120" s="2">
        <f t="shared" ca="1" si="12"/>
        <v>45237</v>
      </c>
      <c r="AE120">
        <f t="shared" ca="1" si="13"/>
        <v>0</v>
      </c>
      <c r="AG120" s="65">
        <f t="shared" ca="1" si="17"/>
        <v>47.564478755713196</v>
      </c>
      <c r="AH120" s="65">
        <f t="shared" ca="1" si="18"/>
        <v>47.564478755713196</v>
      </c>
      <c r="AI120" s="3">
        <f t="shared" ca="1" si="19"/>
        <v>0</v>
      </c>
    </row>
    <row r="121" spans="7:35" x14ac:dyDescent="0.3">
      <c r="G121" s="3">
        <f t="shared" ca="1" si="14"/>
        <v>268</v>
      </c>
      <c r="H121" s="97">
        <f t="shared" ca="1" si="16"/>
        <v>45193</v>
      </c>
      <c r="I121" s="121">
        <f ca="1">HLOOKUP($H$4,'Met Data'!$A$2:$F$368,G121,FALSE)</f>
        <v>11.6458333333333</v>
      </c>
      <c r="J121" s="121">
        <f ca="1">HLOOKUP($H$4,'Met Data'!$H$2:$M$368,G121,FALSE)*L121</f>
        <v>5.5166666666666604</v>
      </c>
      <c r="K121" s="98">
        <f ca="1">HLOOKUP($H$4,'Met Data'!$O$2:$T$368,G121,FALSE)</f>
        <v>1.6755097599300399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45238</v>
      </c>
      <c r="Q121">
        <f ca="1"/>
        <v>44.473957208609967</v>
      </c>
      <c r="R121">
        <f ca="1"/>
        <v>1.65924648713126</v>
      </c>
      <c r="S121">
        <f ca="1"/>
        <v>2.2626397242089355E-7</v>
      </c>
      <c r="T121">
        <f ca="1"/>
        <v>0.1582752053197363</v>
      </c>
      <c r="U121">
        <f ca="1"/>
        <v>0</v>
      </c>
      <c r="V121">
        <f ca="1"/>
        <v>62.775906347883499</v>
      </c>
      <c r="W121">
        <f ca="1"/>
        <v>43.400626610882398</v>
      </c>
      <c r="X121">
        <f ca="1"/>
        <v>0</v>
      </c>
      <c r="Y121">
        <f ca="1"/>
        <v>0.919841154554909</v>
      </c>
      <c r="Z121">
        <f ca="1"/>
        <v>0</v>
      </c>
      <c r="AA121">
        <f ca="1"/>
        <v>0</v>
      </c>
      <c r="AB121">
        <f ca="1"/>
        <v>0.68044970520284698</v>
      </c>
      <c r="AD121" s="2">
        <f t="shared" ca="1" si="12"/>
        <v>45238</v>
      </c>
      <c r="AE121">
        <f t="shared" ca="1" si="13"/>
        <v>0</v>
      </c>
      <c r="AG121" s="65">
        <f t="shared" ca="1" si="17"/>
        <v>46.13320369574123</v>
      </c>
      <c r="AH121" s="65">
        <f t="shared" ca="1" si="18"/>
        <v>46.13320369574123</v>
      </c>
      <c r="AI121" s="3">
        <f t="shared" ca="1" si="19"/>
        <v>0</v>
      </c>
    </row>
    <row r="122" spans="7:35" x14ac:dyDescent="0.3">
      <c r="G122" s="3">
        <f t="shared" ca="1" si="14"/>
        <v>269</v>
      </c>
      <c r="H122" s="97">
        <f t="shared" ca="1" si="16"/>
        <v>45194</v>
      </c>
      <c r="I122" s="121">
        <f ca="1">HLOOKUP($H$4,'Met Data'!$A$2:$F$368,G122,FALSE)</f>
        <v>12.112500000000001</v>
      </c>
      <c r="J122" s="121">
        <f ca="1">HLOOKUP($H$4,'Met Data'!$H$2:$M$368,G122,FALSE)*L122</f>
        <v>1.56666666666666</v>
      </c>
      <c r="K122" s="98">
        <f ca="1">HLOOKUP($H$4,'Met Data'!$O$2:$T$368,G122,FALSE)</f>
        <v>2.1669648664524801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45239</v>
      </c>
      <c r="Q122">
        <f ca="1"/>
        <v>42.927321174735603</v>
      </c>
      <c r="R122">
        <f ca="1"/>
        <v>1.7088496311863901</v>
      </c>
      <c r="S122">
        <f ca="1"/>
        <v>1.9558685741198992E-7</v>
      </c>
      <c r="T122">
        <f ca="1"/>
        <v>0.16221340172516718</v>
      </c>
      <c r="U122">
        <f ca="1"/>
        <v>0</v>
      </c>
      <c r="V122">
        <f ca="1"/>
        <v>64.484755979069902</v>
      </c>
      <c r="W122">
        <f ca="1"/>
        <v>44.582053516393998</v>
      </c>
      <c r="X122">
        <f ca="1"/>
        <v>0</v>
      </c>
      <c r="Y122">
        <f ca="1"/>
        <v>0.91981240471324199</v>
      </c>
      <c r="Z122">
        <f ca="1"/>
        <v>0</v>
      </c>
      <c r="AA122">
        <f ca="1"/>
        <v>0</v>
      </c>
      <c r="AB122">
        <f ca="1"/>
        <v>0.68880763344162399</v>
      </c>
      <c r="AD122" s="2">
        <f t="shared" ca="1" si="12"/>
        <v>45239</v>
      </c>
      <c r="AE122">
        <f t="shared" ca="1" si="13"/>
        <v>0</v>
      </c>
      <c r="AG122" s="65">
        <f t="shared" ca="1" si="17"/>
        <v>44.636170805921992</v>
      </c>
      <c r="AH122" s="65">
        <f t="shared" ca="1" si="18"/>
        <v>44.636170805921992</v>
      </c>
      <c r="AI122" s="3">
        <f t="shared" ca="1" si="19"/>
        <v>0</v>
      </c>
    </row>
    <row r="123" spans="7:35" x14ac:dyDescent="0.3">
      <c r="G123" s="3">
        <f t="shared" ca="1" si="14"/>
        <v>270</v>
      </c>
      <c r="H123" s="97">
        <f t="shared" ca="1" si="16"/>
        <v>45195</v>
      </c>
      <c r="I123" s="121">
        <f ca="1">HLOOKUP($H$4,'Met Data'!$A$2:$F$368,G123,FALSE)</f>
        <v>11.6875</v>
      </c>
      <c r="J123" s="121">
        <f ca="1">HLOOKUP($H$4,'Met Data'!$H$2:$M$368,G123,FALSE)*L123</f>
        <v>1.0833333333333299</v>
      </c>
      <c r="K123" s="98">
        <f ca="1">HLOOKUP($H$4,'Met Data'!$O$2:$T$368,G123,FALSE)</f>
        <v>2.2423317945335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45240</v>
      </c>
      <c r="Q123">
        <f ca="1"/>
        <v>41.419301951421936</v>
      </c>
      <c r="R123">
        <f ca="1"/>
        <v>1.6626368146489501</v>
      </c>
      <c r="S123">
        <f ca="1"/>
        <v>1.5850569730286911E-7</v>
      </c>
      <c r="T123">
        <f ca="1"/>
        <v>0.15461743282958645</v>
      </c>
      <c r="U123">
        <f ca="1"/>
        <v>0</v>
      </c>
      <c r="V123">
        <f ca="1"/>
        <v>66.147392793718794</v>
      </c>
      <c r="W123">
        <f ca="1"/>
        <v>45.731530820348802</v>
      </c>
      <c r="X123">
        <f ca="1"/>
        <v>0</v>
      </c>
      <c r="Y123">
        <f ca="1"/>
        <v>0.91527934984596415</v>
      </c>
      <c r="Z123">
        <f ca="1"/>
        <v>0</v>
      </c>
      <c r="AA123">
        <f ca="1"/>
        <v>0</v>
      </c>
      <c r="AB123">
        <f ca="1"/>
        <v>0.69640507070511903</v>
      </c>
      <c r="AD123" s="2">
        <f t="shared" ca="1" si="12"/>
        <v>45240</v>
      </c>
      <c r="AE123">
        <f t="shared" ca="1" si="13"/>
        <v>0</v>
      </c>
      <c r="AG123" s="65">
        <f t="shared" ca="1" si="17"/>
        <v>43.081938766070891</v>
      </c>
      <c r="AH123" s="65">
        <f t="shared" ca="1" si="18"/>
        <v>43.081938766070884</v>
      </c>
      <c r="AI123" s="3">
        <f t="shared" ca="1" si="19"/>
        <v>0</v>
      </c>
    </row>
    <row r="124" spans="7:35" x14ac:dyDescent="0.3">
      <c r="G124" s="3">
        <f t="shared" ca="1" si="14"/>
        <v>271</v>
      </c>
      <c r="H124" s="97">
        <f t="shared" ca="1" si="16"/>
        <v>45196</v>
      </c>
      <c r="I124" s="121">
        <f ca="1">HLOOKUP($H$4,'Met Data'!$A$2:$F$368,G124,FALSE)</f>
        <v>12.0541666666666</v>
      </c>
      <c r="J124" s="121">
        <f ca="1">HLOOKUP($H$4,'Met Data'!$H$2:$M$368,G124,FALSE)*L124</f>
        <v>1.05</v>
      </c>
      <c r="K124" s="98">
        <f ca="1">HLOOKUP($H$4,'Met Data'!$O$2:$T$368,G124,FALSE)</f>
        <v>2.4484809787012698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45241</v>
      </c>
      <c r="Q124">
        <f ca="1"/>
        <v>39.876687472064454</v>
      </c>
      <c r="R124">
        <f ca="1"/>
        <v>1.7022314969707799</v>
      </c>
      <c r="S124">
        <f ca="1"/>
        <v>1.3840166071292996E-7</v>
      </c>
      <c r="T124">
        <f ca="1"/>
        <v>0.15961687921163498</v>
      </c>
      <c r="U124">
        <f ca="1"/>
        <v>0</v>
      </c>
      <c r="V124">
        <f ca="1"/>
        <v>67.849624290689604</v>
      </c>
      <c r="W124">
        <f ca="1"/>
        <v>46.908382225662002</v>
      </c>
      <c r="X124">
        <f ca="1"/>
        <v>0</v>
      </c>
      <c r="Y124">
        <f ca="1"/>
        <v>0.92483282397434474</v>
      </c>
      <c r="Z124">
        <f ca="1"/>
        <v>0</v>
      </c>
      <c r="AA124">
        <f ca="1"/>
        <v>0</v>
      </c>
      <c r="AB124">
        <f ca="1"/>
        <v>0.70367227898137097</v>
      </c>
      <c r="AD124" s="2">
        <f t="shared" ca="1" si="12"/>
        <v>45241</v>
      </c>
      <c r="AE124">
        <f t="shared" ca="1" si="13"/>
        <v>0</v>
      </c>
      <c r="AG124" s="65">
        <f t="shared" ca="1" si="17"/>
        <v>41.578918969035229</v>
      </c>
      <c r="AH124" s="65">
        <f t="shared" ca="1" si="18"/>
        <v>41.578918969035236</v>
      </c>
      <c r="AI124" s="3">
        <f t="shared" ca="1" si="19"/>
        <v>0</v>
      </c>
    </row>
    <row r="125" spans="7:35" x14ac:dyDescent="0.3">
      <c r="G125" s="3">
        <f t="shared" ca="1" si="14"/>
        <v>272</v>
      </c>
      <c r="H125" s="97">
        <f t="shared" ca="1" si="16"/>
        <v>45197</v>
      </c>
      <c r="I125" s="121">
        <f ca="1">HLOOKUP($H$4,'Met Data'!$A$2:$F$368,G125,FALSE)</f>
        <v>12.3291666666666</v>
      </c>
      <c r="J125" s="121">
        <f ca="1">HLOOKUP($H$4,'Met Data'!$H$2:$M$368,G125,FALSE)*L125</f>
        <v>5.1499999999999897</v>
      </c>
      <c r="K125" s="98">
        <f ca="1">HLOOKUP($H$4,'Met Data'!$O$2:$T$368,G125,FALSE)</f>
        <v>2.13295390564413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45242</v>
      </c>
      <c r="Q125">
        <f ca="1"/>
        <v>38.415957633288961</v>
      </c>
      <c r="R125">
        <f ca="1"/>
        <v>1.6095302408041501</v>
      </c>
      <c r="S125">
        <f ca="1"/>
        <v>1.1027097434750826E-7</v>
      </c>
      <c r="T125">
        <f ca="1"/>
        <v>0.14880029175768561</v>
      </c>
      <c r="U125">
        <f ca="1"/>
        <v>0</v>
      </c>
      <c r="V125">
        <f ca="1"/>
        <v>69.459154531493795</v>
      </c>
      <c r="W125">
        <f ca="1"/>
        <v>48.021143873625299</v>
      </c>
      <c r="X125">
        <f ca="1"/>
        <v>0</v>
      </c>
      <c r="Y125">
        <f ca="1"/>
        <v>0.92679121561614219</v>
      </c>
      <c r="Z125">
        <f ca="1"/>
        <v>0</v>
      </c>
      <c r="AA125">
        <f ca="1"/>
        <v>0</v>
      </c>
      <c r="AB125">
        <f ca="1"/>
        <v>0.71009823697791696</v>
      </c>
      <c r="AD125" s="2">
        <f t="shared" ca="1" si="12"/>
        <v>45242</v>
      </c>
      <c r="AE125">
        <f t="shared" ca="1" si="13"/>
        <v>0</v>
      </c>
      <c r="AG125" s="65">
        <f t="shared" ca="1" si="17"/>
        <v>40.025487874093116</v>
      </c>
      <c r="AH125" s="65">
        <f t="shared" ca="1" si="18"/>
        <v>40.025487874093109</v>
      </c>
      <c r="AI125" s="3">
        <f t="shared" ca="1" si="19"/>
        <v>0</v>
      </c>
    </row>
    <row r="126" spans="7:35" x14ac:dyDescent="0.3">
      <c r="G126" s="3">
        <f t="shared" ca="1" si="14"/>
        <v>273</v>
      </c>
      <c r="H126" s="97">
        <f t="shared" ca="1" si="16"/>
        <v>45198</v>
      </c>
      <c r="I126" s="121">
        <f ca="1">HLOOKUP($H$4,'Met Data'!$A$2:$F$368,G126,FALSE)</f>
        <v>12.65</v>
      </c>
      <c r="J126" s="121">
        <f ca="1">HLOOKUP($H$4,'Met Data'!$H$2:$M$368,G126,FALSE)*L126</f>
        <v>2.15</v>
      </c>
      <c r="K126" s="98">
        <f ca="1">HLOOKUP($H$4,'Met Data'!$O$2:$T$368,G126,FALSE)</f>
        <v>2.3067555107961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45243</v>
      </c>
      <c r="Q126">
        <f ca="1"/>
        <v>37.001464322347303</v>
      </c>
      <c r="R126">
        <f ca="1"/>
        <v>1.5536814863508499</v>
      </c>
      <c r="S126">
        <f ca="1"/>
        <v>8.8921277277785558E-8</v>
      </c>
      <c r="T126">
        <f ca="1"/>
        <v>0.13918808648791428</v>
      </c>
      <c r="U126">
        <f ca="1"/>
        <v>0</v>
      </c>
      <c r="V126">
        <f ca="1"/>
        <v>71.012836017844606</v>
      </c>
      <c r="W126">
        <f ca="1"/>
        <v>49.095294037028403</v>
      </c>
      <c r="X126">
        <f ca="1"/>
        <v>0</v>
      </c>
      <c r="Y126">
        <f ca="1"/>
        <v>0.91008575674909908</v>
      </c>
      <c r="Z126">
        <f ca="1"/>
        <v>0</v>
      </c>
      <c r="AA126">
        <f ca="1"/>
        <v>0</v>
      </c>
      <c r="AB126">
        <f ca="1"/>
        <v>0.71591622921879905</v>
      </c>
      <c r="AD126" s="2">
        <f t="shared" ca="1" si="12"/>
        <v>45243</v>
      </c>
      <c r="AE126">
        <f t="shared" ca="1" si="13"/>
        <v>0</v>
      </c>
      <c r="AG126" s="65">
        <f t="shared" ca="1" si="17"/>
        <v>38.55514580869815</v>
      </c>
      <c r="AH126" s="65">
        <f t="shared" ca="1" si="18"/>
        <v>38.55514580869815</v>
      </c>
      <c r="AI126" s="3">
        <f t="shared" ca="1" si="19"/>
        <v>0</v>
      </c>
    </row>
    <row r="127" spans="7:35" x14ac:dyDescent="0.3">
      <c r="G127" s="3">
        <f t="shared" ca="1" si="14"/>
        <v>274</v>
      </c>
      <c r="H127" s="97">
        <f t="shared" ca="1" si="16"/>
        <v>45199</v>
      </c>
      <c r="I127" s="121">
        <f ca="1">HLOOKUP($H$4,'Met Data'!$A$2:$F$368,G127,FALSE)</f>
        <v>12.5208333333333</v>
      </c>
      <c r="J127" s="121">
        <f ca="1">HLOOKUP($H$4,'Met Data'!$H$2:$M$368,G127,FALSE)*L127</f>
        <v>5.61666666666666</v>
      </c>
      <c r="K127" s="98">
        <f ca="1">HLOOKUP($H$4,'Met Data'!$O$2:$T$368,G127,FALSE)</f>
        <v>2.4465918649770302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45244</v>
      </c>
      <c r="Q127">
        <f ca="1"/>
        <v>35.573561645470846</v>
      </c>
      <c r="R127">
        <f ca="1"/>
        <v>1.5648027286642201</v>
      </c>
      <c r="S127">
        <f ca="1"/>
        <v>7.5633119292071963E-8</v>
      </c>
      <c r="T127">
        <f ca="1"/>
        <v>0.136899976154641</v>
      </c>
      <c r="U127">
        <f ca="1"/>
        <v>0</v>
      </c>
      <c r="V127">
        <f ca="1"/>
        <v>72.577638746508796</v>
      </c>
      <c r="W127">
        <f ca="1"/>
        <v>50.177132960549301</v>
      </c>
      <c r="X127">
        <f ca="1"/>
        <v>0</v>
      </c>
      <c r="Y127">
        <f ca="1"/>
        <v>0.89406274474764269</v>
      </c>
      <c r="Z127">
        <f ca="1"/>
        <v>0</v>
      </c>
      <c r="AA127">
        <f ca="1"/>
        <v>0</v>
      </c>
      <c r="AB127">
        <f ca="1"/>
        <v>0.72141704823504504</v>
      </c>
      <c r="AD127" s="2">
        <f t="shared" ca="1" si="12"/>
        <v>45244</v>
      </c>
      <c r="AE127">
        <f t="shared" ca="1" si="13"/>
        <v>0</v>
      </c>
      <c r="AG127" s="65">
        <f t="shared" ca="1" si="17"/>
        <v>37.138364374135058</v>
      </c>
      <c r="AH127" s="65">
        <f t="shared" ca="1" si="18"/>
        <v>37.138364374135065</v>
      </c>
      <c r="AI127" s="3">
        <f t="shared" ca="1" si="19"/>
        <v>0</v>
      </c>
    </row>
    <row r="128" spans="7:35" x14ac:dyDescent="0.3">
      <c r="G128" s="3">
        <f t="shared" ca="1" si="14"/>
        <v>275</v>
      </c>
      <c r="H128" s="97">
        <f t="shared" ca="1" si="16"/>
        <v>45200</v>
      </c>
      <c r="I128" s="121">
        <f ca="1">HLOOKUP($H$4,'Met Data'!$A$2:$F$368,G128,FALSE)</f>
        <v>11.65</v>
      </c>
      <c r="J128" s="121">
        <f ca="1">HLOOKUP($H$4,'Met Data'!$H$2:$M$368,G128,FALSE)*L128</f>
        <v>2.35</v>
      </c>
      <c r="K128" s="98">
        <f ca="1">HLOOKUP($H$4,'Met Data'!$O$2:$T$368,G128,FALSE)</f>
        <v>2.46735033441291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45245</v>
      </c>
      <c r="Q128">
        <f ca="1"/>
        <v>34.041285044942853</v>
      </c>
      <c r="R128">
        <f ca="1"/>
        <v>1.67823479158724</v>
      </c>
      <c r="S128">
        <f ca="1"/>
        <v>6.9140761714240459E-8</v>
      </c>
      <c r="T128">
        <f ca="1"/>
        <v>0.14595812191848409</v>
      </c>
      <c r="U128">
        <f ca="1"/>
        <v>0</v>
      </c>
      <c r="V128">
        <f ca="1"/>
        <v>74.255873538096097</v>
      </c>
      <c r="W128">
        <f ca="1"/>
        <v>51.337394051029399</v>
      </c>
      <c r="X128">
        <f ca="1"/>
        <v>0</v>
      </c>
      <c r="Y128">
        <f ca="1"/>
        <v>0.88384920602953476</v>
      </c>
      <c r="Z128">
        <f ca="1"/>
        <v>0</v>
      </c>
      <c r="AA128">
        <f ca="1"/>
        <v>0</v>
      </c>
      <c r="AB128">
        <f ca="1"/>
        <v>0.72694141718438399</v>
      </c>
      <c r="AD128" s="2">
        <f t="shared" ca="1" si="12"/>
        <v>45245</v>
      </c>
      <c r="AE128">
        <f t="shared" ca="1" si="13"/>
        <v>0</v>
      </c>
      <c r="AG128" s="65">
        <f t="shared" ca="1" si="17"/>
        <v>35.71951983653009</v>
      </c>
      <c r="AH128" s="65">
        <f t="shared" ca="1" si="18"/>
        <v>35.719519836530097</v>
      </c>
      <c r="AI128" s="3">
        <f t="shared" ca="1" si="19"/>
        <v>0</v>
      </c>
    </row>
    <row r="129" spans="7:35" x14ac:dyDescent="0.3">
      <c r="G129" s="3">
        <f t="shared" ca="1" si="14"/>
        <v>276</v>
      </c>
      <c r="H129" s="97">
        <f t="shared" ca="1" si="16"/>
        <v>45201</v>
      </c>
      <c r="I129" s="121">
        <f ca="1">HLOOKUP($H$4,'Met Data'!$A$2:$F$368,G129,FALSE)</f>
        <v>12.0166666666666</v>
      </c>
      <c r="J129" s="121">
        <f ca="1">HLOOKUP($H$4,'Met Data'!$H$2:$M$368,G129,FALSE)*L129</f>
        <v>2.2833333333333301</v>
      </c>
      <c r="K129" s="98">
        <f ca="1">HLOOKUP($H$4,'Met Data'!$O$2:$T$368,G129,FALSE)</f>
        <v>2.1199025888480301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45246</v>
      </c>
      <c r="Q129">
        <f ca="1"/>
        <v>32.36488192838101</v>
      </c>
      <c r="R129">
        <f ca="1"/>
        <v>1.8426232907331399</v>
      </c>
      <c r="S129">
        <f ca="1"/>
        <v>6.6098412021883718E-8</v>
      </c>
      <c r="T129">
        <f ca="1"/>
        <v>0.16622010807288676</v>
      </c>
      <c r="U129">
        <f ca="1"/>
        <v>0</v>
      </c>
      <c r="V129">
        <f ca="1"/>
        <v>76.098496828829198</v>
      </c>
      <c r="W129">
        <f ca="1"/>
        <v>52.6113064495609</v>
      </c>
      <c r="X129">
        <f ca="1"/>
        <v>0</v>
      </c>
      <c r="Y129">
        <f ca="1"/>
        <v>0.89991626414453407</v>
      </c>
      <c r="Z129">
        <f ca="1"/>
        <v>0</v>
      </c>
      <c r="AA129">
        <f ca="1"/>
        <v>0</v>
      </c>
      <c r="AB129">
        <f ca="1"/>
        <v>0.73258931715888798</v>
      </c>
      <c r="AD129" s="2">
        <f t="shared" ca="1" si="12"/>
        <v>45246</v>
      </c>
      <c r="AE129">
        <f t="shared" ca="1" si="13"/>
        <v>0</v>
      </c>
      <c r="AG129" s="65">
        <f t="shared" ca="1" si="17"/>
        <v>34.207505219114147</v>
      </c>
      <c r="AH129" s="65">
        <f t="shared" ca="1" si="18"/>
        <v>34.207505219114147</v>
      </c>
      <c r="AI129" s="3">
        <f t="shared" ca="1" si="19"/>
        <v>0</v>
      </c>
    </row>
    <row r="130" spans="7:35" x14ac:dyDescent="0.3">
      <c r="G130" s="3">
        <f t="shared" ca="1" si="14"/>
        <v>277</v>
      </c>
      <c r="H130" s="97">
        <f t="shared" ca="1" si="16"/>
        <v>45202</v>
      </c>
      <c r="I130" s="121">
        <f ca="1">HLOOKUP($H$4,'Met Data'!$A$2:$F$368,G130,FALSE)</f>
        <v>12.941666666666601</v>
      </c>
      <c r="J130" s="121">
        <f ca="1">HLOOKUP($H$4,'Met Data'!$H$2:$M$368,G130,FALSE)*L130</f>
        <v>4.2666666666666604</v>
      </c>
      <c r="K130" s="98">
        <f ca="1">HLOOKUP($H$4,'Met Data'!$O$2:$T$368,G130,FALSE)</f>
        <v>2.6275875550097898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45247</v>
      </c>
      <c r="Q130">
        <f ca="1"/>
        <v>30.668191077433853</v>
      </c>
      <c r="R130">
        <f ca="1"/>
        <v>1.8703001788292499</v>
      </c>
      <c r="S130">
        <f ca="1"/>
        <v>5.7654493293608278E-8</v>
      </c>
      <c r="T130">
        <f ca="1"/>
        <v>0.17360927022759665</v>
      </c>
      <c r="U130">
        <f ca="1"/>
        <v>0</v>
      </c>
      <c r="V130">
        <f ca="1"/>
        <v>77.968797007658495</v>
      </c>
      <c r="W130">
        <f ca="1"/>
        <v>53.904353486776202</v>
      </c>
      <c r="X130">
        <f ca="1"/>
        <v>0</v>
      </c>
      <c r="Y130">
        <f ca="1"/>
        <v>0.92113115926855094</v>
      </c>
      <c r="Z130">
        <f ca="1"/>
        <v>0</v>
      </c>
      <c r="AA130">
        <f ca="1"/>
        <v>0</v>
      </c>
      <c r="AB130">
        <f ca="1"/>
        <v>0.73790648196901898</v>
      </c>
      <c r="AD130" s="2">
        <f t="shared" ca="1" si="12"/>
        <v>45247</v>
      </c>
      <c r="AE130">
        <f t="shared" ca="1" si="13"/>
        <v>0</v>
      </c>
      <c r="AG130" s="65">
        <f t="shared" ca="1" si="17"/>
        <v>32.5384912562631</v>
      </c>
      <c r="AH130" s="65">
        <f t="shared" ca="1" si="18"/>
        <v>32.5384912562631</v>
      </c>
      <c r="AI130" s="3">
        <f t="shared" ca="1" si="19"/>
        <v>0</v>
      </c>
    </row>
    <row r="131" spans="7:35" x14ac:dyDescent="0.3">
      <c r="G131" s="3">
        <f t="shared" ca="1" si="14"/>
        <v>278</v>
      </c>
      <c r="H131" s="97">
        <f t="shared" ca="1" si="16"/>
        <v>45203</v>
      </c>
      <c r="I131" s="121">
        <f ca="1">HLOOKUP($H$4,'Met Data'!$A$2:$F$368,G131,FALSE)</f>
        <v>11.95</v>
      </c>
      <c r="J131" s="121">
        <f ca="1">HLOOKUP($H$4,'Met Data'!$H$2:$M$368,G131,FALSE)*L131</f>
        <v>1.13333333333333</v>
      </c>
      <c r="K131" s="98">
        <f ca="1">HLOOKUP($H$4,'Met Data'!$O$2:$T$368,G131,FALSE)</f>
        <v>2.2251605523882798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45248</v>
      </c>
      <c r="Q131">
        <f ca="1"/>
        <v>61.031011953369244</v>
      </c>
      <c r="R131">
        <f ca="1"/>
        <v>1.80883587264978</v>
      </c>
      <c r="S131">
        <f ca="1"/>
        <v>4.7747116416292111E-8</v>
      </c>
      <c r="T131">
        <f ca="1"/>
        <v>0.17165670083805781</v>
      </c>
      <c r="U131">
        <f ca="1"/>
        <v>40</v>
      </c>
      <c r="V131">
        <f ca="1"/>
        <v>79.777632880308204</v>
      </c>
      <c r="W131">
        <f ca="1"/>
        <v>55.154906682682302</v>
      </c>
      <c r="X131">
        <f ca="1"/>
        <v>7.9999999999999982</v>
      </c>
      <c r="Y131">
        <f ca="1"/>
        <v>0.94516546586697459</v>
      </c>
      <c r="Z131">
        <f ca="1"/>
        <v>0</v>
      </c>
      <c r="AA131">
        <f ca="1"/>
        <v>0</v>
      </c>
      <c r="AB131">
        <f ca="1"/>
        <v>0.742679355788881</v>
      </c>
      <c r="AD131" s="2">
        <f t="shared" ca="1" si="12"/>
        <v>45248</v>
      </c>
      <c r="AE131">
        <f t="shared" ca="1" si="13"/>
        <v>40</v>
      </c>
      <c r="AG131" s="65">
        <f t="shared" ca="1" si="17"/>
        <v>70.839847826019025</v>
      </c>
      <c r="AH131" s="65">
        <f t="shared" ca="1" si="18"/>
        <v>70.839847826019025</v>
      </c>
      <c r="AI131" s="3">
        <f t="shared" ca="1" si="19"/>
        <v>0</v>
      </c>
    </row>
    <row r="132" spans="7:35" x14ac:dyDescent="0.3">
      <c r="G132" s="3">
        <f t="shared" ca="1" si="14"/>
        <v>279</v>
      </c>
      <c r="H132" s="97">
        <f t="shared" ca="1" si="16"/>
        <v>45204</v>
      </c>
      <c r="I132" s="121">
        <f ca="1">HLOOKUP($H$4,'Met Data'!$A$2:$F$368,G132,FALSE)</f>
        <v>11.8958333333333</v>
      </c>
      <c r="J132" s="121">
        <f ca="1">HLOOKUP($H$4,'Met Data'!$H$2:$M$368,G132,FALSE)*L132</f>
        <v>2.0666666666666602</v>
      </c>
      <c r="K132" s="98">
        <f ca="1">HLOOKUP($H$4,'Met Data'!$O$2:$T$368,G132,FALSE)</f>
        <v>2.2142725820580198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45249</v>
      </c>
      <c r="Q132">
        <f ca="1"/>
        <v>59.447122112450835</v>
      </c>
      <c r="R132">
        <f ca="1"/>
        <v>1.7439271125090401</v>
      </c>
      <c r="S132">
        <f ca="1"/>
        <v>3.7646500801044272E-8</v>
      </c>
      <c r="T132">
        <f ca="1"/>
        <v>0.16003723394413008</v>
      </c>
      <c r="U132">
        <f ca="1"/>
        <v>0</v>
      </c>
      <c r="V132">
        <f ca="1"/>
        <v>81.521559992817302</v>
      </c>
      <c r="W132">
        <f ca="1"/>
        <v>56.360584686392201</v>
      </c>
      <c r="X132">
        <f ca="1"/>
        <v>0</v>
      </c>
      <c r="Y132">
        <f ca="1"/>
        <v>0.92379567614772828</v>
      </c>
      <c r="Z132">
        <f ca="1"/>
        <v>0</v>
      </c>
      <c r="AA132">
        <f ca="1"/>
        <v>0</v>
      </c>
      <c r="AB132">
        <f ca="1"/>
        <v>0.74696128236971404</v>
      </c>
      <c r="AD132" s="2">
        <f t="shared" ca="1" si="12"/>
        <v>45249</v>
      </c>
      <c r="AE132">
        <f t="shared" ca="1" si="13"/>
        <v>0</v>
      </c>
      <c r="AG132" s="65">
        <f t="shared" ca="1" si="17"/>
        <v>61.191049224959876</v>
      </c>
      <c r="AH132" s="65">
        <f t="shared" ca="1" si="18"/>
        <v>61.191049224959876</v>
      </c>
      <c r="AI132" s="3">
        <f t="shared" ca="1" si="19"/>
        <v>0</v>
      </c>
    </row>
    <row r="133" spans="7:35" x14ac:dyDescent="0.3">
      <c r="G133" s="3">
        <f t="shared" ca="1" si="14"/>
        <v>280</v>
      </c>
      <c r="H133" s="97">
        <f t="shared" ca="1" si="16"/>
        <v>45205</v>
      </c>
      <c r="I133" s="121">
        <f ca="1">HLOOKUP($H$4,'Met Data'!$A$2:$F$368,G133,FALSE)</f>
        <v>11.8333333333333</v>
      </c>
      <c r="J133" s="121">
        <f ca="1">HLOOKUP($H$4,'Met Data'!$H$2:$M$368,G133,FALSE)*L133</f>
        <v>1.43333333333333</v>
      </c>
      <c r="K133" s="98">
        <f ca="1">HLOOKUP($H$4,'Met Data'!$O$2:$T$368,G133,FALSE)</f>
        <v>2.5217662070296001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45250</v>
      </c>
      <c r="Q133">
        <f ca="1"/>
        <v>57.84494301384774</v>
      </c>
      <c r="R133">
        <f ca="1"/>
        <v>1.7632789858767099</v>
      </c>
      <c r="S133">
        <f ca="1"/>
        <v>3.1996149591562075E-8</v>
      </c>
      <c r="T133">
        <f ca="1"/>
        <v>0.16109985527746126</v>
      </c>
      <c r="U133">
        <f ca="1"/>
        <v>0</v>
      </c>
      <c r="V133">
        <f ca="1"/>
        <v>83.284838978693998</v>
      </c>
      <c r="W133">
        <f ca="1"/>
        <v>57.579641763047697</v>
      </c>
      <c r="X133">
        <f ca="1"/>
        <v>0</v>
      </c>
      <c r="Y133">
        <f ca="1"/>
        <v>0.91688736924080727</v>
      </c>
      <c r="Z133">
        <f ca="1"/>
        <v>0</v>
      </c>
      <c r="AA133">
        <f ca="1"/>
        <v>0</v>
      </c>
      <c r="AB133">
        <f ca="1"/>
        <v>0.75099379383803699</v>
      </c>
      <c r="AD133" s="2">
        <f t="shared" ca="1" si="12"/>
        <v>45250</v>
      </c>
      <c r="AE133">
        <f t="shared" ca="1" si="13"/>
        <v>0</v>
      </c>
      <c r="AG133" s="65">
        <f t="shared" ca="1" si="17"/>
        <v>59.608221999724449</v>
      </c>
      <c r="AH133" s="65">
        <f t="shared" ca="1" si="18"/>
        <v>59.608221999724449</v>
      </c>
      <c r="AI133" s="3">
        <f t="shared" ca="1" si="19"/>
        <v>0</v>
      </c>
    </row>
    <row r="134" spans="7:35" x14ac:dyDescent="0.3">
      <c r="G134" s="3">
        <f t="shared" ca="1" si="14"/>
        <v>281</v>
      </c>
      <c r="H134" s="97">
        <f t="shared" ca="1" si="16"/>
        <v>45206</v>
      </c>
      <c r="I134" s="121">
        <f ca="1">HLOOKUP($H$4,'Met Data'!$A$2:$F$368,G134,FALSE)</f>
        <v>12.133333333333301</v>
      </c>
      <c r="J134" s="121">
        <f ca="1">HLOOKUP($H$4,'Met Data'!$H$2:$M$368,G134,FALSE)*L134</f>
        <v>1.5</v>
      </c>
      <c r="K134" s="98">
        <f ca="1">HLOOKUP($H$4,'Met Data'!$O$2:$T$368,G134,FALSE)</f>
        <v>2.4929362431341402</v>
      </c>
      <c r="L134">
        <f t="shared" ref="L134:L197" ca="1" si="20">IF(H134&lt;$B$31,$J$3,$J$4)</f>
        <v>1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45251</v>
      </c>
      <c r="Q134">
        <f ca="1"/>
        <v>56.235906339679431</v>
      </c>
      <c r="R134">
        <f ca="1"/>
        <v>1.76827411167649</v>
      </c>
      <c r="S134">
        <f ca="1"/>
        <v>2.6746146797768985E-8</v>
      </c>
      <c r="T134">
        <f ca="1"/>
        <v>0.15923741076203249</v>
      </c>
      <c r="U134">
        <f ca="1"/>
        <v>0</v>
      </c>
      <c r="V134">
        <f ca="1"/>
        <v>85.053113090370502</v>
      </c>
      <c r="W134">
        <f ca="1"/>
        <v>58.802152260009201</v>
      </c>
      <c r="X134">
        <f ca="1"/>
        <v>0</v>
      </c>
      <c r="Y134">
        <f ca="1"/>
        <v>0.90236700907887912</v>
      </c>
      <c r="Z134">
        <f ca="1"/>
        <v>0</v>
      </c>
      <c r="AA134">
        <f ca="1"/>
        <v>0</v>
      </c>
      <c r="AB134">
        <f ca="1"/>
        <v>0.75475850788976095</v>
      </c>
      <c r="AD134" s="2">
        <f t="shared" ref="AD134:AD197" ca="1" si="22">IFERROR(P134,$AD$4)</f>
        <v>45251</v>
      </c>
      <c r="AE134">
        <f t="shared" ref="AE134:AE197" ca="1" si="23">IFERROR(U134,0)</f>
        <v>0</v>
      </c>
      <c r="AG134" s="65">
        <f t="shared" ca="1" si="17"/>
        <v>58.004180451355921</v>
      </c>
      <c r="AH134" s="65">
        <f t="shared" ca="1" si="18"/>
        <v>58.004180451355921</v>
      </c>
      <c r="AI134" s="3">
        <f t="shared" ca="1" si="19"/>
        <v>0</v>
      </c>
    </row>
    <row r="135" spans="7:35" x14ac:dyDescent="0.3">
      <c r="G135" s="3">
        <f t="shared" ref="G135:G198" ca="1" si="24">H135-DATE(YEAR(H135),1,0)+1</f>
        <v>282</v>
      </c>
      <c r="H135" s="97">
        <f t="shared" ca="1" si="16"/>
        <v>45207</v>
      </c>
      <c r="I135" s="121">
        <f ca="1">HLOOKUP($H$4,'Met Data'!$A$2:$F$368,G135,FALSE)</f>
        <v>11.8708333333333</v>
      </c>
      <c r="J135" s="121">
        <f ca="1">HLOOKUP($H$4,'Met Data'!$H$2:$M$368,G135,FALSE)*L135</f>
        <v>4.18333333333333</v>
      </c>
      <c r="K135" s="98">
        <f ca="1">HLOOKUP($H$4,'Met Data'!$O$2:$T$368,G135,FALSE)</f>
        <v>2.0932595279969002</v>
      </c>
      <c r="L135">
        <f t="shared" ca="1" si="20"/>
        <v>1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45252</v>
      </c>
      <c r="Q135">
        <f ca="1"/>
        <v>54.620221782377463</v>
      </c>
      <c r="R135">
        <f ca="1"/>
        <v>1.7729347229632699</v>
      </c>
      <c r="S135">
        <f ca="1"/>
        <v>2.2375614190332619E-8</v>
      </c>
      <c r="T135">
        <f ca="1"/>
        <v>0.1572501432856904</v>
      </c>
      <c r="U135">
        <f ca="1"/>
        <v>0</v>
      </c>
      <c r="V135">
        <f ca="1"/>
        <v>86.826047813333801</v>
      </c>
      <c r="W135">
        <f ca="1"/>
        <v>60.027884907983797</v>
      </c>
      <c r="X135">
        <f ca="1"/>
        <v>0</v>
      </c>
      <c r="Y135">
        <f ca="1"/>
        <v>0.88636087958290632</v>
      </c>
      <c r="Z135">
        <f ca="1"/>
        <v>0</v>
      </c>
      <c r="AA135">
        <f ca="1"/>
        <v>0</v>
      </c>
      <c r="AB135">
        <f ca="1"/>
        <v>0.75827178071946699</v>
      </c>
      <c r="AD135" s="2">
        <f t="shared" ca="1" si="22"/>
        <v>45252</v>
      </c>
      <c r="AE135">
        <f t="shared" ca="1" si="23"/>
        <v>0</v>
      </c>
      <c r="AG135" s="65">
        <f t="shared" ca="1" si="17"/>
        <v>56.393156505340741</v>
      </c>
      <c r="AH135" s="65">
        <f t="shared" ca="1" si="18"/>
        <v>56.393156505340734</v>
      </c>
      <c r="AI135" s="3">
        <f t="shared" ca="1" si="19"/>
        <v>0</v>
      </c>
    </row>
    <row r="136" spans="7:35" x14ac:dyDescent="0.3">
      <c r="G136" s="3">
        <f t="shared" ca="1" si="24"/>
        <v>283</v>
      </c>
      <c r="H136" s="97">
        <f t="shared" ref="H136:H199" ca="1" si="26">H135+1</f>
        <v>45208</v>
      </c>
      <c r="I136" s="121">
        <f ca="1">HLOOKUP($H$4,'Met Data'!$A$2:$F$368,G136,FALSE)</f>
        <v>11.529166666666599</v>
      </c>
      <c r="J136" s="121">
        <f ca="1">HLOOKUP($H$4,'Met Data'!$H$2:$M$368,G136,FALSE)*L136</f>
        <v>2.2166666666666601</v>
      </c>
      <c r="K136" s="98">
        <f ca="1">HLOOKUP($H$4,'Met Data'!$O$2:$T$368,G136,FALSE)</f>
        <v>2.3166472445358202</v>
      </c>
      <c r="L136">
        <f t="shared" ca="1" si="20"/>
        <v>1</v>
      </c>
      <c r="N136" t="b">
        <f t="shared" ca="1" si="25"/>
        <v>1</v>
      </c>
      <c r="O136" t="b">
        <f t="shared" ca="1" si="21"/>
        <v>1</v>
      </c>
      <c r="P136" s="2">
        <f ca="1"/>
        <v>45253</v>
      </c>
      <c r="Q136">
        <f ca="1"/>
        <v>52.943950388945339</v>
      </c>
      <c r="R136">
        <f ca="1"/>
        <v>1.83515274343907</v>
      </c>
      <c r="S136">
        <f ca="1"/>
        <v>1.9076442278352242E-8</v>
      </c>
      <c r="T136">
        <f ca="1"/>
        <v>0.15888133093049944</v>
      </c>
      <c r="U136">
        <f ca="1"/>
        <v>0</v>
      </c>
      <c r="V136">
        <f ca="1"/>
        <v>88.661200556772798</v>
      </c>
      <c r="W136">
        <f ca="1"/>
        <v>61.2966324836948</v>
      </c>
      <c r="X136">
        <f ca="1"/>
        <v>0</v>
      </c>
      <c r="Y136">
        <f ca="1"/>
        <v>0.85666692030116187</v>
      </c>
      <c r="Z136">
        <f ca="1"/>
        <v>0</v>
      </c>
      <c r="AA136">
        <f ca="1"/>
        <v>0</v>
      </c>
      <c r="AB136">
        <f ca="1"/>
        <v>0.76165189365486796</v>
      </c>
      <c r="AD136" s="2">
        <f t="shared" ca="1" si="22"/>
        <v>45253</v>
      </c>
      <c r="AE136">
        <f t="shared" ca="1" si="23"/>
        <v>0</v>
      </c>
      <c r="AG136" s="65">
        <f t="shared" ref="AG136:AG199" ca="1" si="27">Q135+S136+T136+U136</f>
        <v>54.779103132384407</v>
      </c>
      <c r="AH136" s="65">
        <f t="shared" ref="AH136:AH199" ca="1" si="28">Q136+R136+X136</f>
        <v>54.779103132384407</v>
      </c>
      <c r="AI136" s="3">
        <f t="shared" ref="AI136:AI199" ca="1" si="29">AH136-AG136</f>
        <v>0</v>
      </c>
    </row>
    <row r="137" spans="7:35" x14ac:dyDescent="0.3">
      <c r="G137" s="3">
        <f t="shared" ca="1" si="24"/>
        <v>284</v>
      </c>
      <c r="H137" s="97">
        <f t="shared" ca="1" si="26"/>
        <v>45209</v>
      </c>
      <c r="I137" s="121">
        <f ca="1">HLOOKUP($H$4,'Met Data'!$A$2:$F$368,G137,FALSE)</f>
        <v>11.316666666666601</v>
      </c>
      <c r="J137" s="121">
        <f ca="1">HLOOKUP($H$4,'Met Data'!$H$2:$M$368,G137,FALSE)*L137</f>
        <v>2.9833333333333298</v>
      </c>
      <c r="K137" s="98">
        <f ca="1">HLOOKUP($H$4,'Met Data'!$O$2:$T$368,G137,FALSE)</f>
        <v>2.57259273420483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45254</v>
      </c>
      <c r="Q137">
        <f ca="1"/>
        <v>51.27565049869694</v>
      </c>
      <c r="R137">
        <f ca="1"/>
        <v>1.8249282913594</v>
      </c>
      <c r="S137">
        <f ca="1"/>
        <v>1.5950415492355421E-8</v>
      </c>
      <c r="T137">
        <f ca="1"/>
        <v>0.15662838516058986</v>
      </c>
      <c r="U137">
        <f ca="1"/>
        <v>0</v>
      </c>
      <c r="V137">
        <f ca="1"/>
        <v>90.486128848132196</v>
      </c>
      <c r="W137">
        <f ca="1"/>
        <v>62.558311302412399</v>
      </c>
      <c r="X137">
        <f ca="1"/>
        <v>0</v>
      </c>
      <c r="Y137">
        <f ca="1"/>
        <v>0.84503044823089346</v>
      </c>
      <c r="Z137">
        <f ca="1"/>
        <v>0</v>
      </c>
      <c r="AA137">
        <f ca="1"/>
        <v>0</v>
      </c>
      <c r="AB137">
        <f ca="1"/>
        <v>0.76477260634462396</v>
      </c>
      <c r="AD137" s="2">
        <f t="shared" ca="1" si="22"/>
        <v>45254</v>
      </c>
      <c r="AE137">
        <f t="shared" ca="1" si="23"/>
        <v>0</v>
      </c>
      <c r="AG137" s="65">
        <f t="shared" ca="1" si="27"/>
        <v>53.100578790056339</v>
      </c>
      <c r="AH137" s="65">
        <f t="shared" ca="1" si="28"/>
        <v>53.100578790056339</v>
      </c>
      <c r="AI137" s="3">
        <f t="shared" ca="1" si="29"/>
        <v>0</v>
      </c>
    </row>
    <row r="138" spans="7:35" x14ac:dyDescent="0.3">
      <c r="G138" s="3">
        <f t="shared" ca="1" si="24"/>
        <v>285</v>
      </c>
      <c r="H138" s="97">
        <f t="shared" ca="1" si="26"/>
        <v>45210</v>
      </c>
      <c r="I138" s="121">
        <f ca="1">HLOOKUP($H$4,'Met Data'!$A$2:$F$368,G138,FALSE)</f>
        <v>12.466666666666599</v>
      </c>
      <c r="J138" s="121">
        <f ca="1">HLOOKUP($H$4,'Met Data'!$H$2:$M$368,G138,FALSE)*L138</f>
        <v>3.5333333333333301</v>
      </c>
      <c r="K138" s="98">
        <f ca="1">HLOOKUP($H$4,'Met Data'!$O$2:$T$368,G138,FALSE)</f>
        <v>2.44735536591925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45255</v>
      </c>
      <c r="Q138">
        <f ca="1"/>
        <v>49.517293343192435</v>
      </c>
      <c r="R138">
        <f ca="1"/>
        <v>1.9254419704580801</v>
      </c>
      <c r="S138">
        <f ca="1"/>
        <v>1.4237038810244962E-8</v>
      </c>
      <c r="T138">
        <f ca="1"/>
        <v>0.16708480071653234</v>
      </c>
      <c r="U138">
        <f ca="1"/>
        <v>0</v>
      </c>
      <c r="V138">
        <f ca="1"/>
        <v>92.411570818590306</v>
      </c>
      <c r="W138">
        <f ca="1"/>
        <v>63.889481059766098</v>
      </c>
      <c r="X138">
        <f ca="1"/>
        <v>0</v>
      </c>
      <c r="Y138">
        <f ca="1"/>
        <v>0.83557584655211736</v>
      </c>
      <c r="Z138">
        <f ca="1"/>
        <v>0</v>
      </c>
      <c r="AA138">
        <f ca="1"/>
        <v>0</v>
      </c>
      <c r="AB138">
        <f ca="1"/>
        <v>0.76782376059663704</v>
      </c>
      <c r="AD138" s="2">
        <f t="shared" ca="1" si="22"/>
        <v>45255</v>
      </c>
      <c r="AE138">
        <f t="shared" ca="1" si="23"/>
        <v>0</v>
      </c>
      <c r="AG138" s="65">
        <f t="shared" ca="1" si="27"/>
        <v>51.442735313650509</v>
      </c>
      <c r="AH138" s="65">
        <f t="shared" ca="1" si="28"/>
        <v>51.442735313650516</v>
      </c>
      <c r="AI138" s="3">
        <f t="shared" ca="1" si="29"/>
        <v>0</v>
      </c>
    </row>
    <row r="139" spans="7:35" x14ac:dyDescent="0.3">
      <c r="G139" s="3">
        <f t="shared" ca="1" si="24"/>
        <v>286</v>
      </c>
      <c r="H139" s="97">
        <f t="shared" ca="1" si="26"/>
        <v>45211</v>
      </c>
      <c r="I139" s="121">
        <f ca="1">HLOOKUP($H$4,'Met Data'!$A$2:$F$368,G139,FALSE)</f>
        <v>12.566666666666601</v>
      </c>
      <c r="J139" s="121">
        <f ca="1">HLOOKUP($H$4,'Met Data'!$H$2:$M$368,G139,FALSE)*L139</f>
        <v>1.88333333333333</v>
      </c>
      <c r="K139" s="98">
        <f ca="1">HLOOKUP($H$4,'Met Data'!$O$2:$T$368,G139,FALSE)</f>
        <v>2.6706436990123898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45256</v>
      </c>
      <c r="Q139">
        <f ca="1"/>
        <v>47.766915242790589</v>
      </c>
      <c r="R139">
        <f ca="1"/>
        <v>1.9243055945449601</v>
      </c>
      <c r="S139">
        <f ca="1"/>
        <v>1.2410718315978329E-8</v>
      </c>
      <c r="T139">
        <f ca="1"/>
        <v>0.17392748173240141</v>
      </c>
      <c r="U139">
        <f ca="1"/>
        <v>0</v>
      </c>
      <c r="V139">
        <f ca="1"/>
        <v>94.335876413135296</v>
      </c>
      <c r="W139">
        <f ca="1"/>
        <v>65.219865174513302</v>
      </c>
      <c r="X139">
        <f ca="1"/>
        <v>0</v>
      </c>
      <c r="Y139">
        <f ca="1"/>
        <v>0.8583974075220645</v>
      </c>
      <c r="Z139">
        <f ca="1"/>
        <v>0</v>
      </c>
      <c r="AA139">
        <f ca="1"/>
        <v>0</v>
      </c>
      <c r="AB139">
        <f ca="1"/>
        <v>0.77064335784590099</v>
      </c>
      <c r="AD139" s="2">
        <f t="shared" ca="1" si="22"/>
        <v>45256</v>
      </c>
      <c r="AE139">
        <f t="shared" ca="1" si="23"/>
        <v>0</v>
      </c>
      <c r="AG139" s="65">
        <f t="shared" ca="1" si="27"/>
        <v>49.69122083733555</v>
      </c>
      <c r="AH139" s="65">
        <f t="shared" ca="1" si="28"/>
        <v>49.69122083733555</v>
      </c>
      <c r="AI139" s="3">
        <f t="shared" ca="1" si="29"/>
        <v>0</v>
      </c>
    </row>
    <row r="140" spans="7:35" x14ac:dyDescent="0.3">
      <c r="G140" s="3">
        <f t="shared" ca="1" si="24"/>
        <v>287</v>
      </c>
      <c r="H140" s="97">
        <f t="shared" ca="1" si="26"/>
        <v>45212</v>
      </c>
      <c r="I140" s="121">
        <f ca="1">HLOOKUP($H$4,'Met Data'!$A$2:$F$368,G140,FALSE)</f>
        <v>12.133333333333301</v>
      </c>
      <c r="J140" s="121">
        <f ca="1">HLOOKUP($H$4,'Met Data'!$H$2:$M$368,G140,FALSE)*L140</f>
        <v>2.6666666666666599</v>
      </c>
      <c r="K140" s="98">
        <f ca="1">HLOOKUP($H$4,'Met Data'!$O$2:$T$368,G140,FALSE)</f>
        <v>1.9257972512671799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45257</v>
      </c>
      <c r="Q140">
        <f ca="1"/>
        <v>45.998254279296816</v>
      </c>
      <c r="R140">
        <f ca="1"/>
        <v>1.9442370773192199</v>
      </c>
      <c r="S140">
        <f ca="1"/>
        <v>1.0424029126539755E-8</v>
      </c>
      <c r="T140">
        <f ca="1"/>
        <v>0.17557610340142027</v>
      </c>
      <c r="U140">
        <f ca="1"/>
        <v>0</v>
      </c>
      <c r="V140">
        <f ca="1"/>
        <v>96.280113490454497</v>
      </c>
      <c r="W140">
        <f ca="1"/>
        <v>66.564029079820401</v>
      </c>
      <c r="X140">
        <f ca="1"/>
        <v>0</v>
      </c>
      <c r="Y140">
        <f ca="1"/>
        <v>0.84502200405596284</v>
      </c>
      <c r="Z140">
        <f ca="1"/>
        <v>0</v>
      </c>
      <c r="AA140">
        <f ca="1"/>
        <v>0</v>
      </c>
      <c r="AB140">
        <f ca="1"/>
        <v>0.77327603894530905</v>
      </c>
      <c r="AD140" s="2">
        <f t="shared" ca="1" si="22"/>
        <v>45257</v>
      </c>
      <c r="AE140">
        <f t="shared" ca="1" si="23"/>
        <v>0</v>
      </c>
      <c r="AG140" s="65">
        <f t="shared" ca="1" si="27"/>
        <v>47.942491356616038</v>
      </c>
      <c r="AH140" s="65">
        <f t="shared" ca="1" si="28"/>
        <v>47.942491356616038</v>
      </c>
      <c r="AI140" s="3">
        <f t="shared" ca="1" si="29"/>
        <v>0</v>
      </c>
    </row>
    <row r="141" spans="7:35" x14ac:dyDescent="0.3">
      <c r="G141" s="3">
        <f t="shared" ca="1" si="24"/>
        <v>288</v>
      </c>
      <c r="H141" s="97">
        <f t="shared" ca="1" si="26"/>
        <v>45213</v>
      </c>
      <c r="I141" s="121">
        <f ca="1">HLOOKUP($H$4,'Met Data'!$A$2:$F$368,G141,FALSE)</f>
        <v>12.762499999999999</v>
      </c>
      <c r="J141" s="121">
        <f ca="1">HLOOKUP($H$4,'Met Data'!$H$2:$M$368,G141,FALSE)*L141</f>
        <v>3.6333333333333302</v>
      </c>
      <c r="K141" s="98">
        <f ca="1">HLOOKUP($H$4,'Met Data'!$O$2:$T$368,G141,FALSE)</f>
        <v>2.2182002807721002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45258</v>
      </c>
      <c r="Q141">
        <f ca="1"/>
        <v>44.282445374667333</v>
      </c>
      <c r="R141">
        <f ca="1"/>
        <v>1.8970519871424201</v>
      </c>
      <c r="S141">
        <f ca="1"/>
        <v>8.9755603720124541E-9</v>
      </c>
      <c r="T141">
        <f ca="1"/>
        <v>0.18124307353737779</v>
      </c>
      <c r="U141">
        <f ca="1"/>
        <v>0</v>
      </c>
      <c r="V141">
        <f ca="1"/>
        <v>98.177165477596901</v>
      </c>
      <c r="W141">
        <f ca="1"/>
        <v>67.875571194388002</v>
      </c>
      <c r="X141">
        <f ca="1"/>
        <v>0</v>
      </c>
      <c r="Y141">
        <f ca="1"/>
        <v>0.88275524477126788</v>
      </c>
      <c r="Z141">
        <f ca="1"/>
        <v>0</v>
      </c>
      <c r="AA141">
        <f ca="1"/>
        <v>0</v>
      </c>
      <c r="AB141">
        <f ca="1"/>
        <v>0.77565067345824501</v>
      </c>
      <c r="AD141" s="2">
        <f t="shared" ca="1" si="22"/>
        <v>45258</v>
      </c>
      <c r="AE141">
        <f t="shared" ca="1" si="23"/>
        <v>0</v>
      </c>
      <c r="AG141" s="65">
        <f t="shared" ca="1" si="27"/>
        <v>46.179497361809759</v>
      </c>
      <c r="AH141" s="65">
        <f t="shared" ca="1" si="28"/>
        <v>46.179497361809752</v>
      </c>
      <c r="AI141" s="3">
        <f t="shared" ca="1" si="29"/>
        <v>0</v>
      </c>
    </row>
    <row r="142" spans="7:35" x14ac:dyDescent="0.3">
      <c r="G142" s="3">
        <f t="shared" ca="1" si="24"/>
        <v>289</v>
      </c>
      <c r="H142" s="97">
        <f t="shared" ca="1" si="26"/>
        <v>45214</v>
      </c>
      <c r="I142" s="121">
        <f ca="1">HLOOKUP($H$4,'Met Data'!$A$2:$F$368,G142,FALSE)</f>
        <v>12.675000000000001</v>
      </c>
      <c r="J142" s="121">
        <f ca="1">HLOOKUP($H$4,'Met Data'!$H$2:$M$368,G142,FALSE)*L142</f>
        <v>4.2166666666666597</v>
      </c>
      <c r="K142" s="98">
        <f ca="1">HLOOKUP($H$4,'Met Data'!$O$2:$T$368,G142,FALSE)</f>
        <v>2.3809243707544998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45259</v>
      </c>
      <c r="Q142">
        <f ca="1"/>
        <v>42.690402456203159</v>
      </c>
      <c r="R142">
        <f ca="1"/>
        <v>1.7526823598647401</v>
      </c>
      <c r="S142">
        <f ca="1"/>
        <v>6.7435017305484234E-9</v>
      </c>
      <c r="T142">
        <f ca="1"/>
        <v>0.16063943465705707</v>
      </c>
      <c r="U142">
        <f ca="1"/>
        <v>0</v>
      </c>
      <c r="V142">
        <f ca="1"/>
        <v>99.929847837461594</v>
      </c>
      <c r="W142">
        <f ca="1"/>
        <v>69.087302208615498</v>
      </c>
      <c r="X142">
        <f ca="1"/>
        <v>0</v>
      </c>
      <c r="Y142">
        <f ca="1"/>
        <v>0.85446540016277661</v>
      </c>
      <c r="Z142">
        <f ca="1"/>
        <v>0</v>
      </c>
      <c r="AA142">
        <f ca="1"/>
        <v>0</v>
      </c>
      <c r="AB142">
        <f ca="1"/>
        <v>0.77768614291553795</v>
      </c>
      <c r="AD142" s="2">
        <f t="shared" ca="1" si="22"/>
        <v>45259</v>
      </c>
      <c r="AE142">
        <f t="shared" ca="1" si="23"/>
        <v>0</v>
      </c>
      <c r="AG142" s="65">
        <f t="shared" ca="1" si="27"/>
        <v>44.443084816067888</v>
      </c>
      <c r="AH142" s="65">
        <f t="shared" ca="1" si="28"/>
        <v>44.443084816067902</v>
      </c>
      <c r="AI142" s="3">
        <f t="shared" ca="1" si="29"/>
        <v>0</v>
      </c>
    </row>
    <row r="143" spans="7:35" x14ac:dyDescent="0.3">
      <c r="G143" s="3">
        <f t="shared" ca="1" si="24"/>
        <v>290</v>
      </c>
      <c r="H143" s="97">
        <f t="shared" ca="1" si="26"/>
        <v>45215</v>
      </c>
      <c r="I143" s="121">
        <f ca="1">HLOOKUP($H$4,'Met Data'!$A$2:$F$368,G143,FALSE)</f>
        <v>12.3041666666666</v>
      </c>
      <c r="J143" s="121">
        <f ca="1">HLOOKUP($H$4,'Met Data'!$H$2:$M$368,G143,FALSE)*L143</f>
        <v>1.4666666666666599</v>
      </c>
      <c r="K143" s="98">
        <f ca="1">HLOOKUP($H$4,'Met Data'!$O$2:$T$368,G143,FALSE)</f>
        <v>2.7800377367024298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45260</v>
      </c>
      <c r="Q143">
        <f ca="1"/>
        <v>41.015231408134454</v>
      </c>
      <c r="R143">
        <f ca="1"/>
        <v>1.85361159943861</v>
      </c>
      <c r="S143">
        <f ca="1"/>
        <v>6.2097512441285992E-9</v>
      </c>
      <c r="T143">
        <f ca="1"/>
        <v>0.17844054516015023</v>
      </c>
      <c r="U143">
        <f ca="1"/>
        <v>0</v>
      </c>
      <c r="V143">
        <f ca="1"/>
        <v>101.7834594369</v>
      </c>
      <c r="W143">
        <f ca="1"/>
        <v>70.368811462548294</v>
      </c>
      <c r="X143">
        <f ca="1"/>
        <v>0</v>
      </c>
      <c r="Y143">
        <f ca="1"/>
        <v>0.86769609035614226</v>
      </c>
      <c r="Z143">
        <f ca="1"/>
        <v>0</v>
      </c>
      <c r="AA143">
        <f ca="1"/>
        <v>0</v>
      </c>
      <c r="AB143">
        <f ca="1"/>
        <v>0.77968463137941502</v>
      </c>
      <c r="AD143" s="2">
        <f t="shared" ca="1" si="22"/>
        <v>45260</v>
      </c>
      <c r="AE143">
        <f t="shared" ca="1" si="23"/>
        <v>0</v>
      </c>
      <c r="AG143" s="65">
        <f t="shared" ca="1" si="27"/>
        <v>42.868843007573062</v>
      </c>
      <c r="AH143" s="65">
        <f t="shared" ca="1" si="28"/>
        <v>42.868843007573062</v>
      </c>
      <c r="AI143" s="3">
        <f t="shared" ca="1" si="29"/>
        <v>0</v>
      </c>
    </row>
    <row r="144" spans="7:35" x14ac:dyDescent="0.3">
      <c r="G144" s="3">
        <f t="shared" ca="1" si="24"/>
        <v>291</v>
      </c>
      <c r="H144" s="97">
        <f t="shared" ca="1" si="26"/>
        <v>45216</v>
      </c>
      <c r="I144" s="121">
        <f ca="1">HLOOKUP($H$4,'Met Data'!$A$2:$F$368,G144,FALSE)</f>
        <v>12.987499999999899</v>
      </c>
      <c r="J144" s="121">
        <f ca="1">HLOOKUP($H$4,'Met Data'!$H$2:$M$368,G144,FALSE)*L144</f>
        <v>2.75</v>
      </c>
      <c r="K144" s="98">
        <f ca="1">HLOOKUP($H$4,'Met Data'!$O$2:$T$368,G144,FALSE)</f>
        <v>2.65151934906442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45261</v>
      </c>
      <c r="Q144">
        <f ca="1"/>
        <v>39.39745050061245</v>
      </c>
      <c r="R144">
        <f ca="1"/>
        <v>1.79979496900127</v>
      </c>
      <c r="S144">
        <f ca="1"/>
        <v>5.2700775852973412E-9</v>
      </c>
      <c r="T144">
        <f ca="1"/>
        <v>0.18201405620919603</v>
      </c>
      <c r="U144">
        <f ca="1"/>
        <v>0</v>
      </c>
      <c r="V144">
        <f ca="1"/>
        <v>103.583254405902</v>
      </c>
      <c r="W144">
        <f ca="1"/>
        <v>71.613114157166507</v>
      </c>
      <c r="X144">
        <f ca="1"/>
        <v>0</v>
      </c>
      <c r="Y144">
        <f ca="1"/>
        <v>0.89765381017917778</v>
      </c>
      <c r="Z144">
        <f ca="1"/>
        <v>0</v>
      </c>
      <c r="AA144">
        <f ca="1"/>
        <v>0</v>
      </c>
      <c r="AB144">
        <f ca="1"/>
        <v>0.78148360932393302</v>
      </c>
      <c r="AD144" s="2">
        <f t="shared" ca="1" si="22"/>
        <v>45261</v>
      </c>
      <c r="AE144">
        <f t="shared" ca="1" si="23"/>
        <v>0</v>
      </c>
      <c r="AG144" s="65">
        <f t="shared" ca="1" si="27"/>
        <v>41.197245469613726</v>
      </c>
      <c r="AH144" s="65">
        <f t="shared" ca="1" si="28"/>
        <v>41.197245469613719</v>
      </c>
      <c r="AI144" s="3">
        <f t="shared" ca="1" si="29"/>
        <v>0</v>
      </c>
    </row>
    <row r="145" spans="7:35" x14ac:dyDescent="0.3">
      <c r="G145" s="3">
        <f t="shared" ca="1" si="24"/>
        <v>292</v>
      </c>
      <c r="H145" s="97">
        <f t="shared" ca="1" si="26"/>
        <v>45217</v>
      </c>
      <c r="I145" s="121">
        <f ca="1">HLOOKUP($H$4,'Met Data'!$A$2:$F$368,G145,FALSE)</f>
        <v>12.7416666666666</v>
      </c>
      <c r="J145" s="121">
        <f ca="1">HLOOKUP($H$4,'Met Data'!$H$2:$M$368,G145,FALSE)*L145</f>
        <v>3.0666666666666602</v>
      </c>
      <c r="K145" s="98">
        <f ca="1">HLOOKUP($H$4,'Met Data'!$O$2:$T$368,G145,FALSE)</f>
        <v>2.2346438003254501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45262</v>
      </c>
      <c r="Q145">
        <f ca="1"/>
        <v>37.778611637129117</v>
      </c>
      <c r="R145">
        <f ca="1"/>
        <v>1.79941873685034</v>
      </c>
      <c r="S145">
        <f ca="1"/>
        <v>4.328099034137868E-9</v>
      </c>
      <c r="T145">
        <f ca="1"/>
        <v>0.18057986903890258</v>
      </c>
      <c r="U145">
        <f ca="1"/>
        <v>0</v>
      </c>
      <c r="V145">
        <f ca="1"/>
        <v>105.382673142752</v>
      </c>
      <c r="W145">
        <f ca="1"/>
        <v>72.857156740668003</v>
      </c>
      <c r="X145">
        <f ca="1"/>
        <v>0</v>
      </c>
      <c r="Y145">
        <f ca="1"/>
        <v>0.87518883895958</v>
      </c>
      <c r="Z145">
        <f ca="1"/>
        <v>0</v>
      </c>
      <c r="AA145">
        <f ca="1"/>
        <v>0</v>
      </c>
      <c r="AB145">
        <f ca="1"/>
        <v>0.78315223345458396</v>
      </c>
      <c r="AD145" s="2">
        <f t="shared" ca="1" si="22"/>
        <v>45262</v>
      </c>
      <c r="AE145">
        <f t="shared" ca="1" si="23"/>
        <v>0</v>
      </c>
      <c r="AG145" s="65">
        <f t="shared" ca="1" si="27"/>
        <v>39.578030373979452</v>
      </c>
      <c r="AH145" s="65">
        <f t="shared" ca="1" si="28"/>
        <v>39.578030373979459</v>
      </c>
      <c r="AI145" s="3">
        <f t="shared" ca="1" si="29"/>
        <v>0</v>
      </c>
    </row>
    <row r="146" spans="7:35" x14ac:dyDescent="0.3">
      <c r="G146" s="3">
        <f t="shared" ca="1" si="24"/>
        <v>293</v>
      </c>
      <c r="H146" s="97">
        <f t="shared" ca="1" si="26"/>
        <v>45218</v>
      </c>
      <c r="I146" s="121">
        <f ca="1">HLOOKUP($H$4,'Met Data'!$A$2:$F$368,G146,FALSE)</f>
        <v>12.154166666666599</v>
      </c>
      <c r="J146" s="121">
        <f ca="1">HLOOKUP($H$4,'Met Data'!$H$2:$M$368,G146,FALSE)*L146</f>
        <v>1.1000000000000001</v>
      </c>
      <c r="K146" s="98">
        <f ca="1">HLOOKUP($H$4,'Met Data'!$O$2:$T$368,G146,FALSE)</f>
        <v>2.9905003990183601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45263</v>
      </c>
      <c r="Q146">
        <f ca="1"/>
        <v>36.197172299029248</v>
      </c>
      <c r="R146">
        <f ca="1"/>
        <v>1.7589053255476399</v>
      </c>
      <c r="S146">
        <f ca="1"/>
        <v>3.5413820564322651E-9</v>
      </c>
      <c r="T146">
        <f ca="1"/>
        <v>0.17746598390639418</v>
      </c>
      <c r="U146">
        <f ca="1"/>
        <v>0</v>
      </c>
      <c r="V146">
        <f ca="1"/>
        <v>107.141578468299</v>
      </c>
      <c r="W146">
        <f ca="1"/>
        <v>74.073190052157699</v>
      </c>
      <c r="X146">
        <f ca="1"/>
        <v>0</v>
      </c>
      <c r="Y146">
        <f ca="1"/>
        <v>0.86680324192343616</v>
      </c>
      <c r="Z146">
        <f ca="1"/>
        <v>0</v>
      </c>
      <c r="AA146">
        <f ca="1"/>
        <v>0</v>
      </c>
      <c r="AB146">
        <f ca="1"/>
        <v>0.78466594214313601</v>
      </c>
      <c r="AD146" s="2">
        <f t="shared" ca="1" si="22"/>
        <v>45263</v>
      </c>
      <c r="AE146">
        <f t="shared" ca="1" si="23"/>
        <v>0</v>
      </c>
      <c r="AG146" s="65">
        <f t="shared" ca="1" si="27"/>
        <v>37.956077624576892</v>
      </c>
      <c r="AH146" s="65">
        <f t="shared" ca="1" si="28"/>
        <v>37.956077624576885</v>
      </c>
      <c r="AI146" s="3">
        <f t="shared" ca="1" si="29"/>
        <v>0</v>
      </c>
    </row>
    <row r="147" spans="7:35" x14ac:dyDescent="0.3">
      <c r="G147" s="3">
        <f t="shared" ca="1" si="24"/>
        <v>294</v>
      </c>
      <c r="H147" s="97">
        <f t="shared" ca="1" si="26"/>
        <v>45219</v>
      </c>
      <c r="I147" s="121">
        <f ca="1">HLOOKUP($H$4,'Met Data'!$A$2:$F$368,G147,FALSE)</f>
        <v>12.6666666666666</v>
      </c>
      <c r="J147" s="121">
        <f ca="1">HLOOKUP($H$4,'Met Data'!$H$2:$M$368,G147,FALSE)*L147</f>
        <v>1.13333333333333</v>
      </c>
      <c r="K147" s="98">
        <f ca="1">HLOOKUP($H$4,'Met Data'!$O$2:$T$368,G147,FALSE)</f>
        <v>2.7134262355768599</v>
      </c>
      <c r="L147">
        <f t="shared" ca="1" si="20"/>
        <v>1</v>
      </c>
      <c r="N147" t="b">
        <f t="shared" ca="1" si="25"/>
        <v>1</v>
      </c>
      <c r="O147" t="b">
        <f t="shared" ca="1" si="21"/>
        <v>1</v>
      </c>
      <c r="P147" s="2">
        <f ca="1"/>
        <v>45264</v>
      </c>
      <c r="Q147">
        <f ca="1"/>
        <v>34.598272194140378</v>
      </c>
      <c r="R147">
        <f ca="1"/>
        <v>1.78261848360923</v>
      </c>
      <c r="S147">
        <f ca="1"/>
        <v>3.0266450337733052E-9</v>
      </c>
      <c r="T147">
        <f ca="1"/>
        <v>0.1837183756937053</v>
      </c>
      <c r="U147">
        <f ca="1"/>
        <v>0</v>
      </c>
      <c r="V147">
        <f ca="1"/>
        <v>108.924196951909</v>
      </c>
      <c r="W147">
        <f ca="1"/>
        <v>75.305617645764102</v>
      </c>
      <c r="X147">
        <f ca="1"/>
        <v>0</v>
      </c>
      <c r="Y147">
        <f ca="1"/>
        <v>0.86104758735431453</v>
      </c>
      <c r="Z147">
        <f ca="1"/>
        <v>0</v>
      </c>
      <c r="AA147">
        <f ca="1"/>
        <v>0</v>
      </c>
      <c r="AB147">
        <f ca="1"/>
        <v>0.78608940120284398</v>
      </c>
      <c r="AD147" s="2">
        <f t="shared" ca="1" si="22"/>
        <v>45264</v>
      </c>
      <c r="AE147">
        <f t="shared" ca="1" si="23"/>
        <v>0</v>
      </c>
      <c r="AG147" s="65">
        <f t="shared" ca="1" si="27"/>
        <v>36.380890677749598</v>
      </c>
      <c r="AH147" s="65">
        <f t="shared" ca="1" si="28"/>
        <v>36.380890677749605</v>
      </c>
      <c r="AI147" s="3">
        <f t="shared" ca="1" si="29"/>
        <v>0</v>
      </c>
    </row>
    <row r="148" spans="7:35" x14ac:dyDescent="0.3">
      <c r="G148" s="3">
        <f t="shared" ca="1" si="24"/>
        <v>295</v>
      </c>
      <c r="H148" s="97">
        <f t="shared" ca="1" si="26"/>
        <v>45220</v>
      </c>
      <c r="I148" s="121">
        <f ca="1">HLOOKUP($H$4,'Met Data'!$A$2:$F$368,G148,FALSE)</f>
        <v>12.4916666666666</v>
      </c>
      <c r="J148" s="121">
        <f ca="1">HLOOKUP($H$4,'Met Data'!$H$2:$M$368,G148,FALSE)*L148</f>
        <v>0.51666666666666605</v>
      </c>
      <c r="K148" s="98">
        <f ca="1">HLOOKUP($H$4,'Met Data'!$O$2:$T$368,G148,FALSE)</f>
        <v>2.2874725559703002</v>
      </c>
      <c r="L148">
        <f t="shared" ca="1" si="20"/>
        <v>1</v>
      </c>
      <c r="N148" t="b">
        <f t="shared" ca="1" si="25"/>
        <v>1</v>
      </c>
      <c r="O148" t="b">
        <f t="shared" ca="1" si="21"/>
        <v>1</v>
      </c>
      <c r="P148" s="2">
        <f ca="1"/>
        <v>45265</v>
      </c>
      <c r="Q148">
        <f ca="1"/>
        <v>33.044821672671674</v>
      </c>
      <c r="R148">
        <f ca="1"/>
        <v>1.73078990558975</v>
      </c>
      <c r="S148">
        <f ca="1"/>
        <v>2.4323741015409788E-9</v>
      </c>
      <c r="T148">
        <f ca="1"/>
        <v>0.17733938168868657</v>
      </c>
      <c r="U148">
        <f ca="1"/>
        <v>0</v>
      </c>
      <c r="V148">
        <f ca="1"/>
        <v>110.654986857498</v>
      </c>
      <c r="W148">
        <f ca="1"/>
        <v>76.502213136048297</v>
      </c>
      <c r="X148">
        <f ca="1"/>
        <v>0</v>
      </c>
      <c r="Y148">
        <f ca="1"/>
        <v>0.8427784128796455</v>
      </c>
      <c r="Z148">
        <f ca="1"/>
        <v>0</v>
      </c>
      <c r="AA148">
        <f ca="1"/>
        <v>0</v>
      </c>
      <c r="AB148">
        <f ca="1"/>
        <v>0.78737169932430195</v>
      </c>
      <c r="AD148" s="2">
        <f t="shared" ca="1" si="22"/>
        <v>45265</v>
      </c>
      <c r="AE148">
        <f t="shared" ca="1" si="23"/>
        <v>0</v>
      </c>
      <c r="AG148" s="65">
        <f t="shared" ca="1" si="27"/>
        <v>34.77561157826144</v>
      </c>
      <c r="AH148" s="65">
        <f t="shared" ca="1" si="28"/>
        <v>34.775611578261426</v>
      </c>
      <c r="AI148" s="3">
        <f t="shared" ca="1" si="29"/>
        <v>0</v>
      </c>
    </row>
    <row r="149" spans="7:35" x14ac:dyDescent="0.3">
      <c r="G149" s="3">
        <f t="shared" ca="1" si="24"/>
        <v>296</v>
      </c>
      <c r="H149" s="97">
        <f t="shared" ca="1" si="26"/>
        <v>45221</v>
      </c>
      <c r="I149" s="121">
        <f ca="1">HLOOKUP($H$4,'Met Data'!$A$2:$F$368,G149,FALSE)</f>
        <v>12.925000000000001</v>
      </c>
      <c r="J149" s="121">
        <f ca="1">HLOOKUP($H$4,'Met Data'!$H$2:$M$368,G149,FALSE)*L149</f>
        <v>3.7166666666666601</v>
      </c>
      <c r="K149" s="98">
        <f ca="1">HLOOKUP($H$4,'Met Data'!$O$2:$T$368,G149,FALSE)</f>
        <v>2.31884542682567</v>
      </c>
      <c r="L149">
        <f t="shared" ca="1" si="20"/>
        <v>1</v>
      </c>
      <c r="N149" t="b">
        <f t="shared" ca="1" si="25"/>
        <v>1</v>
      </c>
      <c r="O149" t="b">
        <f t="shared" ca="1" si="21"/>
        <v>1</v>
      </c>
      <c r="P149" s="2">
        <f ca="1"/>
        <v>45266</v>
      </c>
      <c r="Q149">
        <f ca="1"/>
        <v>31.52675018686233</v>
      </c>
      <c r="R149">
        <f ca="1"/>
        <v>1.6952646032074801</v>
      </c>
      <c r="S149">
        <f ca="1"/>
        <v>2.0260746973161303E-9</v>
      </c>
      <c r="T149">
        <f ca="1"/>
        <v>0.17719311537205165</v>
      </c>
      <c r="U149">
        <f ca="1"/>
        <v>0</v>
      </c>
      <c r="V149">
        <f ca="1"/>
        <v>112.350251460706</v>
      </c>
      <c r="W149">
        <f ca="1"/>
        <v>77.674247923451006</v>
      </c>
      <c r="X149">
        <f ca="1"/>
        <v>0</v>
      </c>
      <c r="Y149">
        <f ca="1"/>
        <v>0.84137248758782102</v>
      </c>
      <c r="Z149">
        <f ca="1"/>
        <v>0</v>
      </c>
      <c r="AA149">
        <f ca="1"/>
        <v>0</v>
      </c>
      <c r="AB149">
        <f ca="1"/>
        <v>0.78853836173186398</v>
      </c>
      <c r="AD149" s="2">
        <f t="shared" ca="1" si="22"/>
        <v>45266</v>
      </c>
      <c r="AE149">
        <f t="shared" ca="1" si="23"/>
        <v>0</v>
      </c>
      <c r="AG149" s="65">
        <f t="shared" ca="1" si="27"/>
        <v>33.2220147900698</v>
      </c>
      <c r="AH149" s="65">
        <f t="shared" ca="1" si="28"/>
        <v>33.222014790069807</v>
      </c>
      <c r="AI149" s="3">
        <f t="shared" ca="1" si="29"/>
        <v>0</v>
      </c>
    </row>
    <row r="150" spans="7:35" x14ac:dyDescent="0.3">
      <c r="G150" s="3">
        <f t="shared" ca="1" si="24"/>
        <v>297</v>
      </c>
      <c r="H150" s="97">
        <f t="shared" ca="1" si="26"/>
        <v>45222</v>
      </c>
      <c r="I150" s="121">
        <f ca="1">HLOOKUP($H$4,'Met Data'!$A$2:$F$368,G150,FALSE)</f>
        <v>12.2291666666666</v>
      </c>
      <c r="J150" s="121">
        <f ca="1">HLOOKUP($H$4,'Met Data'!$H$2:$M$368,G150,FALSE)*L150</f>
        <v>2.8333333333333299</v>
      </c>
      <c r="K150" s="98">
        <f ca="1">HLOOKUP($H$4,'Met Data'!$O$2:$T$368,G150,FALSE)</f>
        <v>2.7150999093147798</v>
      </c>
      <c r="L150">
        <f t="shared" ca="1" si="20"/>
        <v>1</v>
      </c>
      <c r="N150" t="b">
        <f t="shared" ca="1" si="25"/>
        <v>1</v>
      </c>
      <c r="O150" t="b">
        <f t="shared" ca="1" si="21"/>
        <v>1</v>
      </c>
      <c r="P150" s="2">
        <f ca="1"/>
        <v>45267</v>
      </c>
      <c r="Q150">
        <f ca="1"/>
        <v>30.09557655814686</v>
      </c>
      <c r="R150">
        <f ca="1"/>
        <v>1.60004920888139</v>
      </c>
      <c r="S150">
        <f ca="1"/>
        <v>1.6271441102034059E-9</v>
      </c>
      <c r="T150">
        <f ca="1"/>
        <v>0.16887557853876381</v>
      </c>
      <c r="U150">
        <f ca="1"/>
        <v>0</v>
      </c>
      <c r="V150">
        <f ca="1"/>
        <v>113.95030066958699</v>
      </c>
      <c r="W150">
        <f ca="1"/>
        <v>78.780454783912205</v>
      </c>
      <c r="X150">
        <f ca="1"/>
        <v>0</v>
      </c>
      <c r="Y150">
        <f ca="1"/>
        <v>0.83966912775971136</v>
      </c>
      <c r="Z150">
        <f ca="1"/>
        <v>0</v>
      </c>
      <c r="AA150">
        <f ca="1"/>
        <v>0</v>
      </c>
      <c r="AB150">
        <f ca="1"/>
        <v>0.78956329999173203</v>
      </c>
      <c r="AD150" s="2">
        <f t="shared" ca="1" si="22"/>
        <v>45267</v>
      </c>
      <c r="AE150">
        <f t="shared" ca="1" si="23"/>
        <v>0</v>
      </c>
      <c r="AG150" s="65">
        <f t="shared" ca="1" si="27"/>
        <v>31.695625767028236</v>
      </c>
      <c r="AH150" s="65">
        <f t="shared" ca="1" si="28"/>
        <v>31.69562576702825</v>
      </c>
      <c r="AI150" s="3">
        <f t="shared" ca="1" si="29"/>
        <v>0</v>
      </c>
    </row>
    <row r="151" spans="7:35" x14ac:dyDescent="0.3">
      <c r="G151" s="3">
        <f t="shared" ca="1" si="24"/>
        <v>298</v>
      </c>
      <c r="H151" s="97">
        <f t="shared" ca="1" si="26"/>
        <v>45223</v>
      </c>
      <c r="I151" s="121">
        <f ca="1">HLOOKUP($H$4,'Met Data'!$A$2:$F$368,G151,FALSE)</f>
        <v>12.2708333333333</v>
      </c>
      <c r="J151" s="121">
        <f ca="1">HLOOKUP($H$4,'Met Data'!$H$2:$M$368,G151,FALSE)*L151</f>
        <v>0.85</v>
      </c>
      <c r="K151" s="98">
        <f ca="1">HLOOKUP($H$4,'Met Data'!$O$2:$T$368,G151,FALSE)</f>
        <v>2.95103134032406</v>
      </c>
      <c r="L151">
        <f t="shared" ca="1" si="20"/>
        <v>1</v>
      </c>
      <c r="N151" t="b">
        <f t="shared" ca="1" si="25"/>
        <v>1</v>
      </c>
      <c r="O151" t="b">
        <f t="shared" ca="1" si="21"/>
        <v>1</v>
      </c>
      <c r="P151" s="2">
        <f ca="1"/>
        <v>45268</v>
      </c>
      <c r="Q151">
        <f ca="1"/>
        <v>60.758442760070238</v>
      </c>
      <c r="R151">
        <f ca="1"/>
        <v>1.5034729165674601</v>
      </c>
      <c r="S151">
        <f ca="1"/>
        <v>1.3563760291707545E-9</v>
      </c>
      <c r="T151">
        <f ca="1"/>
        <v>0.16633911713446176</v>
      </c>
      <c r="U151">
        <f ca="1"/>
        <v>40</v>
      </c>
      <c r="V151">
        <f ca="1"/>
        <v>115.45377358615499</v>
      </c>
      <c r="W151">
        <f ca="1"/>
        <v>79.819892849687307</v>
      </c>
      <c r="X151">
        <f ca="1"/>
        <v>7.9999999999999982</v>
      </c>
      <c r="Y151">
        <f ca="1"/>
        <v>0.86712456991772124</v>
      </c>
      <c r="Z151">
        <f ca="1"/>
        <v>0</v>
      </c>
      <c r="AA151">
        <f ca="1"/>
        <v>0</v>
      </c>
      <c r="AB151">
        <f ca="1"/>
        <v>0.79046280275189196</v>
      </c>
      <c r="AD151" s="2">
        <f t="shared" ca="1" si="22"/>
        <v>45268</v>
      </c>
      <c r="AE151">
        <f t="shared" ca="1" si="23"/>
        <v>40</v>
      </c>
      <c r="AG151" s="65">
        <f t="shared" ca="1" si="27"/>
        <v>70.261915676637699</v>
      </c>
      <c r="AH151" s="65">
        <f t="shared" ca="1" si="28"/>
        <v>70.261915676637699</v>
      </c>
      <c r="AI151" s="3">
        <f t="shared" ca="1" si="29"/>
        <v>0</v>
      </c>
    </row>
    <row r="152" spans="7:35" x14ac:dyDescent="0.3">
      <c r="G152" s="3">
        <f t="shared" ca="1" si="24"/>
        <v>299</v>
      </c>
      <c r="H152" s="97">
        <f t="shared" ca="1" si="26"/>
        <v>45224</v>
      </c>
      <c r="I152" s="121">
        <f ca="1">HLOOKUP($H$4,'Met Data'!$A$2:$F$368,G152,FALSE)</f>
        <v>12.858333333333301</v>
      </c>
      <c r="J152" s="121">
        <f ca="1">HLOOKUP($H$4,'Met Data'!$H$2:$M$368,G152,FALSE)*L152</f>
        <v>1.0333333333333301</v>
      </c>
      <c r="K152" s="98">
        <f ca="1">HLOOKUP($H$4,'Met Data'!$O$2:$T$368,G152,FALSE)</f>
        <v>2.6842724832832401</v>
      </c>
      <c r="L152">
        <f t="shared" ca="1" si="20"/>
        <v>1</v>
      </c>
      <c r="N152" t="b">
        <f t="shared" ca="1" si="25"/>
        <v>1</v>
      </c>
      <c r="O152" t="b">
        <f t="shared" ca="1" si="21"/>
        <v>1</v>
      </c>
      <c r="P152" s="2">
        <f ca="1"/>
        <v>45269</v>
      </c>
      <c r="Q152">
        <f ca="1"/>
        <v>59.398908012966473</v>
      </c>
      <c r="R152">
        <f ca="1"/>
        <v>1.53155550168752</v>
      </c>
      <c r="S152">
        <f ca="1"/>
        <v>1.1689900849244356E-9</v>
      </c>
      <c r="T152">
        <f ca="1"/>
        <v>0.17202075341477863</v>
      </c>
      <c r="U152">
        <f ca="1"/>
        <v>0</v>
      </c>
      <c r="V152">
        <f ca="1"/>
        <v>116.985329087842</v>
      </c>
      <c r="W152">
        <f ca="1"/>
        <v>80.878746036039104</v>
      </c>
      <c r="X152">
        <f ca="1"/>
        <v>0</v>
      </c>
      <c r="Y152">
        <f ca="1"/>
        <v>0.85190670745084351</v>
      </c>
      <c r="Z152">
        <f ca="1"/>
        <v>0</v>
      </c>
      <c r="AA152">
        <f ca="1"/>
        <v>0</v>
      </c>
      <c r="AB152">
        <f ca="1"/>
        <v>0.79131925796251401</v>
      </c>
      <c r="AD152" s="2">
        <f t="shared" ca="1" si="22"/>
        <v>45269</v>
      </c>
      <c r="AE152">
        <f t="shared" ca="1" si="23"/>
        <v>0</v>
      </c>
      <c r="AG152" s="65">
        <f t="shared" ca="1" si="27"/>
        <v>60.930463514654008</v>
      </c>
      <c r="AH152" s="65">
        <f t="shared" ca="1" si="28"/>
        <v>60.930463514653994</v>
      </c>
      <c r="AI152" s="3">
        <f t="shared" ca="1" si="29"/>
        <v>0</v>
      </c>
    </row>
    <row r="153" spans="7:35" x14ac:dyDescent="0.3">
      <c r="G153" s="3">
        <f t="shared" ca="1" si="24"/>
        <v>300</v>
      </c>
      <c r="H153" s="97">
        <f t="shared" ca="1" si="26"/>
        <v>45225</v>
      </c>
      <c r="I153" s="121">
        <f ca="1">HLOOKUP($H$4,'Met Data'!$A$2:$F$368,G153,FALSE)</f>
        <v>13.7708333333333</v>
      </c>
      <c r="J153" s="121">
        <f ca="1">HLOOKUP($H$4,'Met Data'!$H$2:$M$368,G153,FALSE)*L153</f>
        <v>3.5166666666666599</v>
      </c>
      <c r="K153" s="98">
        <f ca="1">HLOOKUP($H$4,'Met Data'!$O$2:$T$368,G153,FALSE)</f>
        <v>2.91343955355575</v>
      </c>
      <c r="L153">
        <f t="shared" ca="1" si="20"/>
        <v>1</v>
      </c>
      <c r="N153" t="b">
        <f t="shared" ca="1" si="25"/>
        <v>1</v>
      </c>
      <c r="O153" t="b">
        <f t="shared" ca="1" si="21"/>
        <v>1</v>
      </c>
      <c r="P153" s="2">
        <f ca="1"/>
        <v>45270</v>
      </c>
      <c r="Q153">
        <f ca="1"/>
        <v>58.020584684039051</v>
      </c>
      <c r="R153">
        <f ca="1"/>
        <v>1.5687752214575601</v>
      </c>
      <c r="S153">
        <f ca="1"/>
        <v>1.0639761953246405E-9</v>
      </c>
      <c r="T153">
        <f ca="1"/>
        <v>0.19045189146615227</v>
      </c>
      <c r="U153">
        <f ca="1"/>
        <v>0</v>
      </c>
      <c r="V153">
        <f ca="1"/>
        <v>118.5541043093</v>
      </c>
      <c r="W153">
        <f ca="1"/>
        <v>81.963331374330807</v>
      </c>
      <c r="X153">
        <f ca="1"/>
        <v>0</v>
      </c>
      <c r="Y153">
        <f ca="1"/>
        <v>0.8812472833463727</v>
      </c>
      <c r="Z153">
        <f ca="1"/>
        <v>0</v>
      </c>
      <c r="AA153">
        <f ca="1"/>
        <v>0</v>
      </c>
      <c r="AB153">
        <f ca="1"/>
        <v>0.79213730106161295</v>
      </c>
      <c r="AD153" s="2">
        <f t="shared" ca="1" si="22"/>
        <v>45270</v>
      </c>
      <c r="AE153">
        <f t="shared" ca="1" si="23"/>
        <v>0</v>
      </c>
      <c r="AG153" s="65">
        <f t="shared" ca="1" si="27"/>
        <v>59.5893599054966</v>
      </c>
      <c r="AH153" s="65">
        <f t="shared" ca="1" si="28"/>
        <v>59.589359905496607</v>
      </c>
      <c r="AI153" s="3">
        <f t="shared" ca="1" si="29"/>
        <v>0</v>
      </c>
    </row>
    <row r="154" spans="7:35" x14ac:dyDescent="0.3">
      <c r="G154" s="3">
        <f t="shared" ca="1" si="24"/>
        <v>301</v>
      </c>
      <c r="H154" s="97">
        <f t="shared" ca="1" si="26"/>
        <v>45226</v>
      </c>
      <c r="I154" s="121">
        <f ca="1">HLOOKUP($H$4,'Met Data'!$A$2:$F$368,G154,FALSE)</f>
        <v>13.899999999999901</v>
      </c>
      <c r="J154" s="121">
        <f ca="1">HLOOKUP($H$4,'Met Data'!$H$2:$M$368,G154,FALSE)*L154</f>
        <v>4.75</v>
      </c>
      <c r="K154" s="98">
        <f ca="1">HLOOKUP($H$4,'Met Data'!$O$2:$T$368,G154,FALSE)</f>
        <v>2.4549016141153701</v>
      </c>
      <c r="L154">
        <f t="shared" ca="1" si="20"/>
        <v>1</v>
      </c>
      <c r="N154" t="b">
        <f t="shared" ca="1" si="25"/>
        <v>1</v>
      </c>
      <c r="O154" t="b">
        <f t="shared" ca="1" si="21"/>
        <v>1</v>
      </c>
      <c r="P154" s="2">
        <f ca="1"/>
        <v>45271</v>
      </c>
      <c r="Q154">
        <f ca="1"/>
        <v>56.621902729797526</v>
      </c>
      <c r="R154">
        <f ca="1"/>
        <v>1.5993717453779099</v>
      </c>
      <c r="S154">
        <f ca="1"/>
        <v>9.0986702004238974E-10</v>
      </c>
      <c r="T154">
        <f ca="1"/>
        <v>0.20068979022651953</v>
      </c>
      <c r="U154">
        <f ca="1"/>
        <v>0</v>
      </c>
      <c r="V154">
        <f ca="1"/>
        <v>120.15347605467799</v>
      </c>
      <c r="W154">
        <f ca="1"/>
        <v>83.069069864962401</v>
      </c>
      <c r="X154">
        <f ca="1"/>
        <v>0</v>
      </c>
      <c r="Y154">
        <f ca="1"/>
        <v>0.87326657374067651</v>
      </c>
      <c r="Z154">
        <f ca="1"/>
        <v>0</v>
      </c>
      <c r="AA154">
        <f ca="1"/>
        <v>0</v>
      </c>
      <c r="AB154">
        <f ca="1"/>
        <v>0.79291298975434599</v>
      </c>
      <c r="AD154" s="2">
        <f t="shared" ca="1" si="22"/>
        <v>45271</v>
      </c>
      <c r="AE154">
        <f t="shared" ca="1" si="23"/>
        <v>0</v>
      </c>
      <c r="AG154" s="65">
        <f t="shared" ca="1" si="27"/>
        <v>58.221274475175434</v>
      </c>
      <c r="AH154" s="65">
        <f t="shared" ca="1" si="28"/>
        <v>58.221274475175434</v>
      </c>
      <c r="AI154" s="3">
        <f t="shared" ca="1" si="29"/>
        <v>0</v>
      </c>
    </row>
    <row r="155" spans="7:35" x14ac:dyDescent="0.3">
      <c r="G155" s="3">
        <f t="shared" ca="1" si="24"/>
        <v>302</v>
      </c>
      <c r="H155" s="97">
        <f t="shared" ca="1" si="26"/>
        <v>45227</v>
      </c>
      <c r="I155" s="121">
        <f ca="1">HLOOKUP($H$4,'Met Data'!$A$2:$F$368,G155,FALSE)</f>
        <v>13.425000000000001</v>
      </c>
      <c r="J155" s="121">
        <f ca="1">HLOOKUP($H$4,'Met Data'!$H$2:$M$368,G155,FALSE)*L155</f>
        <v>5.6333333333333302</v>
      </c>
      <c r="K155" s="98">
        <f ca="1">HLOOKUP($H$4,'Met Data'!$O$2:$T$368,G155,FALSE)</f>
        <v>2.5803220554406501</v>
      </c>
      <c r="L155">
        <f t="shared" ca="1" si="20"/>
        <v>1</v>
      </c>
      <c r="N155" t="b">
        <f t="shared" ca="1" si="25"/>
        <v>1</v>
      </c>
      <c r="O155" t="b">
        <f t="shared" ca="1" si="21"/>
        <v>1</v>
      </c>
      <c r="P155" s="2">
        <f ca="1"/>
        <v>45272</v>
      </c>
      <c r="Q155">
        <f ca="1"/>
        <v>55.305717680281248</v>
      </c>
      <c r="R155">
        <f ca="1"/>
        <v>1.5067852579551699</v>
      </c>
      <c r="S155">
        <f ca="1"/>
        <v>7.1331241091836711E-10</v>
      </c>
      <c r="T155">
        <f ca="1"/>
        <v>0.19060020772557873</v>
      </c>
      <c r="U155">
        <f ca="1"/>
        <v>0</v>
      </c>
      <c r="V155">
        <f ca="1"/>
        <v>121.660261312633</v>
      </c>
      <c r="W155">
        <f ca="1"/>
        <v>84.110797944536401</v>
      </c>
      <c r="X155">
        <f ca="1"/>
        <v>0</v>
      </c>
      <c r="Y155">
        <f ca="1"/>
        <v>0.86457039110005651</v>
      </c>
      <c r="Z155">
        <f ca="1"/>
        <v>0</v>
      </c>
      <c r="AA155">
        <f ca="1"/>
        <v>0</v>
      </c>
      <c r="AB155">
        <f ca="1"/>
        <v>0.79359284319678602</v>
      </c>
      <c r="AD155" s="2">
        <f t="shared" ca="1" si="22"/>
        <v>45272</v>
      </c>
      <c r="AE155">
        <f t="shared" ca="1" si="23"/>
        <v>0</v>
      </c>
      <c r="AG155" s="65">
        <f t="shared" ca="1" si="27"/>
        <v>56.81250293823642</v>
      </c>
      <c r="AH155" s="65">
        <f t="shared" ca="1" si="28"/>
        <v>56.81250293823642</v>
      </c>
      <c r="AI155" s="3">
        <f t="shared" ca="1" si="29"/>
        <v>0</v>
      </c>
    </row>
    <row r="156" spans="7:35" x14ac:dyDescent="0.3">
      <c r="G156" s="3">
        <f t="shared" ca="1" si="24"/>
        <v>303</v>
      </c>
      <c r="H156" s="97">
        <f t="shared" ca="1" si="26"/>
        <v>45228</v>
      </c>
      <c r="I156" s="121">
        <f ca="1">HLOOKUP($H$4,'Met Data'!$A$2:$F$368,G156,FALSE)</f>
        <v>13.9625</v>
      </c>
      <c r="J156" s="121">
        <f ca="1">HLOOKUP($H$4,'Met Data'!$H$2:$M$368,G156,FALSE)*L156</f>
        <v>3.7833333333333301</v>
      </c>
      <c r="K156" s="98">
        <f ca="1">HLOOKUP($H$4,'Met Data'!$O$2:$T$368,G156,FALSE)</f>
        <v>2.91115304555708</v>
      </c>
      <c r="L156">
        <f t="shared" ca="1" si="20"/>
        <v>1</v>
      </c>
      <c r="N156" t="b">
        <f t="shared" ca="1" si="25"/>
        <v>1</v>
      </c>
      <c r="O156" t="b">
        <f t="shared" ca="1" si="21"/>
        <v>1</v>
      </c>
      <c r="P156" s="2">
        <f ca="1"/>
        <v>45273</v>
      </c>
      <c r="Q156">
        <f ca="1"/>
        <v>54.037684201797987</v>
      </c>
      <c r="R156">
        <f ca="1"/>
        <v>1.4522646415471301</v>
      </c>
      <c r="S156">
        <f ca="1"/>
        <v>5.7039646684334261E-10</v>
      </c>
      <c r="T156">
        <f ca="1"/>
        <v>0.18423116249347082</v>
      </c>
      <c r="U156">
        <f ca="1"/>
        <v>0</v>
      </c>
      <c r="V156">
        <f ca="1"/>
        <v>123.11252595418</v>
      </c>
      <c r="W156">
        <f ca="1"/>
        <v>85.114832758445502</v>
      </c>
      <c r="X156">
        <f ca="1"/>
        <v>0</v>
      </c>
      <c r="Y156">
        <f ca="1"/>
        <v>0.84544711147392937</v>
      </c>
      <c r="Z156">
        <f ca="1"/>
        <v>0</v>
      </c>
      <c r="AA156">
        <f ca="1"/>
        <v>0</v>
      </c>
      <c r="AB156">
        <f ca="1"/>
        <v>0.79420379779732697</v>
      </c>
      <c r="AD156" s="2">
        <f t="shared" ca="1" si="22"/>
        <v>45273</v>
      </c>
      <c r="AE156">
        <f t="shared" ca="1" si="23"/>
        <v>0</v>
      </c>
      <c r="AG156" s="65">
        <f t="shared" ca="1" si="27"/>
        <v>55.489948843345111</v>
      </c>
      <c r="AH156" s="65">
        <f t="shared" ca="1" si="28"/>
        <v>55.489948843345118</v>
      </c>
      <c r="AI156" s="3">
        <f t="shared" ca="1" si="29"/>
        <v>0</v>
      </c>
    </row>
    <row r="157" spans="7:35" x14ac:dyDescent="0.3">
      <c r="G157" s="3">
        <f t="shared" ca="1" si="24"/>
        <v>304</v>
      </c>
      <c r="H157" s="97">
        <f t="shared" ca="1" si="26"/>
        <v>45229</v>
      </c>
      <c r="I157" s="121">
        <f ca="1">HLOOKUP($H$4,'Met Data'!$A$2:$F$368,G157,FALSE)</f>
        <v>13.045833333333301</v>
      </c>
      <c r="J157" s="121">
        <f ca="1">HLOOKUP($H$4,'Met Data'!$H$2:$M$368,G157,FALSE)*L157</f>
        <v>0.39999999999999902</v>
      </c>
      <c r="K157" s="98">
        <f ca="1">HLOOKUP($H$4,'Met Data'!$O$2:$T$368,G157,FALSE)</f>
        <v>3.19138361024571</v>
      </c>
      <c r="L157">
        <f t="shared" ca="1" si="20"/>
        <v>1</v>
      </c>
      <c r="N157" t="b">
        <f t="shared" ca="1" si="25"/>
        <v>1</v>
      </c>
      <c r="O157" t="b">
        <f t="shared" ca="1" si="21"/>
        <v>1</v>
      </c>
      <c r="P157" s="2">
        <f ca="1"/>
        <v>45274</v>
      </c>
      <c r="Q157">
        <f ca="1"/>
        <v>52.85649237501562</v>
      </c>
      <c r="R157">
        <f ca="1"/>
        <v>1.3516358663155601</v>
      </c>
      <c r="S157">
        <f ca="1"/>
        <v>4.4368006287863338E-10</v>
      </c>
      <c r="T157">
        <f ca="1"/>
        <v>0.1704440390895165</v>
      </c>
      <c r="U157">
        <f ca="1"/>
        <v>0</v>
      </c>
      <c r="V157">
        <f ca="1"/>
        <v>124.464161820496</v>
      </c>
      <c r="W157">
        <f ca="1"/>
        <v>86.049297061083394</v>
      </c>
      <c r="X157">
        <f ca="1"/>
        <v>0</v>
      </c>
      <c r="Y157">
        <f ca="1"/>
        <v>0.82745107961991116</v>
      </c>
      <c r="Z157">
        <f ca="1"/>
        <v>0</v>
      </c>
      <c r="AA157">
        <f ca="1"/>
        <v>0</v>
      </c>
      <c r="AB157">
        <f ca="1"/>
        <v>0.79473528711284203</v>
      </c>
      <c r="AD157" s="2">
        <f t="shared" ca="1" si="22"/>
        <v>45274</v>
      </c>
      <c r="AE157">
        <f t="shared" ca="1" si="23"/>
        <v>0</v>
      </c>
      <c r="AG157" s="65">
        <f t="shared" ca="1" si="27"/>
        <v>54.208128241331181</v>
      </c>
      <c r="AH157" s="65">
        <f t="shared" ca="1" si="28"/>
        <v>54.208128241331181</v>
      </c>
      <c r="AI157" s="3">
        <f t="shared" ca="1" si="29"/>
        <v>0</v>
      </c>
    </row>
    <row r="158" spans="7:35" x14ac:dyDescent="0.3">
      <c r="G158" s="3">
        <f t="shared" ca="1" si="24"/>
        <v>305</v>
      </c>
      <c r="H158" s="97">
        <f t="shared" ca="1" si="26"/>
        <v>45230</v>
      </c>
      <c r="I158" s="121">
        <f ca="1">HLOOKUP($H$4,'Met Data'!$A$2:$F$368,G158,FALSE)</f>
        <v>12.6166666666666</v>
      </c>
      <c r="J158" s="121">
        <f ca="1">HLOOKUP($H$4,'Met Data'!$H$2:$M$368,G158,FALSE)*L158</f>
        <v>3.4666666666666601</v>
      </c>
      <c r="K158" s="98">
        <f ca="1">HLOOKUP($H$4,'Met Data'!$O$2:$T$368,G158,FALSE)</f>
        <v>3.1814806222099299</v>
      </c>
      <c r="L158">
        <f t="shared" ca="1" si="20"/>
        <v>1</v>
      </c>
      <c r="N158" t="b">
        <f t="shared" ca="1" si="25"/>
        <v>1</v>
      </c>
      <c r="O158" t="b">
        <f t="shared" ca="1" si="21"/>
        <v>1</v>
      </c>
      <c r="P158" s="2">
        <f ca="1"/>
        <v>45275</v>
      </c>
      <c r="Q158">
        <f ca="1"/>
        <v>51.746096922013805</v>
      </c>
      <c r="R158">
        <f ca="1"/>
        <v>1.27645570595851</v>
      </c>
      <c r="S158">
        <f ca="1"/>
        <v>3.6535703012977225E-10</v>
      </c>
      <c r="T158">
        <f ca="1"/>
        <v>0.16606025259135351</v>
      </c>
      <c r="U158">
        <f ca="1"/>
        <v>0</v>
      </c>
      <c r="V158">
        <f ca="1"/>
        <v>125.740617526454</v>
      </c>
      <c r="W158">
        <f ca="1"/>
        <v>86.931784956560904</v>
      </c>
      <c r="X158">
        <f ca="1"/>
        <v>0</v>
      </c>
      <c r="Y158">
        <f ca="1"/>
        <v>0.83446271802104321</v>
      </c>
      <c r="Z158">
        <f ca="1"/>
        <v>0</v>
      </c>
      <c r="AA158">
        <f ca="1"/>
        <v>0</v>
      </c>
      <c r="AB158">
        <f ca="1"/>
        <v>0.79520588052951002</v>
      </c>
      <c r="AD158" s="2">
        <f t="shared" ca="1" si="22"/>
        <v>45275</v>
      </c>
      <c r="AE158">
        <f t="shared" ca="1" si="23"/>
        <v>0</v>
      </c>
      <c r="AG158" s="65">
        <f t="shared" ca="1" si="27"/>
        <v>53.022552627972324</v>
      </c>
      <c r="AH158" s="65">
        <f t="shared" ca="1" si="28"/>
        <v>53.022552627972317</v>
      </c>
      <c r="AI158" s="3">
        <f t="shared" ca="1" si="29"/>
        <v>0</v>
      </c>
    </row>
    <row r="159" spans="7:35" x14ac:dyDescent="0.3">
      <c r="G159" s="3">
        <f t="shared" ca="1" si="24"/>
        <v>306</v>
      </c>
      <c r="H159" s="97">
        <f t="shared" ca="1" si="26"/>
        <v>45231</v>
      </c>
      <c r="I159" s="121">
        <f ca="1">HLOOKUP($H$4,'Met Data'!$A$2:$F$368,G159,FALSE)</f>
        <v>12.4791666666666</v>
      </c>
      <c r="J159" s="121">
        <f ca="1">HLOOKUP($H$4,'Met Data'!$H$2:$M$368,G159,FALSE)*L159</f>
        <v>2.68333333333333</v>
      </c>
      <c r="K159" s="98">
        <f ca="1">HLOOKUP($H$4,'Met Data'!$O$2:$T$368,G159,FALSE)</f>
        <v>3.1007141373476301</v>
      </c>
      <c r="L159">
        <f t="shared" ca="1" si="20"/>
        <v>1</v>
      </c>
      <c r="N159" t="b">
        <f t="shared" ca="1" si="25"/>
        <v>1</v>
      </c>
      <c r="O159" t="b">
        <f t="shared" ca="1" si="21"/>
        <v>1</v>
      </c>
      <c r="P159" s="2">
        <f ca="1"/>
        <v>45276</v>
      </c>
      <c r="Q159">
        <f ca="1"/>
        <v>50.604920601465778</v>
      </c>
      <c r="R159">
        <f ca="1"/>
        <v>1.31671447159044</v>
      </c>
      <c r="S159">
        <f ca="1"/>
        <v>3.1991089189925737E-10</v>
      </c>
      <c r="T159">
        <f ca="1"/>
        <v>0.1755381507225032</v>
      </c>
      <c r="U159">
        <f ca="1"/>
        <v>0</v>
      </c>
      <c r="V159">
        <f ca="1"/>
        <v>127.057331998045</v>
      </c>
      <c r="W159">
        <f ca="1"/>
        <v>87.842106072722203</v>
      </c>
      <c r="X159">
        <f ca="1"/>
        <v>0</v>
      </c>
      <c r="Y159">
        <f ca="1"/>
        <v>0.81513370541988517</v>
      </c>
      <c r="Z159">
        <f ca="1"/>
        <v>0</v>
      </c>
      <c r="AA159">
        <f ca="1"/>
        <v>0</v>
      </c>
      <c r="AB159">
        <f ca="1"/>
        <v>0.79566085391444696</v>
      </c>
      <c r="AD159" s="2">
        <f t="shared" ca="1" si="22"/>
        <v>45276</v>
      </c>
      <c r="AE159">
        <f t="shared" ca="1" si="23"/>
        <v>0</v>
      </c>
      <c r="AG159" s="65">
        <f t="shared" ca="1" si="27"/>
        <v>51.921635073056216</v>
      </c>
      <c r="AH159" s="65">
        <f t="shared" ca="1" si="28"/>
        <v>51.921635073056216</v>
      </c>
      <c r="AI159" s="3">
        <f t="shared" ca="1" si="29"/>
        <v>0</v>
      </c>
    </row>
    <row r="160" spans="7:35" x14ac:dyDescent="0.3">
      <c r="G160" s="3">
        <f t="shared" ca="1" si="24"/>
        <v>307</v>
      </c>
      <c r="H160" s="97">
        <f t="shared" ca="1" si="26"/>
        <v>45232</v>
      </c>
      <c r="I160" s="121">
        <f ca="1">HLOOKUP($H$4,'Met Data'!$A$2:$F$368,G160,FALSE)</f>
        <v>13.3125</v>
      </c>
      <c r="J160" s="121">
        <f ca="1">HLOOKUP($H$4,'Met Data'!$H$2:$M$368,G160,FALSE)*L160</f>
        <v>1.68333333333333</v>
      </c>
      <c r="K160" s="98">
        <f ca="1">HLOOKUP($H$4,'Met Data'!$O$2:$T$368,G160,FALSE)</f>
        <v>3.50405600149278</v>
      </c>
      <c r="L160">
        <f t="shared" ca="1" si="20"/>
        <v>1</v>
      </c>
      <c r="N160" t="b">
        <f t="shared" ca="1" si="25"/>
        <v>1</v>
      </c>
      <c r="O160" t="b">
        <f t="shared" ca="1" si="21"/>
        <v>1</v>
      </c>
      <c r="P160" s="2">
        <f ca="1"/>
        <v>45277</v>
      </c>
      <c r="Q160">
        <f ca="1"/>
        <v>49.507703483666262</v>
      </c>
      <c r="R160">
        <f ca="1"/>
        <v>1.27385492334535</v>
      </c>
      <c r="S160">
        <f ca="1"/>
        <v>2.6902251474810913E-10</v>
      </c>
      <c r="T160">
        <f ca="1"/>
        <v>0.17663780527679868</v>
      </c>
      <c r="U160">
        <f ca="1"/>
        <v>0</v>
      </c>
      <c r="V160">
        <f ca="1"/>
        <v>128.33118692139001</v>
      </c>
      <c r="W160">
        <f ca="1"/>
        <v>88.722795896269602</v>
      </c>
      <c r="X160">
        <f ca="1"/>
        <v>0</v>
      </c>
      <c r="Y160">
        <f ca="1"/>
        <v>0.81994499960081157</v>
      </c>
      <c r="Z160">
        <f ca="1"/>
        <v>0</v>
      </c>
      <c r="AA160">
        <f ca="1"/>
        <v>0</v>
      </c>
      <c r="AB160">
        <f ca="1"/>
        <v>0.79607286247436204</v>
      </c>
      <c r="AD160" s="2">
        <f t="shared" ca="1" si="22"/>
        <v>45277</v>
      </c>
      <c r="AE160">
        <f t="shared" ca="1" si="23"/>
        <v>0</v>
      </c>
      <c r="AG160" s="65">
        <f t="shared" ca="1" si="27"/>
        <v>50.781558407011602</v>
      </c>
      <c r="AH160" s="65">
        <f t="shared" ca="1" si="28"/>
        <v>50.781558407011609</v>
      </c>
      <c r="AI160" s="3">
        <f t="shared" ca="1" si="29"/>
        <v>0</v>
      </c>
    </row>
    <row r="161" spans="7:35" x14ac:dyDescent="0.3">
      <c r="G161" s="3">
        <f t="shared" ca="1" si="24"/>
        <v>308</v>
      </c>
      <c r="H161" s="97">
        <f t="shared" ca="1" si="26"/>
        <v>45233</v>
      </c>
      <c r="I161" s="121">
        <f ca="1">HLOOKUP($H$4,'Met Data'!$A$2:$F$368,G161,FALSE)</f>
        <v>14.35</v>
      </c>
      <c r="J161" s="121">
        <f ca="1">HLOOKUP($H$4,'Met Data'!$H$2:$M$368,G161,FALSE)*L161</f>
        <v>5.1333333333333302</v>
      </c>
      <c r="K161" s="98">
        <f ca="1">HLOOKUP($H$4,'Met Data'!$O$2:$T$368,G161,FALSE)</f>
        <v>2.61745839191309</v>
      </c>
      <c r="L161">
        <f t="shared" ca="1" si="20"/>
        <v>1</v>
      </c>
      <c r="N161" t="b">
        <f t="shared" ca="1" si="25"/>
        <v>1</v>
      </c>
      <c r="O161" t="b">
        <f t="shared" ca="1" si="21"/>
        <v>1</v>
      </c>
      <c r="P161" s="2">
        <f ca="1"/>
        <v>45278</v>
      </c>
      <c r="Q161">
        <f ca="1"/>
        <v>48.424061412690804</v>
      </c>
      <c r="R161">
        <f ca="1"/>
        <v>1.2619832958717201</v>
      </c>
      <c r="S161">
        <f ca="1"/>
        <v>2.2526932744720671E-10</v>
      </c>
      <c r="T161">
        <f ca="1"/>
        <v>0.17834122467100408</v>
      </c>
      <c r="U161">
        <f ca="1"/>
        <v>0</v>
      </c>
      <c r="V161">
        <f ca="1"/>
        <v>129.59317021726201</v>
      </c>
      <c r="W161">
        <f ca="1"/>
        <v>89.595278174897004</v>
      </c>
      <c r="X161">
        <f ca="1"/>
        <v>0</v>
      </c>
      <c r="Y161">
        <f ca="1"/>
        <v>0.80191133418492055</v>
      </c>
      <c r="Z161">
        <f ca="1"/>
        <v>0</v>
      </c>
      <c r="AA161">
        <f ca="1"/>
        <v>0</v>
      </c>
      <c r="AB161">
        <f ca="1"/>
        <v>0.79645490794497198</v>
      </c>
      <c r="AD161" s="2">
        <f t="shared" ca="1" si="22"/>
        <v>45278</v>
      </c>
      <c r="AE161">
        <f t="shared" ca="1" si="23"/>
        <v>0</v>
      </c>
      <c r="AG161" s="65">
        <f t="shared" ca="1" si="27"/>
        <v>49.686044708562534</v>
      </c>
      <c r="AH161" s="65">
        <f t="shared" ca="1" si="28"/>
        <v>49.686044708562527</v>
      </c>
      <c r="AI161" s="3">
        <f t="shared" ca="1" si="29"/>
        <v>0</v>
      </c>
    </row>
    <row r="162" spans="7:35" x14ac:dyDescent="0.3">
      <c r="G162" s="3">
        <f t="shared" ca="1" si="24"/>
        <v>309</v>
      </c>
      <c r="H162" s="97">
        <f t="shared" ca="1" si="26"/>
        <v>45234</v>
      </c>
      <c r="I162" s="121">
        <f ca="1">HLOOKUP($H$4,'Met Data'!$A$2:$F$368,G162,FALSE)</f>
        <v>13.875</v>
      </c>
      <c r="J162" s="121">
        <f ca="1">HLOOKUP($H$4,'Met Data'!$H$2:$M$368,G162,FALSE)*L162</f>
        <v>1.86666666666666</v>
      </c>
      <c r="K162" s="98">
        <f ca="1">HLOOKUP($H$4,'Met Data'!$O$2:$T$368,G162,FALSE)</f>
        <v>2.7392607073945601</v>
      </c>
      <c r="L162">
        <f t="shared" ca="1" si="20"/>
        <v>1</v>
      </c>
      <c r="N162" t="b">
        <f t="shared" ca="1" si="25"/>
        <v>1</v>
      </c>
      <c r="O162" t="b">
        <f t="shared" ca="1" si="21"/>
        <v>1</v>
      </c>
      <c r="P162" s="2">
        <f ca="1"/>
        <v>45279</v>
      </c>
      <c r="Q162">
        <f ca="1"/>
        <v>47.418051691539105</v>
      </c>
      <c r="R162">
        <f ca="1"/>
        <v>1.1852471237053801</v>
      </c>
      <c r="S162">
        <f ca="1"/>
        <v>1.9015979658905737E-10</v>
      </c>
      <c r="T162">
        <f ca="1"/>
        <v>0.17923740236351896</v>
      </c>
      <c r="U162">
        <f ca="1"/>
        <v>0</v>
      </c>
      <c r="V162">
        <f ca="1"/>
        <v>130.778417340967</v>
      </c>
      <c r="W162">
        <f ca="1"/>
        <v>90.414708285112994</v>
      </c>
      <c r="X162">
        <f ca="1"/>
        <v>0</v>
      </c>
      <c r="Y162">
        <f ca="1"/>
        <v>0.83374707198481135</v>
      </c>
      <c r="Z162">
        <f ca="1"/>
        <v>0</v>
      </c>
      <c r="AA162">
        <f ca="1"/>
        <v>0</v>
      </c>
      <c r="AB162">
        <f ca="1"/>
        <v>0.79679102744525998</v>
      </c>
      <c r="AD162" s="2">
        <f t="shared" ca="1" si="22"/>
        <v>45279</v>
      </c>
      <c r="AE162">
        <f t="shared" ca="1" si="23"/>
        <v>0</v>
      </c>
      <c r="AG162" s="65">
        <f t="shared" ca="1" si="27"/>
        <v>48.603298815244486</v>
      </c>
      <c r="AH162" s="65">
        <f t="shared" ca="1" si="28"/>
        <v>48.603298815244486</v>
      </c>
      <c r="AI162" s="3">
        <f t="shared" ca="1" si="29"/>
        <v>0</v>
      </c>
    </row>
    <row r="163" spans="7:35" x14ac:dyDescent="0.3">
      <c r="G163" s="3">
        <f t="shared" ca="1" si="24"/>
        <v>310</v>
      </c>
      <c r="H163" s="97">
        <f t="shared" ca="1" si="26"/>
        <v>45235</v>
      </c>
      <c r="I163" s="121">
        <f ca="1">HLOOKUP($H$4,'Met Data'!$A$2:$F$368,G163,FALSE)</f>
        <v>13.316666666666601</v>
      </c>
      <c r="J163" s="121">
        <f ca="1">HLOOKUP($H$4,'Met Data'!$H$2:$M$368,G163,FALSE)*L163</f>
        <v>1.13333333333333</v>
      </c>
      <c r="K163" s="98">
        <f ca="1">HLOOKUP($H$4,'Met Data'!$O$2:$T$368,G163,FALSE)</f>
        <v>3.4135545366379101</v>
      </c>
      <c r="L163">
        <f t="shared" ca="1" si="20"/>
        <v>1</v>
      </c>
      <c r="N163" t="b">
        <f t="shared" ca="1" si="25"/>
        <v>1</v>
      </c>
      <c r="O163" t="b">
        <f t="shared" ca="1" si="21"/>
        <v>1</v>
      </c>
      <c r="P163" s="2">
        <f ca="1"/>
        <v>45280</v>
      </c>
      <c r="Q163">
        <f ca="1"/>
        <v>46.495497949578947</v>
      </c>
      <c r="R163">
        <f ca="1"/>
        <v>1.0926070821028899</v>
      </c>
      <c r="S163">
        <f ca="1"/>
        <v>1.5222922165154461E-10</v>
      </c>
      <c r="T163">
        <f ca="1"/>
        <v>0.17005333999050123</v>
      </c>
      <c r="U163">
        <f ca="1"/>
        <v>0</v>
      </c>
      <c r="V163">
        <f ca="1"/>
        <v>131.87102442307</v>
      </c>
      <c r="W163">
        <f ca="1"/>
        <v>91.170090959159495</v>
      </c>
      <c r="X163">
        <f ca="1"/>
        <v>0</v>
      </c>
      <c r="Y163">
        <f ca="1"/>
        <v>0.83986121691354909</v>
      </c>
      <c r="Z163">
        <f ca="1"/>
        <v>0</v>
      </c>
      <c r="AA163">
        <f ca="1"/>
        <v>0</v>
      </c>
      <c r="AB163">
        <f ca="1"/>
        <v>0.79708216607689497</v>
      </c>
      <c r="AD163" s="2">
        <f t="shared" ca="1" si="22"/>
        <v>45280</v>
      </c>
      <c r="AE163">
        <f t="shared" ca="1" si="23"/>
        <v>0</v>
      </c>
      <c r="AG163" s="65">
        <f t="shared" ca="1" si="27"/>
        <v>47.588105031681835</v>
      </c>
      <c r="AH163" s="65">
        <f t="shared" ca="1" si="28"/>
        <v>47.588105031681835</v>
      </c>
      <c r="AI163" s="3">
        <f t="shared" ca="1" si="29"/>
        <v>0</v>
      </c>
    </row>
    <row r="164" spans="7:35" x14ac:dyDescent="0.3">
      <c r="G164" s="3">
        <f t="shared" ca="1" si="24"/>
        <v>311</v>
      </c>
      <c r="H164" s="97">
        <f t="shared" ca="1" si="26"/>
        <v>45236</v>
      </c>
      <c r="I164" s="121">
        <f ca="1">HLOOKUP($H$4,'Met Data'!$A$2:$F$368,G164,FALSE)</f>
        <v>13.1454545454545</v>
      </c>
      <c r="J164" s="121">
        <f ca="1">HLOOKUP($H$4,'Met Data'!$H$2:$M$368,G164,FALSE)*L164</f>
        <v>0.472727272727272</v>
      </c>
      <c r="K164" s="98">
        <f ca="1">HLOOKUP($H$4,'Met Data'!$O$2:$T$368,G164,FALSE)</f>
        <v>3.2963131788019302</v>
      </c>
      <c r="L164">
        <f t="shared" ca="1" si="20"/>
        <v>1</v>
      </c>
      <c r="N164" t="b">
        <f t="shared" ca="1" si="25"/>
        <v>1</v>
      </c>
      <c r="O164" t="b">
        <f t="shared" ca="1" si="21"/>
        <v>1</v>
      </c>
      <c r="P164" s="2">
        <f ca="1"/>
        <v>45281</v>
      </c>
      <c r="Q164">
        <f ca="1"/>
        <v>45.599492167448005</v>
      </c>
      <c r="R164">
        <f ca="1"/>
        <v>1.06272726017028</v>
      </c>
      <c r="S164">
        <f ca="1"/>
        <v>1.2523069628198665E-10</v>
      </c>
      <c r="T164">
        <f ca="1"/>
        <v>0.16672147791409545</v>
      </c>
      <c r="U164">
        <f ca="1"/>
        <v>0</v>
      </c>
      <c r="V164">
        <f ca="1"/>
        <v>132.93375168323999</v>
      </c>
      <c r="W164">
        <f ca="1"/>
        <v>91.904815978536504</v>
      </c>
      <c r="X164">
        <f ca="1"/>
        <v>0</v>
      </c>
      <c r="Y164">
        <f ca="1"/>
        <v>0.81760545268598084</v>
      </c>
      <c r="Z164">
        <f ca="1"/>
        <v>0</v>
      </c>
      <c r="AA164">
        <f ca="1"/>
        <v>0</v>
      </c>
      <c r="AB164">
        <f ca="1"/>
        <v>0.79734875734581701</v>
      </c>
      <c r="AD164" s="2">
        <f t="shared" ca="1" si="22"/>
        <v>45281</v>
      </c>
      <c r="AE164">
        <f t="shared" ca="1" si="23"/>
        <v>0</v>
      </c>
      <c r="AG164" s="65">
        <f t="shared" ca="1" si="27"/>
        <v>46.662219427618275</v>
      </c>
      <c r="AH164" s="65">
        <f t="shared" ca="1" si="28"/>
        <v>46.662219427618282</v>
      </c>
      <c r="AI164" s="3">
        <f t="shared" ca="1" si="29"/>
        <v>0</v>
      </c>
    </row>
    <row r="165" spans="7:35" x14ac:dyDescent="0.3">
      <c r="G165" s="3">
        <f t="shared" ca="1" si="24"/>
        <v>312</v>
      </c>
      <c r="H165" s="97">
        <f t="shared" ca="1" si="26"/>
        <v>45237</v>
      </c>
      <c r="I165" s="121">
        <f ca="1">HLOOKUP($H$4,'Met Data'!$A$2:$F$368,G165,FALSE)</f>
        <v>13.4166666666666</v>
      </c>
      <c r="J165" s="121">
        <f ca="1">HLOOKUP($H$4,'Met Data'!$H$2:$M$368,G165,FALSE)*L165</f>
        <v>2.35</v>
      </c>
      <c r="K165" s="98">
        <f ca="1">HLOOKUP($H$4,'Met Data'!$O$2:$T$368,G165,FALSE)</f>
        <v>3.43315852526095</v>
      </c>
      <c r="L165">
        <f t="shared" ca="1" si="20"/>
        <v>1</v>
      </c>
      <c r="N165" t="b">
        <f t="shared" ca="1" si="25"/>
        <v>1</v>
      </c>
      <c r="O165" t="b">
        <f t="shared" ca="1" si="21"/>
        <v>1</v>
      </c>
      <c r="P165" s="2">
        <f ca="1"/>
        <v>45282</v>
      </c>
      <c r="Q165">
        <f ca="1"/>
        <v>44.732209965578761</v>
      </c>
      <c r="R165">
        <f ca="1"/>
        <v>1.03003183191072</v>
      </c>
      <c r="S165">
        <f ca="1"/>
        <v>1.0298028291825276E-10</v>
      </c>
      <c r="T165">
        <f ca="1"/>
        <v>0.16274962993850925</v>
      </c>
      <c r="U165">
        <f ca="1"/>
        <v>0</v>
      </c>
      <c r="V165">
        <f ca="1"/>
        <v>133.96378351515099</v>
      </c>
      <c r="W165">
        <f ca="1"/>
        <v>92.616936751215505</v>
      </c>
      <c r="X165">
        <f ca="1"/>
        <v>0</v>
      </c>
      <c r="Y165">
        <f ca="1"/>
        <v>0.79472903020758467</v>
      </c>
      <c r="Z165">
        <f ca="1"/>
        <v>0</v>
      </c>
      <c r="AA165">
        <f ca="1"/>
        <v>0</v>
      </c>
      <c r="AB165">
        <f ca="1"/>
        <v>0.79759208210701305</v>
      </c>
      <c r="AD165" s="2">
        <f t="shared" ca="1" si="22"/>
        <v>45282</v>
      </c>
      <c r="AE165">
        <f t="shared" ca="1" si="23"/>
        <v>0</v>
      </c>
      <c r="AG165" s="65">
        <f t="shared" ca="1" si="27"/>
        <v>45.762241797489494</v>
      </c>
      <c r="AH165" s="65">
        <f t="shared" ca="1" si="28"/>
        <v>45.76224179748948</v>
      </c>
      <c r="AI165" s="3">
        <f t="shared" ca="1" si="29"/>
        <v>0</v>
      </c>
    </row>
    <row r="166" spans="7:35" x14ac:dyDescent="0.3">
      <c r="G166" s="3">
        <f t="shared" ca="1" si="24"/>
        <v>313</v>
      </c>
      <c r="H166" s="97">
        <f t="shared" ca="1" si="26"/>
        <v>45238</v>
      </c>
      <c r="I166" s="121">
        <f ca="1">HLOOKUP($H$4,'Met Data'!$A$2:$F$368,G166,FALSE)</f>
        <v>13.8708333333333</v>
      </c>
      <c r="J166" s="121">
        <f ca="1">HLOOKUP($H$4,'Met Data'!$H$2:$M$368,G166,FALSE)*L166</f>
        <v>2.86666666666666</v>
      </c>
      <c r="K166" s="98">
        <f ca="1">HLOOKUP($H$4,'Met Data'!$O$2:$T$368,G166,FALSE)</f>
        <v>3.09770464623969</v>
      </c>
      <c r="L166">
        <f t="shared" ca="1" si="20"/>
        <v>1</v>
      </c>
      <c r="N166" t="b">
        <f t="shared" ca="1" si="25"/>
        <v>1</v>
      </c>
      <c r="O166" t="b">
        <f t="shared" ca="1" si="21"/>
        <v>1</v>
      </c>
      <c r="P166" s="2">
        <f ca="1"/>
        <v>45283</v>
      </c>
      <c r="Q166">
        <f ca="1"/>
        <v>43.864501415593807</v>
      </c>
      <c r="R166">
        <f ca="1"/>
        <v>1.03394455019472</v>
      </c>
      <c r="S166">
        <f ca="1"/>
        <v>8.7962236335355109E-11</v>
      </c>
      <c r="T166">
        <f ca="1"/>
        <v>0.16623600012178988</v>
      </c>
      <c r="U166">
        <f ca="1"/>
        <v>0</v>
      </c>
      <c r="V166">
        <f ca="1"/>
        <v>134.997728065346</v>
      </c>
      <c r="W166">
        <f ca="1"/>
        <v>93.331762613078496</v>
      </c>
      <c r="X166">
        <f ca="1"/>
        <v>0</v>
      </c>
      <c r="Y166">
        <f ca="1"/>
        <v>0.77018125549728711</v>
      </c>
      <c r="Z166">
        <f ca="1"/>
        <v>0</v>
      </c>
      <c r="AA166">
        <f ca="1"/>
        <v>0</v>
      </c>
      <c r="AB166">
        <f ca="1"/>
        <v>0.79782192357750104</v>
      </c>
      <c r="AD166" s="2">
        <f t="shared" ca="1" si="22"/>
        <v>45283</v>
      </c>
      <c r="AE166">
        <f t="shared" ca="1" si="23"/>
        <v>0</v>
      </c>
      <c r="AG166" s="65">
        <f t="shared" ca="1" si="27"/>
        <v>44.898445965788518</v>
      </c>
      <c r="AH166" s="65">
        <f t="shared" ca="1" si="28"/>
        <v>44.898445965788525</v>
      </c>
      <c r="AI166" s="3">
        <f t="shared" ca="1" si="29"/>
        <v>0</v>
      </c>
    </row>
    <row r="167" spans="7:35" x14ac:dyDescent="0.3">
      <c r="G167" s="3">
        <f t="shared" ca="1" si="24"/>
        <v>314</v>
      </c>
      <c r="H167" s="97">
        <f t="shared" ca="1" si="26"/>
        <v>45239</v>
      </c>
      <c r="I167" s="121">
        <f ca="1">HLOOKUP($H$4,'Met Data'!$A$2:$F$368,G167,FALSE)</f>
        <v>14.158333333333299</v>
      </c>
      <c r="J167" s="121">
        <f ca="1">HLOOKUP($H$4,'Met Data'!$H$2:$M$368,G167,FALSE)*L167</f>
        <v>3.2166666666666601</v>
      </c>
      <c r="K167" s="98">
        <f ca="1">HLOOKUP($H$4,'Met Data'!$O$2:$T$368,G167,FALSE)</f>
        <v>3.3024968395707299</v>
      </c>
      <c r="L167">
        <f t="shared" ca="1" si="20"/>
        <v>1</v>
      </c>
      <c r="N167" t="b">
        <f t="shared" ca="1" si="25"/>
        <v>1</v>
      </c>
      <c r="O167" t="b">
        <f t="shared" ca="1" si="21"/>
        <v>1</v>
      </c>
      <c r="P167" s="2">
        <f ca="1"/>
        <v>45284</v>
      </c>
      <c r="Q167">
        <f ca="1"/>
        <v>43.034450545321732</v>
      </c>
      <c r="R167">
        <f ca="1"/>
        <v>0.998391418391122</v>
      </c>
      <c r="S167">
        <f ca="1"/>
        <v>7.5132290669847235E-11</v>
      </c>
      <c r="T167">
        <f ca="1"/>
        <v>0.16834054804391041</v>
      </c>
      <c r="U167">
        <f ca="1"/>
        <v>0</v>
      </c>
      <c r="V167">
        <f ca="1"/>
        <v>135.996119483737</v>
      </c>
      <c r="W167">
        <f ca="1"/>
        <v>94.022008531966193</v>
      </c>
      <c r="X167">
        <f ca="1"/>
        <v>0</v>
      </c>
      <c r="Y167">
        <f ca="1"/>
        <v>0.77605581942900115</v>
      </c>
      <c r="Z167">
        <f ca="1"/>
        <v>0</v>
      </c>
      <c r="AA167">
        <f ca="1"/>
        <v>0</v>
      </c>
      <c r="AB167">
        <f ca="1"/>
        <v>0.79803061485309901</v>
      </c>
      <c r="AD167" s="2">
        <f t="shared" ca="1" si="22"/>
        <v>45284</v>
      </c>
      <c r="AE167">
        <f t="shared" ca="1" si="23"/>
        <v>0</v>
      </c>
      <c r="AG167" s="65">
        <f t="shared" ca="1" si="27"/>
        <v>44.032841963712848</v>
      </c>
      <c r="AH167" s="65">
        <f t="shared" ca="1" si="28"/>
        <v>44.032841963712855</v>
      </c>
      <c r="AI167" s="3">
        <f t="shared" ca="1" si="29"/>
        <v>0</v>
      </c>
    </row>
    <row r="168" spans="7:35" x14ac:dyDescent="0.3">
      <c r="G168" s="3">
        <f t="shared" ca="1" si="24"/>
        <v>315</v>
      </c>
      <c r="H168" s="97">
        <f t="shared" ca="1" si="26"/>
        <v>45240</v>
      </c>
      <c r="I168" s="121">
        <f ca="1">HLOOKUP($H$4,'Met Data'!$A$2:$F$368,G168,FALSE)</f>
        <v>13.6666666666666</v>
      </c>
      <c r="J168" s="121">
        <f ca="1">HLOOKUP($H$4,'Met Data'!$H$2:$M$368,G168,FALSE)*L168</f>
        <v>2.0499999999999998</v>
      </c>
      <c r="K168" s="98">
        <f ca="1">HLOOKUP($H$4,'Met Data'!$O$2:$T$368,G168,FALSE)</f>
        <v>2.6586912182490101</v>
      </c>
      <c r="L168">
        <f t="shared" ca="1" si="20"/>
        <v>1</v>
      </c>
      <c r="N168" t="b">
        <f t="shared" ca="1" si="25"/>
        <v>1</v>
      </c>
      <c r="O168" t="b">
        <f t="shared" ca="1" si="21"/>
        <v>1</v>
      </c>
      <c r="P168" s="2">
        <f ca="1"/>
        <v>45285</v>
      </c>
      <c r="Q168">
        <f ca="1"/>
        <v>42.223254400344871</v>
      </c>
      <c r="R168">
        <f ca="1"/>
        <v>0.98853679508218295</v>
      </c>
      <c r="S168">
        <f ca="1"/>
        <v>6.6035694450706179E-11</v>
      </c>
      <c r="T168">
        <f ca="1"/>
        <v>0.1773406500392872</v>
      </c>
      <c r="U168">
        <f ca="1"/>
        <v>0</v>
      </c>
      <c r="V168">
        <f ca="1"/>
        <v>136.98465627881899</v>
      </c>
      <c r="W168">
        <f ca="1"/>
        <v>94.705441377948901</v>
      </c>
      <c r="X168">
        <f ca="1"/>
        <v>0</v>
      </c>
      <c r="Y168">
        <f ca="1"/>
        <v>0.78531591001371792</v>
      </c>
      <c r="Z168">
        <f ca="1"/>
        <v>0</v>
      </c>
      <c r="AA168">
        <f ca="1"/>
        <v>0</v>
      </c>
      <c r="AB168">
        <f ca="1"/>
        <v>0.79822483710951897</v>
      </c>
      <c r="AD168" s="2">
        <f t="shared" ca="1" si="22"/>
        <v>45285</v>
      </c>
      <c r="AE168">
        <f t="shared" ca="1" si="23"/>
        <v>0</v>
      </c>
      <c r="AG168" s="65">
        <f t="shared" ca="1" si="27"/>
        <v>43.211791195427054</v>
      </c>
      <c r="AH168" s="65">
        <f t="shared" ca="1" si="28"/>
        <v>43.211791195427054</v>
      </c>
      <c r="AI168" s="3">
        <f t="shared" ca="1" si="29"/>
        <v>0</v>
      </c>
    </row>
    <row r="169" spans="7:35" x14ac:dyDescent="0.3">
      <c r="G169" s="3">
        <f t="shared" ca="1" si="24"/>
        <v>316</v>
      </c>
      <c r="H169" s="97">
        <f t="shared" ca="1" si="26"/>
        <v>45241</v>
      </c>
      <c r="I169" s="121">
        <f ca="1">HLOOKUP($H$4,'Met Data'!$A$2:$F$368,G169,FALSE)</f>
        <v>13.8958333333333</v>
      </c>
      <c r="J169" s="121">
        <f ca="1">HLOOKUP($H$4,'Met Data'!$H$2:$M$368,G169,FALSE)*L169</f>
        <v>3.94999999999999</v>
      </c>
      <c r="K169" s="98">
        <f ca="1">HLOOKUP($H$4,'Met Data'!$O$2:$T$368,G169,FALSE)</f>
        <v>2.87577977788037</v>
      </c>
      <c r="L169">
        <f t="shared" ca="1" si="20"/>
        <v>1</v>
      </c>
      <c r="N169" t="b">
        <f t="shared" ca="1" si="25"/>
        <v>1</v>
      </c>
      <c r="O169" t="b">
        <f t="shared" ca="1" si="21"/>
        <v>1</v>
      </c>
      <c r="P169" s="2">
        <f ca="1"/>
        <v>45286</v>
      </c>
      <c r="Q169">
        <f ca="1"/>
        <v>41.424807790038898</v>
      </c>
      <c r="R169">
        <f ca="1"/>
        <v>0.97626631618348403</v>
      </c>
      <c r="S169">
        <f ca="1"/>
        <v>5.4821134505702231E-11</v>
      </c>
      <c r="T169">
        <f ca="1"/>
        <v>0.17781970582270978</v>
      </c>
      <c r="U169">
        <f ca="1"/>
        <v>0</v>
      </c>
      <c r="V169">
        <f ca="1"/>
        <v>137.96092259500199</v>
      </c>
      <c r="W169">
        <f ca="1"/>
        <v>95.380390929878303</v>
      </c>
      <c r="X169">
        <f ca="1"/>
        <v>0</v>
      </c>
      <c r="Y169">
        <f ca="1"/>
        <v>0.75715519991756253</v>
      </c>
      <c r="Z169">
        <f ca="1"/>
        <v>0</v>
      </c>
      <c r="AA169">
        <f ca="1"/>
        <v>0</v>
      </c>
      <c r="AB169">
        <f ca="1"/>
        <v>0.79840491023916205</v>
      </c>
      <c r="AD169" s="2">
        <f t="shared" ca="1" si="22"/>
        <v>45286</v>
      </c>
      <c r="AE169">
        <f t="shared" ca="1" si="23"/>
        <v>0</v>
      </c>
      <c r="AG169" s="65">
        <f t="shared" ca="1" si="27"/>
        <v>42.401074106222396</v>
      </c>
      <c r="AH169" s="65">
        <f t="shared" ca="1" si="28"/>
        <v>42.401074106222381</v>
      </c>
      <c r="AI169" s="3">
        <f t="shared" ca="1" si="29"/>
        <v>0</v>
      </c>
    </row>
    <row r="170" spans="7:35" x14ac:dyDescent="0.3">
      <c r="G170" s="3">
        <f t="shared" ca="1" si="24"/>
        <v>317</v>
      </c>
      <c r="H170" s="97">
        <f t="shared" ca="1" si="26"/>
        <v>45242</v>
      </c>
      <c r="I170" s="121">
        <f ca="1">HLOOKUP($H$4,'Met Data'!$A$2:$F$368,G170,FALSE)</f>
        <v>13.0625</v>
      </c>
      <c r="J170" s="121">
        <f ca="1">HLOOKUP($H$4,'Met Data'!$H$2:$M$368,G170,FALSE)*L170</f>
        <v>3.0666666666666602</v>
      </c>
      <c r="K170" s="98">
        <f ca="1">HLOOKUP($H$4,'Met Data'!$O$2:$T$368,G170,FALSE)</f>
        <v>2.8947392121826798</v>
      </c>
      <c r="L170">
        <f t="shared" ca="1" si="20"/>
        <v>1</v>
      </c>
      <c r="N170" t="b">
        <f t="shared" ca="1" si="25"/>
        <v>1</v>
      </c>
      <c r="O170" t="b">
        <f t="shared" ca="1" si="21"/>
        <v>1</v>
      </c>
      <c r="P170" s="2">
        <f ca="1"/>
        <v>45287</v>
      </c>
      <c r="Q170">
        <f ca="1"/>
        <v>40.676849773187712</v>
      </c>
      <c r="R170">
        <f ca="1"/>
        <v>0.91531294528246598</v>
      </c>
      <c r="S170">
        <f ca="1"/>
        <v>4.3493317504925423E-11</v>
      </c>
      <c r="T170">
        <f ca="1"/>
        <v>0.16735492838777274</v>
      </c>
      <c r="U170">
        <f ca="1"/>
        <v>0</v>
      </c>
      <c r="V170">
        <f ca="1"/>
        <v>138.87623554028499</v>
      </c>
      <c r="W170">
        <f ca="1"/>
        <v>96.013199879703194</v>
      </c>
      <c r="X170">
        <f ca="1"/>
        <v>0</v>
      </c>
      <c r="Y170">
        <f ca="1"/>
        <v>0.73322004198045321</v>
      </c>
      <c r="Z170">
        <f ca="1"/>
        <v>0</v>
      </c>
      <c r="AA170">
        <f ca="1"/>
        <v>0</v>
      </c>
      <c r="AB170">
        <f ca="1"/>
        <v>0.79856346548859503</v>
      </c>
      <c r="AD170" s="2">
        <f t="shared" ca="1" si="22"/>
        <v>45287</v>
      </c>
      <c r="AE170">
        <f t="shared" ca="1" si="23"/>
        <v>0</v>
      </c>
      <c r="AG170" s="65">
        <f t="shared" ca="1" si="27"/>
        <v>41.592162718470163</v>
      </c>
      <c r="AH170" s="65">
        <f t="shared" ca="1" si="28"/>
        <v>41.592162718470178</v>
      </c>
      <c r="AI170" s="3">
        <f t="shared" ca="1" si="29"/>
        <v>0</v>
      </c>
    </row>
    <row r="171" spans="7:35" x14ac:dyDescent="0.3">
      <c r="G171" s="3">
        <f t="shared" ca="1" si="24"/>
        <v>318</v>
      </c>
      <c r="H171" s="97">
        <f t="shared" ca="1" si="26"/>
        <v>45243</v>
      </c>
      <c r="I171" s="121">
        <f ca="1">HLOOKUP($H$4,'Met Data'!$A$2:$F$368,G171,FALSE)</f>
        <v>12.55</v>
      </c>
      <c r="J171" s="121">
        <f ca="1">HLOOKUP($H$4,'Met Data'!$H$2:$M$368,G171,FALSE)*L171</f>
        <v>1.2</v>
      </c>
      <c r="K171" s="98">
        <f ca="1">HLOOKUP($H$4,'Met Data'!$O$2:$T$368,G171,FALSE)</f>
        <v>3.2727192045008802</v>
      </c>
      <c r="L171">
        <f t="shared" ca="1" si="20"/>
        <v>1</v>
      </c>
      <c r="N171" t="b">
        <f t="shared" ca="1" si="25"/>
        <v>1</v>
      </c>
      <c r="O171" t="b">
        <f t="shared" ca="1" si="21"/>
        <v>1</v>
      </c>
      <c r="P171" s="2">
        <f ca="1"/>
        <v>45288</v>
      </c>
      <c r="Q171">
        <f ca="1"/>
        <v>39.982875610437276</v>
      </c>
      <c r="R171">
        <f ca="1"/>
        <v>0.85105843373315804</v>
      </c>
      <c r="S171">
        <f ca="1"/>
        <v>3.4838410510434298E-11</v>
      </c>
      <c r="T171">
        <f ca="1"/>
        <v>0.15708427094789496</v>
      </c>
      <c r="U171">
        <f ca="1"/>
        <v>0</v>
      </c>
      <c r="V171">
        <f ca="1"/>
        <v>139.72729397401801</v>
      </c>
      <c r="W171">
        <f ca="1"/>
        <v>96.601585957345804</v>
      </c>
      <c r="X171">
        <f ca="1"/>
        <v>0</v>
      </c>
      <c r="Y171">
        <f ca="1"/>
        <v>0.71590682386930937</v>
      </c>
      <c r="Z171">
        <f ca="1"/>
        <v>0</v>
      </c>
      <c r="AA171">
        <f ca="1"/>
        <v>0</v>
      </c>
      <c r="AB171">
        <f ca="1"/>
        <v>0.79870222335086605</v>
      </c>
      <c r="AD171" s="2">
        <f t="shared" ca="1" si="22"/>
        <v>45288</v>
      </c>
      <c r="AE171">
        <f t="shared" ca="1" si="23"/>
        <v>0</v>
      </c>
      <c r="AG171" s="65">
        <f t="shared" ca="1" si="27"/>
        <v>40.833934044170448</v>
      </c>
      <c r="AH171" s="65">
        <f t="shared" ca="1" si="28"/>
        <v>40.833934044170434</v>
      </c>
      <c r="AI171" s="3">
        <f t="shared" ca="1" si="29"/>
        <v>0</v>
      </c>
    </row>
    <row r="172" spans="7:35" x14ac:dyDescent="0.3">
      <c r="G172" s="3">
        <f t="shared" ca="1" si="24"/>
        <v>319</v>
      </c>
      <c r="H172" s="97">
        <f t="shared" ca="1" si="26"/>
        <v>45244</v>
      </c>
      <c r="I172" s="121">
        <f ca="1">HLOOKUP($H$4,'Met Data'!$A$2:$F$368,G172,FALSE)</f>
        <v>12.591666666666599</v>
      </c>
      <c r="J172" s="121">
        <f ca="1">HLOOKUP($H$4,'Met Data'!$H$2:$M$368,G172,FALSE)*L172</f>
        <v>1.25</v>
      </c>
      <c r="K172" s="98">
        <f ca="1">HLOOKUP($H$4,'Met Data'!$O$2:$T$368,G172,FALSE)</f>
        <v>3.2542764283054399</v>
      </c>
      <c r="L172">
        <f t="shared" ca="1" si="20"/>
        <v>1</v>
      </c>
      <c r="N172" t="b">
        <f t="shared" ca="1" si="25"/>
        <v>1</v>
      </c>
      <c r="O172" t="b">
        <f t="shared" ca="1" si="21"/>
        <v>1</v>
      </c>
      <c r="P172" s="2">
        <f ca="1"/>
        <v>45289</v>
      </c>
      <c r="Q172">
        <f ca="1"/>
        <v>39.32247941118807</v>
      </c>
      <c r="R172">
        <f ca="1"/>
        <v>0.82007997209677796</v>
      </c>
      <c r="S172">
        <f ca="1"/>
        <v>3.020062291967253E-11</v>
      </c>
      <c r="T172">
        <f ca="1"/>
        <v>0.15968377281736354</v>
      </c>
      <c r="U172">
        <f ca="1"/>
        <v>0</v>
      </c>
      <c r="V172">
        <f ca="1"/>
        <v>140.54737394611499</v>
      </c>
      <c r="W172">
        <f ca="1"/>
        <v>97.168554826943605</v>
      </c>
      <c r="X172">
        <f ca="1"/>
        <v>0</v>
      </c>
      <c r="Y172">
        <f ca="1"/>
        <v>0.72293610665122332</v>
      </c>
      <c r="Z172">
        <f ca="1"/>
        <v>0</v>
      </c>
      <c r="AA172">
        <f ca="1"/>
        <v>0</v>
      </c>
      <c r="AB172">
        <f ca="1"/>
        <v>0.79616711958619502</v>
      </c>
      <c r="AD172" s="2">
        <f t="shared" ca="1" si="22"/>
        <v>45289</v>
      </c>
      <c r="AE172">
        <f t="shared" ca="1" si="23"/>
        <v>0</v>
      </c>
      <c r="AG172" s="65">
        <f t="shared" ca="1" si="27"/>
        <v>40.142559383284841</v>
      </c>
      <c r="AH172" s="65">
        <f t="shared" ca="1" si="28"/>
        <v>40.142559383284848</v>
      </c>
      <c r="AI172" s="3">
        <f t="shared" ca="1" si="29"/>
        <v>0</v>
      </c>
    </row>
    <row r="173" spans="7:35" x14ac:dyDescent="0.3">
      <c r="G173" s="3">
        <f t="shared" ca="1" si="24"/>
        <v>320</v>
      </c>
      <c r="H173" s="97">
        <f t="shared" ca="1" si="26"/>
        <v>45245</v>
      </c>
      <c r="I173" s="121">
        <f ca="1">HLOOKUP($H$4,'Met Data'!$A$2:$F$368,G173,FALSE)</f>
        <v>13.462499999999901</v>
      </c>
      <c r="J173" s="121">
        <f ca="1">HLOOKUP($H$4,'Met Data'!$H$2:$M$368,G173,FALSE)*L173</f>
        <v>2.0666666666666602</v>
      </c>
      <c r="K173" s="98">
        <f ca="1">HLOOKUP($H$4,'Met Data'!$O$2:$T$368,G173,FALSE)</f>
        <v>3.39036465144653</v>
      </c>
      <c r="L173">
        <f t="shared" ca="1" si="20"/>
        <v>1</v>
      </c>
      <c r="N173" t="b">
        <f t="shared" ca="1" si="25"/>
        <v>1</v>
      </c>
      <c r="O173" t="b">
        <f t="shared" ca="1" si="21"/>
        <v>1</v>
      </c>
      <c r="P173" s="2">
        <f ca="1"/>
        <v>45290</v>
      </c>
      <c r="Q173">
        <f ca="1"/>
        <v>38.69934458766997</v>
      </c>
      <c r="R173">
        <f ca="1"/>
        <v>0.78320993155205099</v>
      </c>
      <c r="S173">
        <f ca="1"/>
        <v>2.5813780856835771E-11</v>
      </c>
      <c r="T173">
        <f ca="1"/>
        <v>0.16007510800814129</v>
      </c>
      <c r="U173">
        <f ca="1"/>
        <v>0</v>
      </c>
      <c r="V173">
        <f ca="1"/>
        <v>141.33058387766701</v>
      </c>
      <c r="W173">
        <f ca="1"/>
        <v>97.710033298140104</v>
      </c>
      <c r="X173">
        <f ca="1"/>
        <v>0</v>
      </c>
      <c r="Y173">
        <f ca="1"/>
        <v>0.72771703736942661</v>
      </c>
      <c r="Z173">
        <f ca="1"/>
        <v>0</v>
      </c>
      <c r="AA173">
        <f ca="1"/>
        <v>0</v>
      </c>
      <c r="AB173">
        <f ca="1"/>
        <v>0.78037278561415302</v>
      </c>
      <c r="AD173" s="2">
        <f t="shared" ca="1" si="22"/>
        <v>45290</v>
      </c>
      <c r="AE173">
        <f t="shared" ca="1" si="23"/>
        <v>0</v>
      </c>
      <c r="AG173" s="65">
        <f t="shared" ca="1" si="27"/>
        <v>39.482554519222028</v>
      </c>
      <c r="AH173" s="65">
        <f t="shared" ca="1" si="28"/>
        <v>39.48255451922202</v>
      </c>
      <c r="AI173" s="3">
        <f t="shared" ca="1" si="29"/>
        <v>0</v>
      </c>
    </row>
    <row r="174" spans="7:35" x14ac:dyDescent="0.3">
      <c r="G174" s="3">
        <f t="shared" ca="1" si="24"/>
        <v>321</v>
      </c>
      <c r="H174" s="97">
        <f t="shared" ca="1" si="26"/>
        <v>45246</v>
      </c>
      <c r="I174" s="121">
        <f ca="1">HLOOKUP($H$4,'Met Data'!$A$2:$F$368,G174,FALSE)</f>
        <v>14.7458333333333</v>
      </c>
      <c r="J174" s="121">
        <f ca="1">HLOOKUP($H$4,'Met Data'!$H$2:$M$368,G174,FALSE)*L174</f>
        <v>5.2166666666666597</v>
      </c>
      <c r="K174" s="98">
        <f ca="1">HLOOKUP($H$4,'Met Data'!$O$2:$T$368,G174,FALSE)</f>
        <v>3.3940384004400501</v>
      </c>
      <c r="L174">
        <f t="shared" ca="1" si="20"/>
        <v>1</v>
      </c>
      <c r="N174" t="b">
        <f t="shared" ca="1" si="25"/>
        <v>1</v>
      </c>
      <c r="O174" t="b">
        <f t="shared" ca="1" si="21"/>
        <v>1</v>
      </c>
      <c r="P174" s="2">
        <f ca="1"/>
        <v>45291</v>
      </c>
      <c r="Q174">
        <f ca="1"/>
        <v>38.122940657390473</v>
      </c>
      <c r="R174">
        <f ca="1"/>
        <v>0.73405290507770404</v>
      </c>
      <c r="S174">
        <f ca="1"/>
        <v>2.1795230874587721E-11</v>
      </c>
      <c r="T174">
        <f ca="1"/>
        <v>0.15764897477639941</v>
      </c>
      <c r="U174">
        <f ca="1"/>
        <v>0</v>
      </c>
      <c r="V174">
        <f ca="1"/>
        <v>142.064636782745</v>
      </c>
      <c r="W174">
        <f ca="1"/>
        <v>98.217526664613601</v>
      </c>
      <c r="X174">
        <f ca="1"/>
        <v>0</v>
      </c>
      <c r="Y174">
        <f ca="1"/>
        <v>0.73781071478453064</v>
      </c>
      <c r="Z174">
        <f ca="1"/>
        <v>0</v>
      </c>
      <c r="AA174">
        <f ca="1"/>
        <v>0</v>
      </c>
      <c r="AB174">
        <f ca="1"/>
        <v>0.76491803175194295</v>
      </c>
      <c r="AD174" s="2">
        <f t="shared" ca="1" si="22"/>
        <v>45291</v>
      </c>
      <c r="AE174">
        <f t="shared" ca="1" si="23"/>
        <v>0</v>
      </c>
      <c r="AG174" s="65">
        <f t="shared" ca="1" si="27"/>
        <v>38.856993562468162</v>
      </c>
      <c r="AH174" s="65">
        <f t="shared" ca="1" si="28"/>
        <v>38.856993562468176</v>
      </c>
      <c r="AI174" s="3">
        <f t="shared" ca="1" si="29"/>
        <v>0</v>
      </c>
    </row>
    <row r="175" spans="7:35" x14ac:dyDescent="0.3">
      <c r="G175" s="3">
        <f t="shared" ca="1" si="24"/>
        <v>322</v>
      </c>
      <c r="H175" s="97">
        <f t="shared" ca="1" si="26"/>
        <v>45247</v>
      </c>
      <c r="I175" s="121">
        <f ca="1">HLOOKUP($H$4,'Met Data'!$A$2:$F$368,G175,FALSE)</f>
        <v>14.945833333333301</v>
      </c>
      <c r="J175" s="121">
        <f ca="1">HLOOKUP($H$4,'Met Data'!$H$2:$M$368,G175,FALSE)*L175</f>
        <v>5.3333333333333304</v>
      </c>
      <c r="K175" s="98">
        <f ca="1">HLOOKUP($H$4,'Met Data'!$O$2:$T$368,G175,FALSE)</f>
        <v>2.86263659321907</v>
      </c>
      <c r="L175">
        <f t="shared" ca="1" si="20"/>
        <v>1</v>
      </c>
      <c r="N175" t="b">
        <f t="shared" ca="1" si="25"/>
        <v>1</v>
      </c>
      <c r="O175" t="b">
        <f t="shared" ca="1" si="21"/>
        <v>1</v>
      </c>
      <c r="P175" s="2">
        <f ca="1"/>
        <v>45292</v>
      </c>
      <c r="Q175">
        <f ca="1"/>
        <v>37.541160985045821</v>
      </c>
      <c r="R175">
        <f ca="1"/>
        <v>0.75332339708259599</v>
      </c>
      <c r="S175">
        <f ca="1"/>
        <v>1.9739595015587101E-11</v>
      </c>
      <c r="T175">
        <f ca="1"/>
        <v>0.17154372471821613</v>
      </c>
      <c r="U175">
        <f ca="1"/>
        <v>0</v>
      </c>
      <c r="V175">
        <f ca="1"/>
        <v>142.817960179827</v>
      </c>
      <c r="W175">
        <f ca="1"/>
        <v>98.738342840374401</v>
      </c>
      <c r="X175">
        <f ca="1"/>
        <v>0</v>
      </c>
      <c r="Y175">
        <f ca="1"/>
        <v>0.73061584560517223</v>
      </c>
      <c r="Z175">
        <f ca="1"/>
        <v>0</v>
      </c>
      <c r="AA175">
        <f ca="1"/>
        <v>0</v>
      </c>
      <c r="AB175">
        <f ca="1"/>
        <v>0.74833263047859</v>
      </c>
      <c r="AD175" s="2">
        <f t="shared" ca="1" si="22"/>
        <v>45292</v>
      </c>
      <c r="AE175">
        <f t="shared" ca="1" si="23"/>
        <v>0</v>
      </c>
      <c r="AG175" s="65">
        <f t="shared" ca="1" si="27"/>
        <v>38.294484382128431</v>
      </c>
      <c r="AH175" s="65">
        <f t="shared" ca="1" si="28"/>
        <v>38.294484382128417</v>
      </c>
      <c r="AI175" s="3">
        <f t="shared" ca="1" si="29"/>
        <v>0</v>
      </c>
    </row>
    <row r="176" spans="7:35" x14ac:dyDescent="0.3">
      <c r="G176" s="3">
        <f t="shared" ca="1" si="24"/>
        <v>323</v>
      </c>
      <c r="H176" s="97">
        <f t="shared" ca="1" si="26"/>
        <v>45248</v>
      </c>
      <c r="I176" s="121">
        <f ca="1">HLOOKUP($H$4,'Met Data'!$A$2:$F$368,G176,FALSE)</f>
        <v>14.45</v>
      </c>
      <c r="J176" s="121">
        <f ca="1">HLOOKUP($H$4,'Met Data'!$H$2:$M$368,G176,FALSE)*L176</f>
        <v>6.0833333333333304</v>
      </c>
      <c r="K176" s="98">
        <f ca="1">HLOOKUP($H$4,'Met Data'!$O$2:$T$368,G176,FALSE)</f>
        <v>3.2654882571522399</v>
      </c>
      <c r="L176">
        <f t="shared" ca="1" si="20"/>
        <v>1</v>
      </c>
      <c r="N176" t="b">
        <f t="shared" ca="1" si="25"/>
        <v>1</v>
      </c>
      <c r="O176" t="b">
        <f t="shared" ca="1" si="21"/>
        <v>1</v>
      </c>
      <c r="P176" s="2">
        <f ca="1"/>
        <v>45293</v>
      </c>
      <c r="Q176">
        <f ca="1"/>
        <v>36.978626306946254</v>
      </c>
      <c r="R176">
        <f ca="1"/>
        <v>0.74025002121709305</v>
      </c>
      <c r="S176">
        <f ca="1"/>
        <v>1.7049514857934214E-11</v>
      </c>
      <c r="T176">
        <f ca="1"/>
        <v>0.1777153431004643</v>
      </c>
      <c r="U176">
        <f ca="1"/>
        <v>0</v>
      </c>
      <c r="V176">
        <f ca="1"/>
        <v>143.55821020104401</v>
      </c>
      <c r="W176">
        <f ca="1"/>
        <v>99.250120632820796</v>
      </c>
      <c r="X176">
        <f ca="1"/>
        <v>0</v>
      </c>
      <c r="Y176">
        <f ca="1"/>
        <v>0.72644183217645475</v>
      </c>
      <c r="Z176">
        <f ca="1"/>
        <v>0</v>
      </c>
      <c r="AA176">
        <f ca="1"/>
        <v>0</v>
      </c>
      <c r="AB176">
        <f ca="1"/>
        <v>0.73124171790537396</v>
      </c>
      <c r="AD176" s="2">
        <f t="shared" ca="1" si="22"/>
        <v>45293</v>
      </c>
      <c r="AE176">
        <f t="shared" ca="1" si="23"/>
        <v>0</v>
      </c>
      <c r="AG176" s="65">
        <f t="shared" ca="1" si="27"/>
        <v>37.71887632816334</v>
      </c>
      <c r="AH176" s="65">
        <f t="shared" ca="1" si="28"/>
        <v>37.718876328163347</v>
      </c>
      <c r="AI176" s="3">
        <f t="shared" ca="1" si="29"/>
        <v>0</v>
      </c>
    </row>
    <row r="177" spans="7:35" x14ac:dyDescent="0.3">
      <c r="G177" s="3">
        <f t="shared" ca="1" si="24"/>
        <v>324</v>
      </c>
      <c r="H177" s="97">
        <f t="shared" ca="1" si="26"/>
        <v>45249</v>
      </c>
      <c r="I177" s="121">
        <f ca="1">HLOOKUP($H$4,'Met Data'!$A$2:$F$368,G177,FALSE)</f>
        <v>13.941666666666601</v>
      </c>
      <c r="J177" s="121">
        <f ca="1">HLOOKUP($H$4,'Met Data'!$H$2:$M$368,G177,FALSE)*L177</f>
        <v>0.98333333333333295</v>
      </c>
      <c r="K177" s="98">
        <f ca="1">HLOOKUP($H$4,'Met Data'!$O$2:$T$368,G177,FALSE)</f>
        <v>3.5976260978488002</v>
      </c>
      <c r="L177">
        <f t="shared" ca="1" si="20"/>
        <v>1</v>
      </c>
      <c r="N177" t="b">
        <f t="shared" ca="1" si="25"/>
        <v>1</v>
      </c>
      <c r="O177" t="b">
        <f t="shared" ca="1" si="21"/>
        <v>1</v>
      </c>
      <c r="P177" s="2">
        <f ca="1"/>
        <v>45294</v>
      </c>
      <c r="Q177">
        <f ca="1"/>
        <v>36.457167189365251</v>
      </c>
      <c r="R177">
        <f ca="1"/>
        <v>0.70639104278606601</v>
      </c>
      <c r="S177">
        <f ca="1"/>
        <v>1.4889683420989011E-11</v>
      </c>
      <c r="T177">
        <f ca="1"/>
        <v>0.18493192519017201</v>
      </c>
      <c r="U177">
        <f ca="1"/>
        <v>0</v>
      </c>
      <c r="V177">
        <f ca="1"/>
        <v>144.26460124382999</v>
      </c>
      <c r="W177">
        <f ca="1"/>
        <v>99.738489748820996</v>
      </c>
      <c r="X177">
        <f ca="1"/>
        <v>0</v>
      </c>
      <c r="Y177">
        <f ca="1"/>
        <v>0.7545077399810125</v>
      </c>
      <c r="Z177">
        <f ca="1"/>
        <v>0</v>
      </c>
      <c r="AA177">
        <f ca="1"/>
        <v>0</v>
      </c>
      <c r="AB177">
        <f ca="1"/>
        <v>0.714116075548198</v>
      </c>
      <c r="AD177" s="2">
        <f t="shared" ca="1" si="22"/>
        <v>45294</v>
      </c>
      <c r="AE177">
        <f t="shared" ca="1" si="23"/>
        <v>0</v>
      </c>
      <c r="AG177" s="65">
        <f t="shared" ca="1" si="27"/>
        <v>37.163558232151317</v>
      </c>
      <c r="AH177" s="65">
        <f t="shared" ca="1" si="28"/>
        <v>37.163558232151317</v>
      </c>
      <c r="AI177" s="3">
        <f t="shared" ca="1" si="29"/>
        <v>0</v>
      </c>
    </row>
    <row r="178" spans="7:35" x14ac:dyDescent="0.3">
      <c r="G178" s="3">
        <f t="shared" ca="1" si="24"/>
        <v>325</v>
      </c>
      <c r="H178" s="97">
        <f t="shared" ca="1" si="26"/>
        <v>45250</v>
      </c>
      <c r="I178" s="121">
        <f ca="1">HLOOKUP($H$4,'Met Data'!$A$2:$F$368,G178,FALSE)</f>
        <v>14.1208333333333</v>
      </c>
      <c r="J178" s="121">
        <f ca="1">HLOOKUP($H$4,'Met Data'!$H$2:$M$368,G178,FALSE)*L178</f>
        <v>2.36666666666666</v>
      </c>
      <c r="K178" s="98">
        <f ca="1">HLOOKUP($H$4,'Met Data'!$O$2:$T$368,G178,FALSE)</f>
        <v>3.2574752266568199</v>
      </c>
      <c r="L178">
        <f t="shared" ca="1" si="20"/>
        <v>1</v>
      </c>
      <c r="N178" t="b">
        <f t="shared" ca="1" si="25"/>
        <v>1</v>
      </c>
      <c r="O178" t="b">
        <f t="shared" ca="1" si="21"/>
        <v>1</v>
      </c>
      <c r="P178" s="2">
        <f ca="1"/>
        <v>45295</v>
      </c>
      <c r="Q178">
        <f ca="1"/>
        <v>35.998670938374232</v>
      </c>
      <c r="R178">
        <f ca="1"/>
        <v>0.61932081603831102</v>
      </c>
      <c r="S178">
        <f ca="1"/>
        <v>1.1093562721398583E-11</v>
      </c>
      <c r="T178">
        <f ca="1"/>
        <v>0.16082456503620762</v>
      </c>
      <c r="U178">
        <f ca="1"/>
        <v>0</v>
      </c>
      <c r="V178">
        <f ca="1"/>
        <v>144.88392205986901</v>
      </c>
      <c r="W178">
        <f ca="1"/>
        <v>100.166662164847</v>
      </c>
      <c r="X178">
        <f ca="1"/>
        <v>0</v>
      </c>
      <c r="Y178">
        <f ca="1"/>
        <v>0.73443469795304894</v>
      </c>
      <c r="Z178">
        <f ca="1"/>
        <v>0</v>
      </c>
      <c r="AA178">
        <f ca="1"/>
        <v>0</v>
      </c>
      <c r="AB178">
        <f ca="1"/>
        <v>0.698371906819655</v>
      </c>
      <c r="AD178" s="2">
        <f t="shared" ca="1" si="22"/>
        <v>45295</v>
      </c>
      <c r="AE178">
        <f t="shared" ca="1" si="23"/>
        <v>0</v>
      </c>
      <c r="AG178" s="65">
        <f t="shared" ca="1" si="27"/>
        <v>36.61799175441255</v>
      </c>
      <c r="AH178" s="65">
        <f t="shared" ca="1" si="28"/>
        <v>36.617991754412543</v>
      </c>
      <c r="AI178" s="3">
        <f t="shared" ca="1" si="29"/>
        <v>0</v>
      </c>
    </row>
    <row r="179" spans="7:35" x14ac:dyDescent="0.3">
      <c r="G179" s="3">
        <f t="shared" ca="1" si="24"/>
        <v>326</v>
      </c>
      <c r="H179" s="97">
        <f t="shared" ca="1" si="26"/>
        <v>45251</v>
      </c>
      <c r="I179" s="121">
        <f ca="1">HLOOKUP($H$4,'Met Data'!$A$2:$F$368,G179,FALSE)</f>
        <v>14.2</v>
      </c>
      <c r="J179" s="121">
        <f ca="1">HLOOKUP($H$4,'Met Data'!$H$2:$M$368,G179,FALSE)*L179</f>
        <v>1.4166666666666601</v>
      </c>
      <c r="K179" s="98">
        <f ca="1">HLOOKUP($H$4,'Met Data'!$O$2:$T$368,G179,FALSE)</f>
        <v>3.2248407363783</v>
      </c>
      <c r="L179">
        <f t="shared" ca="1" si="20"/>
        <v>1</v>
      </c>
      <c r="N179" t="b">
        <f t="shared" ca="1" si="25"/>
        <v>1</v>
      </c>
      <c r="O179" t="b">
        <f t="shared" ca="1" si="21"/>
        <v>1</v>
      </c>
      <c r="P179" s="2">
        <f ca="1"/>
        <v>45296</v>
      </c>
      <c r="Q179">
        <f ca="1"/>
        <v>35.579306778852356</v>
      </c>
      <c r="R179">
        <f ca="1"/>
        <v>0.57170428192370104</v>
      </c>
      <c r="S179">
        <f ca="1"/>
        <v>9.0284938709698539E-12</v>
      </c>
      <c r="T179">
        <f ca="1"/>
        <v>0.15234012239277755</v>
      </c>
      <c r="U179">
        <f ca="1"/>
        <v>0</v>
      </c>
      <c r="V179">
        <f ca="1"/>
        <v>145.455626341792</v>
      </c>
      <c r="W179">
        <f ca="1"/>
        <v>100.561914507906</v>
      </c>
      <c r="X179">
        <f ca="1"/>
        <v>0</v>
      </c>
      <c r="Y179">
        <f ca="1"/>
        <v>0.72803607223513345</v>
      </c>
      <c r="Z179">
        <f ca="1"/>
        <v>0</v>
      </c>
      <c r="AA179">
        <f ca="1"/>
        <v>0</v>
      </c>
      <c r="AB179">
        <f ca="1"/>
        <v>0.68316797917493299</v>
      </c>
      <c r="AD179" s="2">
        <f t="shared" ca="1" si="22"/>
        <v>45296</v>
      </c>
      <c r="AE179">
        <f t="shared" ca="1" si="23"/>
        <v>0</v>
      </c>
      <c r="AG179" s="65">
        <f t="shared" ca="1" si="27"/>
        <v>36.151011060776042</v>
      </c>
      <c r="AH179" s="65">
        <f t="shared" ca="1" si="28"/>
        <v>36.151011060776057</v>
      </c>
      <c r="AI179" s="3">
        <f t="shared" ca="1" si="29"/>
        <v>0</v>
      </c>
    </row>
    <row r="180" spans="7:35" x14ac:dyDescent="0.3">
      <c r="G180" s="3">
        <f t="shared" ca="1" si="24"/>
        <v>327</v>
      </c>
      <c r="H180" s="97">
        <f t="shared" ca="1" si="26"/>
        <v>45252</v>
      </c>
      <c r="I180" s="121">
        <f ca="1">HLOOKUP($H$4,'Met Data'!$A$2:$F$368,G180,FALSE)</f>
        <v>14.2916666666666</v>
      </c>
      <c r="J180" s="121">
        <f ca="1">HLOOKUP($H$4,'Met Data'!$H$2:$M$368,G180,FALSE)*L180</f>
        <v>1.2333333333333301</v>
      </c>
      <c r="K180" s="98">
        <f ca="1">HLOOKUP($H$4,'Met Data'!$O$2:$T$368,G180,FALSE)</f>
        <v>3.2303061956604</v>
      </c>
      <c r="L180">
        <f t="shared" ca="1" si="20"/>
        <v>1</v>
      </c>
      <c r="N180" t="b">
        <f t="shared" ca="1" si="25"/>
        <v>1</v>
      </c>
      <c r="O180" t="b">
        <f t="shared" ca="1" si="21"/>
        <v>1</v>
      </c>
      <c r="P180" s="2">
        <f ca="1"/>
        <v>45297</v>
      </c>
      <c r="Q180">
        <f ca="1"/>
        <v>35.154607458811967</v>
      </c>
      <c r="R180">
        <f ca="1"/>
        <v>0.58613743487544001</v>
      </c>
      <c r="S180">
        <f ca="1"/>
        <v>7.9935778051504662E-12</v>
      </c>
      <c r="T180">
        <f ca="1"/>
        <v>0.16143811482705578</v>
      </c>
      <c r="U180">
        <f ca="1"/>
        <v>0</v>
      </c>
      <c r="V180">
        <f ca="1"/>
        <v>146.04176377666801</v>
      </c>
      <c r="W180">
        <f ca="1"/>
        <v>100.967145327079</v>
      </c>
      <c r="X180">
        <f ca="1"/>
        <v>0</v>
      </c>
      <c r="Y180">
        <f ca="1"/>
        <v>0.70075408531059691</v>
      </c>
      <c r="Z180">
        <f ca="1"/>
        <v>0</v>
      </c>
      <c r="AA180">
        <f ca="1"/>
        <v>0</v>
      </c>
      <c r="AB180">
        <f ca="1"/>
        <v>0.66684112184883804</v>
      </c>
      <c r="AD180" s="2">
        <f t="shared" ca="1" si="22"/>
        <v>45297</v>
      </c>
      <c r="AE180">
        <f t="shared" ca="1" si="23"/>
        <v>0</v>
      </c>
      <c r="AG180" s="65">
        <f t="shared" ca="1" si="27"/>
        <v>35.740744893687406</v>
      </c>
      <c r="AH180" s="65">
        <f t="shared" ca="1" si="28"/>
        <v>35.740744893687406</v>
      </c>
      <c r="AI180" s="3">
        <f t="shared" ca="1" si="29"/>
        <v>0</v>
      </c>
    </row>
    <row r="181" spans="7:35" x14ac:dyDescent="0.3">
      <c r="G181" s="3">
        <f t="shared" ca="1" si="24"/>
        <v>328</v>
      </c>
      <c r="H181" s="97">
        <f t="shared" ca="1" si="26"/>
        <v>45253</v>
      </c>
      <c r="I181" s="121">
        <f ca="1">HLOOKUP($H$4,'Met Data'!$A$2:$F$368,G181,FALSE)</f>
        <v>14.8666666666666</v>
      </c>
      <c r="J181" s="121">
        <f ca="1">HLOOKUP($H$4,'Met Data'!$H$2:$M$368,G181,FALSE)*L181</f>
        <v>0.21666666666666601</v>
      </c>
      <c r="K181" s="98">
        <f ca="1">HLOOKUP($H$4,'Met Data'!$O$2:$T$368,G181,FALSE)</f>
        <v>3.8851743269165699</v>
      </c>
      <c r="L181">
        <f t="shared" ca="1" si="20"/>
        <v>1</v>
      </c>
      <c r="N181" t="b">
        <f t="shared" ca="1" si="25"/>
        <v>1</v>
      </c>
      <c r="O181" t="b">
        <f t="shared" ca="1" si="21"/>
        <v>1</v>
      </c>
      <c r="P181" s="2">
        <f ca="1"/>
        <v>45298</v>
      </c>
      <c r="Q181">
        <f ca="1"/>
        <v>34.76863163933092</v>
      </c>
      <c r="R181">
        <f ca="1"/>
        <v>0.539107776186455</v>
      </c>
      <c r="S181">
        <f ca="1"/>
        <v>6.5336774179384817E-12</v>
      </c>
      <c r="T181">
        <f ca="1"/>
        <v>0.15313195669887608</v>
      </c>
      <c r="U181">
        <f ca="1"/>
        <v>0</v>
      </c>
      <c r="V181">
        <f ca="1"/>
        <v>146.58087155285401</v>
      </c>
      <c r="W181">
        <f ca="1"/>
        <v>101.33986181431899</v>
      </c>
      <c r="X181">
        <f ca="1"/>
        <v>0</v>
      </c>
      <c r="Y181">
        <f ca="1"/>
        <v>0.69717790987723327</v>
      </c>
      <c r="Z181">
        <f ca="1"/>
        <v>0</v>
      </c>
      <c r="AA181">
        <f ca="1"/>
        <v>0</v>
      </c>
      <c r="AB181">
        <f ca="1"/>
        <v>0.65109309425540995</v>
      </c>
      <c r="AD181" s="2">
        <f t="shared" ca="1" si="22"/>
        <v>45298</v>
      </c>
      <c r="AE181">
        <f t="shared" ca="1" si="23"/>
        <v>0</v>
      </c>
      <c r="AG181" s="65">
        <f t="shared" ca="1" si="27"/>
        <v>35.307739415517382</v>
      </c>
      <c r="AH181" s="65">
        <f t="shared" ca="1" si="28"/>
        <v>35.307739415517375</v>
      </c>
      <c r="AI181" s="3">
        <f t="shared" ca="1" si="29"/>
        <v>0</v>
      </c>
    </row>
    <row r="182" spans="7:35" x14ac:dyDescent="0.3">
      <c r="G182" s="3">
        <f t="shared" ca="1" si="24"/>
        <v>329</v>
      </c>
      <c r="H182" s="97">
        <f t="shared" ca="1" si="26"/>
        <v>45254</v>
      </c>
      <c r="I182" s="121">
        <f ca="1">HLOOKUP($H$4,'Met Data'!$A$2:$F$368,G182,FALSE)</f>
        <v>14.875</v>
      </c>
      <c r="J182" s="121">
        <f ca="1">HLOOKUP($H$4,'Met Data'!$H$2:$M$368,G182,FALSE)*L182</f>
        <v>1.8333333333333299</v>
      </c>
      <c r="K182" s="98">
        <f ca="1">HLOOKUP($H$4,'Met Data'!$O$2:$T$368,G182,FALSE)</f>
        <v>3.3424019609463702</v>
      </c>
      <c r="L182">
        <f t="shared" ca="1" si="20"/>
        <v>1</v>
      </c>
      <c r="N182" t="b">
        <f t="shared" ca="1" si="25"/>
        <v>1</v>
      </c>
      <c r="O182" t="b">
        <f t="shared" ca="1" si="21"/>
        <v>1</v>
      </c>
      <c r="P182" s="2">
        <f ca="1"/>
        <v>45299</v>
      </c>
      <c r="Q182">
        <f ca="1"/>
        <v>34.397477520585767</v>
      </c>
      <c r="R182">
        <f ca="1"/>
        <v>0.52699641498807603</v>
      </c>
      <c r="S182">
        <f ca="1"/>
        <v>5.6490678208425356E-12</v>
      </c>
      <c r="T182">
        <f ca="1"/>
        <v>0.15584229623726686</v>
      </c>
      <c r="U182">
        <f ca="1"/>
        <v>0</v>
      </c>
      <c r="V182">
        <f ca="1"/>
        <v>147.107867967842</v>
      </c>
      <c r="W182">
        <f ca="1"/>
        <v>101.704205014805</v>
      </c>
      <c r="X182">
        <f ca="1"/>
        <v>0</v>
      </c>
      <c r="Y182">
        <f ca="1"/>
        <v>0.68545909696353491</v>
      </c>
      <c r="Z182">
        <f ca="1"/>
        <v>0</v>
      </c>
      <c r="AA182">
        <f ca="1"/>
        <v>0</v>
      </c>
      <c r="AB182">
        <f ca="1"/>
        <v>0.63494760357888402</v>
      </c>
      <c r="AD182" s="2">
        <f t="shared" ca="1" si="22"/>
        <v>45299</v>
      </c>
      <c r="AE182">
        <f t="shared" ca="1" si="23"/>
        <v>0</v>
      </c>
      <c r="AG182" s="65">
        <f t="shared" ca="1" si="27"/>
        <v>34.924473935573836</v>
      </c>
      <c r="AH182" s="65">
        <f t="shared" ca="1" si="28"/>
        <v>34.924473935573843</v>
      </c>
      <c r="AI182" s="3">
        <f t="shared" ca="1" si="29"/>
        <v>0</v>
      </c>
    </row>
    <row r="183" spans="7:35" x14ac:dyDescent="0.3">
      <c r="G183" s="3">
        <f t="shared" ca="1" si="24"/>
        <v>330</v>
      </c>
      <c r="H183" s="97">
        <f t="shared" ca="1" si="26"/>
        <v>45255</v>
      </c>
      <c r="I183" s="121">
        <f ca="1">HLOOKUP($H$4,'Met Data'!$A$2:$F$368,G183,FALSE)</f>
        <v>15.8125</v>
      </c>
      <c r="J183" s="121">
        <f ca="1">HLOOKUP($H$4,'Met Data'!$H$2:$M$368,G183,FALSE)*L183</f>
        <v>2.0166666666666599</v>
      </c>
      <c r="K183" s="98">
        <f ca="1">HLOOKUP($H$4,'Met Data'!$O$2:$T$368,G183,FALSE)</f>
        <v>3.2688322627941302</v>
      </c>
      <c r="L183">
        <f t="shared" ca="1" si="20"/>
        <v>1</v>
      </c>
      <c r="N183" t="b">
        <f t="shared" ca="1" si="25"/>
        <v>1</v>
      </c>
      <c r="O183" t="b">
        <f t="shared" ca="1" si="21"/>
        <v>1</v>
      </c>
      <c r="P183" s="2">
        <f ca="1"/>
        <v>45300</v>
      </c>
      <c r="Q183">
        <f ca="1"/>
        <v>34.052540455181855</v>
      </c>
      <c r="R183">
        <f ca="1"/>
        <v>0.49039185911655597</v>
      </c>
      <c r="S183">
        <f ca="1"/>
        <v>4.5320899889077196E-12</v>
      </c>
      <c r="T183">
        <f ca="1"/>
        <v>0.14545479370811698</v>
      </c>
      <c r="U183">
        <f ca="1"/>
        <v>0</v>
      </c>
      <c r="V183">
        <f ca="1"/>
        <v>147.59825982695901</v>
      </c>
      <c r="W183">
        <f ca="1"/>
        <v>102.043241361848</v>
      </c>
      <c r="X183">
        <f ca="1"/>
        <v>0</v>
      </c>
      <c r="Y183">
        <f ca="1"/>
        <v>0.65754250692098082</v>
      </c>
      <c r="Z183">
        <f ca="1"/>
        <v>0</v>
      </c>
      <c r="AA183">
        <f ca="1"/>
        <v>0</v>
      </c>
      <c r="AB183">
        <f ca="1"/>
        <v>0.61918414052591797</v>
      </c>
      <c r="AD183" s="2">
        <f t="shared" ca="1" si="22"/>
        <v>45300</v>
      </c>
      <c r="AE183">
        <f t="shared" ca="1" si="23"/>
        <v>0</v>
      </c>
      <c r="AG183" s="65">
        <f t="shared" ca="1" si="27"/>
        <v>34.542932314298419</v>
      </c>
      <c r="AH183" s="65">
        <f t="shared" ca="1" si="28"/>
        <v>34.542932314298412</v>
      </c>
      <c r="AI183" s="3">
        <f t="shared" ca="1" si="29"/>
        <v>0</v>
      </c>
    </row>
    <row r="184" spans="7:35" x14ac:dyDescent="0.3">
      <c r="G184" s="3">
        <f t="shared" ca="1" si="24"/>
        <v>331</v>
      </c>
      <c r="H184" s="97">
        <f t="shared" ca="1" si="26"/>
        <v>45256</v>
      </c>
      <c r="I184" s="121">
        <f ca="1">HLOOKUP($H$4,'Met Data'!$A$2:$F$368,G184,FALSE)</f>
        <v>15.945833333333301</v>
      </c>
      <c r="J184" s="121">
        <f ca="1">HLOOKUP($H$4,'Met Data'!$H$2:$M$368,G184,FALSE)*L184</f>
        <v>5.8833333333333302</v>
      </c>
      <c r="K184" s="98">
        <f ca="1">HLOOKUP($H$4,'Met Data'!$O$2:$T$368,G184,FALSE)</f>
        <v>3.26798762006384</v>
      </c>
      <c r="L184">
        <f t="shared" ca="1" si="20"/>
        <v>1</v>
      </c>
      <c r="N184" t="b">
        <f t="shared" ca="1" si="25"/>
        <v>1</v>
      </c>
      <c r="O184" t="b">
        <f t="shared" ca="1" si="21"/>
        <v>1</v>
      </c>
      <c r="P184" s="2">
        <f ca="1"/>
        <v>45301</v>
      </c>
      <c r="Q184">
        <f ca="1"/>
        <v>33.71799458974391</v>
      </c>
      <c r="R184">
        <f ca="1"/>
        <v>0.48312748730819499</v>
      </c>
      <c r="S184">
        <f ca="1"/>
        <v>3.9486090371021709E-12</v>
      </c>
      <c r="T184">
        <f ca="1"/>
        <v>0.14858162186627838</v>
      </c>
      <c r="U184">
        <f ca="1"/>
        <v>0</v>
      </c>
      <c r="V184">
        <f ca="1"/>
        <v>148.081387314267</v>
      </c>
      <c r="W184">
        <f ca="1"/>
        <v>102.377255427148</v>
      </c>
      <c r="X184">
        <f ca="1"/>
        <v>0</v>
      </c>
      <c r="Y184">
        <f ca="1"/>
        <v>0.63983634704941439</v>
      </c>
      <c r="Z184">
        <f ca="1"/>
        <v>0</v>
      </c>
      <c r="AA184">
        <f ca="1"/>
        <v>0</v>
      </c>
      <c r="AB184">
        <f ca="1"/>
        <v>0.60288043638912903</v>
      </c>
      <c r="AD184" s="2">
        <f t="shared" ca="1" si="22"/>
        <v>45301</v>
      </c>
      <c r="AE184">
        <f t="shared" ca="1" si="23"/>
        <v>0</v>
      </c>
      <c r="AG184" s="65">
        <f t="shared" ca="1" si="27"/>
        <v>34.201122077052084</v>
      </c>
      <c r="AH184" s="65">
        <f t="shared" ca="1" si="28"/>
        <v>34.201122077052105</v>
      </c>
      <c r="AI184" s="3">
        <f t="shared" ca="1" si="29"/>
        <v>0</v>
      </c>
    </row>
    <row r="185" spans="7:35" x14ac:dyDescent="0.3">
      <c r="G185" s="3">
        <f t="shared" ca="1" si="24"/>
        <v>332</v>
      </c>
      <c r="H185" s="97">
        <f t="shared" ca="1" si="26"/>
        <v>45257</v>
      </c>
      <c r="I185" s="121">
        <f ca="1">HLOOKUP($H$4,'Met Data'!$A$2:$F$368,G185,FALSE)</f>
        <v>16.279166666666601</v>
      </c>
      <c r="J185" s="121">
        <f ca="1">HLOOKUP($H$4,'Met Data'!$H$2:$M$368,G185,FALSE)*L185</f>
        <v>1.4833333333333301</v>
      </c>
      <c r="K185" s="98">
        <f ca="1">HLOOKUP($H$4,'Met Data'!$O$2:$T$368,G185,FALSE)</f>
        <v>3.19082213890132</v>
      </c>
      <c r="L185">
        <f t="shared" ca="1" si="20"/>
        <v>1</v>
      </c>
      <c r="N185" t="b">
        <f t="shared" ca="1" si="25"/>
        <v>1</v>
      </c>
      <c r="O185" t="b">
        <f t="shared" ca="1" si="21"/>
        <v>1</v>
      </c>
      <c r="P185" s="2">
        <f ca="1"/>
        <v>45302</v>
      </c>
      <c r="Q185">
        <f ca="1"/>
        <v>33.401060337885326</v>
      </c>
      <c r="R185">
        <f ca="1"/>
        <v>0.460934951071437</v>
      </c>
      <c r="S185">
        <f ca="1"/>
        <v>3.2836869458943863E-12</v>
      </c>
      <c r="T185">
        <f ca="1"/>
        <v>0.14400069920957512</v>
      </c>
      <c r="U185">
        <f ca="1"/>
        <v>0</v>
      </c>
      <c r="V185">
        <f ca="1"/>
        <v>148.54232226533901</v>
      </c>
      <c r="W185">
        <f ca="1"/>
        <v>102.69592650443199</v>
      </c>
      <c r="X185">
        <f ca="1"/>
        <v>0</v>
      </c>
      <c r="Y185">
        <f ca="1"/>
        <v>0.61351011268789157</v>
      </c>
      <c r="Z185">
        <f ca="1"/>
        <v>0</v>
      </c>
      <c r="AA185">
        <f ca="1"/>
        <v>0</v>
      </c>
      <c r="AB185">
        <f ca="1"/>
        <v>0.58653042587372695</v>
      </c>
      <c r="AD185" s="2">
        <f t="shared" ca="1" si="22"/>
        <v>45302</v>
      </c>
      <c r="AE185">
        <f t="shared" ca="1" si="23"/>
        <v>0</v>
      </c>
      <c r="AG185" s="65">
        <f t="shared" ca="1" si="27"/>
        <v>33.86199528895677</v>
      </c>
      <c r="AH185" s="65">
        <f t="shared" ca="1" si="28"/>
        <v>33.861995288956763</v>
      </c>
      <c r="AI185" s="3">
        <f t="shared" ca="1" si="29"/>
        <v>0</v>
      </c>
    </row>
    <row r="186" spans="7:35" x14ac:dyDescent="0.3">
      <c r="G186" s="3">
        <f t="shared" ca="1" si="24"/>
        <v>333</v>
      </c>
      <c r="H186" s="97">
        <f t="shared" ca="1" si="26"/>
        <v>45258</v>
      </c>
      <c r="I186" s="121">
        <f ca="1">HLOOKUP($H$4,'Met Data'!$A$2:$F$368,G186,FALSE)</f>
        <v>16.070833333333301</v>
      </c>
      <c r="J186" s="121">
        <f ca="1">HLOOKUP($H$4,'Met Data'!$H$2:$M$368,G186,FALSE)*L186</f>
        <v>7.43333333333333</v>
      </c>
      <c r="K186" s="98">
        <f ca="1">HLOOKUP($H$4,'Met Data'!$O$2:$T$368,G186,FALSE)</f>
        <v>3.00999975823754</v>
      </c>
      <c r="L186">
        <f t="shared" ca="1" si="20"/>
        <v>1</v>
      </c>
      <c r="N186" t="b">
        <f t="shared" ca="1" si="25"/>
        <v>1</v>
      </c>
      <c r="O186" t="b">
        <f t="shared" ca="1" si="21"/>
        <v>1</v>
      </c>
      <c r="P186" s="2">
        <f ca="1"/>
        <v>45303</v>
      </c>
      <c r="Q186">
        <f ca="1"/>
        <v>33.096283119081249</v>
      </c>
      <c r="R186">
        <f ca="1"/>
        <v>0.450939065098652</v>
      </c>
      <c r="S186">
        <f ca="1"/>
        <v>2.8534315931896556E-12</v>
      </c>
      <c r="T186">
        <f ca="1"/>
        <v>0.14616184629173995</v>
      </c>
      <c r="U186">
        <f ca="1"/>
        <v>0</v>
      </c>
      <c r="V186">
        <f ca="1"/>
        <v>148.99326133043701</v>
      </c>
      <c r="W186">
        <f ca="1"/>
        <v>103.007686845734</v>
      </c>
      <c r="X186">
        <f ca="1"/>
        <v>0</v>
      </c>
      <c r="Y186">
        <f ca="1"/>
        <v>0.59520569287400049</v>
      </c>
      <c r="Z186">
        <f ca="1"/>
        <v>0</v>
      </c>
      <c r="AA186">
        <f ca="1"/>
        <v>0</v>
      </c>
      <c r="AB186">
        <f ca="1"/>
        <v>0.56969805724776901</v>
      </c>
      <c r="AD186" s="2">
        <f t="shared" ca="1" si="22"/>
        <v>45303</v>
      </c>
      <c r="AE186">
        <f t="shared" ca="1" si="23"/>
        <v>0</v>
      </c>
      <c r="AG186" s="65">
        <f t="shared" ca="1" si="27"/>
        <v>33.547222184179923</v>
      </c>
      <c r="AH186" s="65">
        <f t="shared" ca="1" si="28"/>
        <v>33.547222184179901</v>
      </c>
      <c r="AI186" s="3">
        <f t="shared" ca="1" si="29"/>
        <v>0</v>
      </c>
    </row>
    <row r="187" spans="7:35" x14ac:dyDescent="0.3">
      <c r="G187" s="3">
        <f t="shared" ca="1" si="24"/>
        <v>334</v>
      </c>
      <c r="H187" s="97">
        <f t="shared" ca="1" si="26"/>
        <v>45259</v>
      </c>
      <c r="I187" s="121">
        <f ca="1">HLOOKUP($H$4,'Met Data'!$A$2:$F$368,G187,FALSE)</f>
        <v>15.033333333333299</v>
      </c>
      <c r="J187" s="121">
        <f ca="1">HLOOKUP($H$4,'Met Data'!$H$2:$M$368,G187,FALSE)*L187</f>
        <v>0.66666666666666596</v>
      </c>
      <c r="K187" s="98">
        <f ca="1">HLOOKUP($H$4,'Met Data'!$O$2:$T$368,G187,FALSE)</f>
        <v>4.1701433642644803</v>
      </c>
      <c r="L187">
        <f t="shared" ca="1" si="20"/>
        <v>1</v>
      </c>
      <c r="N187" t="b">
        <f t="shared" ca="1" si="25"/>
        <v>1</v>
      </c>
      <c r="O187" t="b">
        <f t="shared" ca="1" si="21"/>
        <v>1</v>
      </c>
      <c r="P187" s="2">
        <f ca="1"/>
        <v>45304</v>
      </c>
      <c r="Q187">
        <f ca="1"/>
        <v>32.81753295112398</v>
      </c>
      <c r="R187">
        <f ca="1"/>
        <v>0.42136219119726098</v>
      </c>
      <c r="S187">
        <f ca="1"/>
        <v>2.4350171075587645E-12</v>
      </c>
      <c r="T187">
        <f ca="1"/>
        <v>0.14261202323755806</v>
      </c>
      <c r="U187">
        <f ca="1"/>
        <v>0</v>
      </c>
      <c r="V187">
        <f ca="1"/>
        <v>149.41462352163401</v>
      </c>
      <c r="W187">
        <f ca="1"/>
        <v>103.29899897791999</v>
      </c>
      <c r="X187">
        <f ca="1"/>
        <v>0</v>
      </c>
      <c r="Y187">
        <f ca="1"/>
        <v>0.59321983572130776</v>
      </c>
      <c r="Z187">
        <f ca="1"/>
        <v>0</v>
      </c>
      <c r="AA187">
        <f ca="1"/>
        <v>0</v>
      </c>
      <c r="AB187">
        <f ca="1"/>
        <v>0.55313580916372296</v>
      </c>
      <c r="AD187" s="2">
        <f t="shared" ca="1" si="22"/>
        <v>45304</v>
      </c>
      <c r="AE187">
        <f t="shared" ca="1" si="23"/>
        <v>0</v>
      </c>
      <c r="AG187" s="65">
        <f t="shared" ca="1" si="27"/>
        <v>33.238895142321248</v>
      </c>
      <c r="AH187" s="65">
        <f t="shared" ca="1" si="28"/>
        <v>33.23889514232124</v>
      </c>
      <c r="AI187" s="3">
        <f t="shared" ca="1" si="29"/>
        <v>0</v>
      </c>
    </row>
    <row r="188" spans="7:35" x14ac:dyDescent="0.3">
      <c r="G188" s="3">
        <f t="shared" ca="1" si="24"/>
        <v>335</v>
      </c>
      <c r="H188" s="97">
        <f t="shared" ca="1" si="26"/>
        <v>45260</v>
      </c>
      <c r="I188" s="121">
        <f ca="1">HLOOKUP($H$4,'Met Data'!$A$2:$F$368,G188,FALSE)</f>
        <v>16.1166666666666</v>
      </c>
      <c r="J188" s="121">
        <f ca="1">HLOOKUP($H$4,'Met Data'!$H$2:$M$368,G188,FALSE)*L188</f>
        <v>5.2333333333333298</v>
      </c>
      <c r="K188" s="98">
        <f ca="1">HLOOKUP($H$4,'Met Data'!$O$2:$T$368,G188,FALSE)</f>
        <v>3.7664149911337801</v>
      </c>
      <c r="L188">
        <f t="shared" ca="1" si="20"/>
        <v>1</v>
      </c>
      <c r="N188" t="b">
        <f t="shared" ca="1" si="25"/>
        <v>1</v>
      </c>
      <c r="O188" t="b">
        <f t="shared" ca="1" si="21"/>
        <v>1</v>
      </c>
      <c r="P188" s="2">
        <f ca="1"/>
        <v>45305</v>
      </c>
      <c r="Q188">
        <f ca="1"/>
        <v>32.56568665359606</v>
      </c>
      <c r="R188">
        <f ca="1"/>
        <v>0.38700726495162002</v>
      </c>
      <c r="S188">
        <f ca="1"/>
        <v>2.0335740317977853E-12</v>
      </c>
      <c r="T188">
        <f ca="1"/>
        <v>0.13516096742167183</v>
      </c>
      <c r="U188">
        <f ca="1"/>
        <v>0</v>
      </c>
      <c r="V188">
        <f ca="1"/>
        <v>149.801630786586</v>
      </c>
      <c r="W188">
        <f ca="1"/>
        <v>103.566559556158</v>
      </c>
      <c r="X188">
        <f ca="1"/>
        <v>0</v>
      </c>
      <c r="Y188">
        <f ca="1"/>
        <v>0.58753915396274625</v>
      </c>
      <c r="Z188">
        <f ca="1"/>
        <v>0</v>
      </c>
      <c r="AA188">
        <f ca="1"/>
        <v>0</v>
      </c>
      <c r="AB188">
        <f ca="1"/>
        <v>0.53713309648792096</v>
      </c>
      <c r="AD188" s="2">
        <f t="shared" ca="1" si="22"/>
        <v>45305</v>
      </c>
      <c r="AE188">
        <f t="shared" ca="1" si="23"/>
        <v>0</v>
      </c>
      <c r="AG188" s="65">
        <f t="shared" ca="1" si="27"/>
        <v>32.952693918547681</v>
      </c>
      <c r="AH188" s="65">
        <f t="shared" ca="1" si="28"/>
        <v>32.952693918547681</v>
      </c>
      <c r="AI188" s="3">
        <f t="shared" ca="1" si="29"/>
        <v>0</v>
      </c>
    </row>
    <row r="189" spans="7:35" x14ac:dyDescent="0.3">
      <c r="G189" s="3">
        <f t="shared" ca="1" si="24"/>
        <v>336</v>
      </c>
      <c r="H189" s="97">
        <f t="shared" ca="1" si="26"/>
        <v>45261</v>
      </c>
      <c r="I189" s="121">
        <f ca="1">HLOOKUP($H$4,'Met Data'!$A$2:$F$368,G189,FALSE)</f>
        <v>15.887499999999999</v>
      </c>
      <c r="J189" s="121">
        <f ca="1">HLOOKUP($H$4,'Met Data'!$H$2:$M$368,G189,FALSE)*L189</f>
        <v>6.75</v>
      </c>
      <c r="K189" s="98">
        <f ca="1">HLOOKUP($H$4,'Met Data'!$O$2:$T$368,G189,FALSE)</f>
        <v>3.2490041935251899</v>
      </c>
      <c r="L189">
        <f t="shared" ca="1" si="20"/>
        <v>1</v>
      </c>
      <c r="N189" t="b">
        <f t="shared" ca="1" si="25"/>
        <v>1</v>
      </c>
      <c r="O189" t="b">
        <f t="shared" ca="1" si="21"/>
        <v>1</v>
      </c>
      <c r="P189" s="2">
        <f ca="1"/>
        <v>45306</v>
      </c>
      <c r="Q189">
        <f ca="1"/>
        <v>32.329041258321269</v>
      </c>
      <c r="R189">
        <f ca="1"/>
        <v>0.37312193519287001</v>
      </c>
      <c r="S189">
        <f ca="1"/>
        <v>1.7903371137298247E-12</v>
      </c>
      <c r="T189">
        <f ca="1"/>
        <v>0.13647653991628741</v>
      </c>
      <c r="U189">
        <f ca="1"/>
        <v>0</v>
      </c>
      <c r="V189">
        <f ca="1"/>
        <v>150.17475272177899</v>
      </c>
      <c r="W189">
        <f ca="1"/>
        <v>103.82452040024199</v>
      </c>
      <c r="X189">
        <f ca="1"/>
        <v>0</v>
      </c>
      <c r="Y189">
        <f ca="1"/>
        <v>0.58089711779327746</v>
      </c>
      <c r="Z189">
        <f ca="1"/>
        <v>0</v>
      </c>
      <c r="AA189">
        <f ca="1"/>
        <v>0</v>
      </c>
      <c r="AB189">
        <f ca="1"/>
        <v>0.52090656964882098</v>
      </c>
      <c r="AD189" s="2">
        <f t="shared" ca="1" si="22"/>
        <v>45306</v>
      </c>
      <c r="AE189">
        <f t="shared" ca="1" si="23"/>
        <v>0</v>
      </c>
      <c r="AG189" s="65">
        <f t="shared" ca="1" si="27"/>
        <v>32.702163193514139</v>
      </c>
      <c r="AH189" s="65">
        <f t="shared" ca="1" si="28"/>
        <v>32.702163193514139</v>
      </c>
      <c r="AI189" s="3">
        <f t="shared" ca="1" si="29"/>
        <v>0</v>
      </c>
    </row>
    <row r="190" spans="7:35" x14ac:dyDescent="0.3">
      <c r="G190" s="3">
        <f t="shared" ca="1" si="24"/>
        <v>337</v>
      </c>
      <c r="H190" s="97">
        <f t="shared" ca="1" si="26"/>
        <v>45262</v>
      </c>
      <c r="I190" s="121">
        <f ca="1">HLOOKUP($H$4,'Met Data'!$A$2:$F$368,G190,FALSE)</f>
        <v>16.1458333333333</v>
      </c>
      <c r="J190" s="121">
        <f ca="1">HLOOKUP($H$4,'Met Data'!$H$2:$M$368,G190,FALSE)*L190</f>
        <v>1.0833333333333299</v>
      </c>
      <c r="K190" s="98">
        <f ca="1">HLOOKUP($H$4,'Met Data'!$O$2:$T$368,G190,FALSE)</f>
        <v>3.8649058322152201</v>
      </c>
      <c r="L190">
        <f t="shared" ca="1" si="20"/>
        <v>1</v>
      </c>
      <c r="N190" t="b">
        <f t="shared" ca="1" si="25"/>
        <v>1</v>
      </c>
      <c r="O190" t="b">
        <f t="shared" ca="1" si="21"/>
        <v>1</v>
      </c>
      <c r="P190" s="2">
        <f ca="1"/>
        <v>45307</v>
      </c>
      <c r="Q190">
        <f ca="1"/>
        <v>32.102331155778643</v>
      </c>
      <c r="R190">
        <f ca="1"/>
        <v>0.363423080721475</v>
      </c>
      <c r="S190">
        <f ca="1"/>
        <v>1.5444637001159048E-12</v>
      </c>
      <c r="T190">
        <f ca="1"/>
        <v>0.13671297817730713</v>
      </c>
      <c r="U190">
        <f ca="1"/>
        <v>0</v>
      </c>
      <c r="V190">
        <f ca="1"/>
        <v>150.53817580250001</v>
      </c>
      <c r="W190">
        <f ca="1"/>
        <v>104.075775863457</v>
      </c>
      <c r="X190">
        <f ca="1"/>
        <v>0</v>
      </c>
      <c r="Y190">
        <f ca="1"/>
        <v>0.5565449378611198</v>
      </c>
      <c r="Z190">
        <f ca="1"/>
        <v>0</v>
      </c>
      <c r="AA190">
        <f ca="1"/>
        <v>0</v>
      </c>
      <c r="AB190">
        <f ca="1"/>
        <v>0.504263285402201</v>
      </c>
      <c r="AD190" s="2">
        <f t="shared" ca="1" si="22"/>
        <v>45307</v>
      </c>
      <c r="AE190">
        <f t="shared" ca="1" si="23"/>
        <v>0</v>
      </c>
      <c r="AG190" s="65">
        <f t="shared" ca="1" si="27"/>
        <v>32.465754236500118</v>
      </c>
      <c r="AH190" s="65">
        <f t="shared" ca="1" si="28"/>
        <v>32.465754236500118</v>
      </c>
      <c r="AI190" s="3">
        <f t="shared" ca="1" si="29"/>
        <v>0</v>
      </c>
    </row>
    <row r="191" spans="7:35" x14ac:dyDescent="0.3">
      <c r="G191" s="3">
        <f t="shared" ca="1" si="24"/>
        <v>338</v>
      </c>
      <c r="H191" s="97">
        <f t="shared" ca="1" si="26"/>
        <v>45263</v>
      </c>
      <c r="I191" s="121">
        <f ca="1">HLOOKUP($H$4,'Met Data'!$A$2:$F$368,G191,FALSE)</f>
        <v>16.0625</v>
      </c>
      <c r="J191" s="121">
        <f ca="1">HLOOKUP($H$4,'Met Data'!$H$2:$M$368,G191,FALSE)*L191</f>
        <v>2.2666666666666599</v>
      </c>
      <c r="K191" s="98">
        <f ca="1">HLOOKUP($H$4,'Met Data'!$O$2:$T$368,G191,FALSE)</f>
        <v>3.3633315244434101</v>
      </c>
      <c r="L191">
        <f t="shared" ca="1" si="20"/>
        <v>1</v>
      </c>
      <c r="N191" t="b">
        <f t="shared" ca="1" si="25"/>
        <v>1</v>
      </c>
      <c r="O191" t="b">
        <f t="shared" ca="1" si="21"/>
        <v>1</v>
      </c>
      <c r="P191" s="2">
        <f ca="1"/>
        <v>45308</v>
      </c>
      <c r="Q191">
        <f ca="1"/>
        <v>31.889432484453152</v>
      </c>
      <c r="R191">
        <f ca="1"/>
        <v>0.35039650839962599</v>
      </c>
      <c r="S191">
        <f ca="1"/>
        <v>1.350432479129601E-12</v>
      </c>
      <c r="T191">
        <f ca="1"/>
        <v>0.13749783707278548</v>
      </c>
      <c r="U191">
        <f ca="1"/>
        <v>0</v>
      </c>
      <c r="V191">
        <f ca="1"/>
        <v>150.8885723109</v>
      </c>
      <c r="W191">
        <f ca="1"/>
        <v>104.31802530136299</v>
      </c>
      <c r="X191">
        <f ca="1"/>
        <v>0</v>
      </c>
      <c r="Y191">
        <f ca="1"/>
        <v>0.54391611947744167</v>
      </c>
      <c r="Z191">
        <f ca="1"/>
        <v>0</v>
      </c>
      <c r="AA191">
        <f ca="1"/>
        <v>0</v>
      </c>
      <c r="AB191">
        <f ca="1"/>
        <v>0.48734216288390098</v>
      </c>
      <c r="AD191" s="2">
        <f t="shared" ca="1" si="22"/>
        <v>45308</v>
      </c>
      <c r="AE191">
        <f t="shared" ca="1" si="23"/>
        <v>0</v>
      </c>
      <c r="AG191" s="65">
        <f t="shared" ca="1" si="27"/>
        <v>32.239828992852779</v>
      </c>
      <c r="AH191" s="65">
        <f t="shared" ca="1" si="28"/>
        <v>32.239828992852779</v>
      </c>
      <c r="AI191" s="3">
        <f t="shared" ca="1" si="29"/>
        <v>0</v>
      </c>
    </row>
    <row r="192" spans="7:35" x14ac:dyDescent="0.3">
      <c r="G192" s="3">
        <f t="shared" ca="1" si="24"/>
        <v>339</v>
      </c>
      <c r="H192" s="97">
        <f t="shared" ca="1" si="26"/>
        <v>45264</v>
      </c>
      <c r="I192" s="121">
        <f ca="1">HLOOKUP($H$4,'Met Data'!$A$2:$F$368,G192,FALSE)</f>
        <v>16.591666666666601</v>
      </c>
      <c r="J192" s="121">
        <f ca="1">HLOOKUP($H$4,'Met Data'!$H$2:$M$368,G192,FALSE)*L192</f>
        <v>3.0333333333333301</v>
      </c>
      <c r="K192" s="98">
        <f ca="1">HLOOKUP($H$4,'Met Data'!$O$2:$T$368,G192,FALSE)</f>
        <v>3.8332290024095501</v>
      </c>
      <c r="L192">
        <f t="shared" ca="1" si="20"/>
        <v>1</v>
      </c>
      <c r="N192" t="b">
        <f t="shared" ca="1" si="25"/>
        <v>1</v>
      </c>
      <c r="O192" t="b">
        <f t="shared" ca="1" si="21"/>
        <v>1</v>
      </c>
      <c r="P192" s="2">
        <f ca="1"/>
        <v>45309</v>
      </c>
      <c r="Q192">
        <f ca="1"/>
        <v>31.699026805062545</v>
      </c>
      <c r="R192">
        <f ca="1"/>
        <v>0.32645257173763298</v>
      </c>
      <c r="S192">
        <f ca="1"/>
        <v>1.1900468024019787E-12</v>
      </c>
      <c r="T192">
        <f ca="1"/>
        <v>0.13604689234581047</v>
      </c>
      <c r="U192">
        <f ca="1"/>
        <v>0</v>
      </c>
      <c r="V192">
        <f ca="1"/>
        <v>151.21502488263801</v>
      </c>
      <c r="W192">
        <f ca="1"/>
        <v>104.54372090651501</v>
      </c>
      <c r="X192">
        <f ca="1"/>
        <v>0</v>
      </c>
      <c r="Y192">
        <f ca="1"/>
        <v>0.55381578294889133</v>
      </c>
      <c r="Z192">
        <f ca="1"/>
        <v>0</v>
      </c>
      <c r="AA192">
        <f ca="1"/>
        <v>0</v>
      </c>
      <c r="AB192">
        <f ca="1"/>
        <v>0.47071431409681902</v>
      </c>
      <c r="AD192" s="2">
        <f t="shared" ca="1" si="22"/>
        <v>45309</v>
      </c>
      <c r="AE192">
        <f t="shared" ca="1" si="23"/>
        <v>0</v>
      </c>
      <c r="AG192" s="65">
        <f t="shared" ca="1" si="27"/>
        <v>32.025479376800156</v>
      </c>
      <c r="AH192" s="65">
        <f t="shared" ca="1" si="28"/>
        <v>32.025479376800178</v>
      </c>
      <c r="AI192" s="3">
        <f t="shared" ca="1" si="29"/>
        <v>0</v>
      </c>
    </row>
    <row r="193" spans="7:35" x14ac:dyDescent="0.3">
      <c r="G193" s="3">
        <f t="shared" ca="1" si="24"/>
        <v>340</v>
      </c>
      <c r="H193" s="97">
        <f t="shared" ca="1" si="26"/>
        <v>45265</v>
      </c>
      <c r="I193" s="121">
        <f ca="1">HLOOKUP($H$4,'Met Data'!$A$2:$F$368,G193,FALSE)</f>
        <v>16.441666666666599</v>
      </c>
      <c r="J193" s="121">
        <f ca="1">HLOOKUP($H$4,'Met Data'!$H$2:$M$368,G193,FALSE)*L193</f>
        <v>1.0833333333333299</v>
      </c>
      <c r="K193" s="98">
        <f ca="1">HLOOKUP($H$4,'Met Data'!$O$2:$T$368,G193,FALSE)</f>
        <v>3.3753600087216298</v>
      </c>
      <c r="L193">
        <f t="shared" ca="1" si="20"/>
        <v>1</v>
      </c>
      <c r="N193" t="b">
        <f t="shared" ca="1" si="25"/>
        <v>1</v>
      </c>
      <c r="O193" t="b">
        <f t="shared" ca="1" si="21"/>
        <v>1</v>
      </c>
      <c r="P193" s="2">
        <f ca="1"/>
        <v>45310</v>
      </c>
      <c r="Q193">
        <f ca="1"/>
        <v>31.521392948035668</v>
      </c>
      <c r="R193">
        <f ca="1"/>
        <v>0.317968234193302</v>
      </c>
      <c r="S193">
        <f ca="1"/>
        <v>1.0679036161579696E-12</v>
      </c>
      <c r="T193">
        <f ca="1"/>
        <v>0.14033437716536379</v>
      </c>
      <c r="U193">
        <f ca="1"/>
        <v>0</v>
      </c>
      <c r="V193">
        <f ca="1"/>
        <v>151.53299311683099</v>
      </c>
      <c r="W193">
        <f ca="1"/>
        <v>104.76355079682099</v>
      </c>
      <c r="X193">
        <f ca="1"/>
        <v>0</v>
      </c>
      <c r="Y193">
        <f ca="1"/>
        <v>0.54901704973191268</v>
      </c>
      <c r="Z193">
        <f ca="1"/>
        <v>0</v>
      </c>
      <c r="AA193">
        <f ca="1"/>
        <v>0</v>
      </c>
      <c r="AB193">
        <f ca="1"/>
        <v>0.45362340152360398</v>
      </c>
      <c r="AD193" s="2">
        <f t="shared" ca="1" si="22"/>
        <v>45310</v>
      </c>
      <c r="AE193">
        <f t="shared" ca="1" si="23"/>
        <v>0</v>
      </c>
      <c r="AG193" s="65">
        <f t="shared" ca="1" si="27"/>
        <v>31.839361182228977</v>
      </c>
      <c r="AH193" s="65">
        <f t="shared" ca="1" si="28"/>
        <v>31.83936118222897</v>
      </c>
      <c r="AI193" s="3">
        <f t="shared" ca="1" si="29"/>
        <v>0</v>
      </c>
    </row>
    <row r="194" spans="7:35" x14ac:dyDescent="0.3">
      <c r="G194" s="3">
        <f t="shared" ca="1" si="24"/>
        <v>341</v>
      </c>
      <c r="H194" s="97">
        <f t="shared" ca="1" si="26"/>
        <v>45266</v>
      </c>
      <c r="I194" s="121">
        <f ca="1">HLOOKUP($H$4,'Met Data'!$A$2:$F$368,G194,FALSE)</f>
        <v>16.454166666666602</v>
      </c>
      <c r="J194" s="121">
        <f ca="1">HLOOKUP($H$4,'Met Data'!$H$2:$M$368,G194,FALSE)*L194</f>
        <v>2.61666666666666</v>
      </c>
      <c r="K194" s="98">
        <f ca="1">HLOOKUP($H$4,'Met Data'!$O$2:$T$368,G194,FALSE)</f>
        <v>2.8811659068389401</v>
      </c>
      <c r="L194">
        <f t="shared" ca="1" si="20"/>
        <v>1</v>
      </c>
      <c r="N194" t="b">
        <f t="shared" ca="1" si="25"/>
        <v>1</v>
      </c>
      <c r="O194" t="b">
        <f t="shared" ca="1" si="21"/>
        <v>1</v>
      </c>
      <c r="P194" s="2">
        <f ca="1"/>
        <v>45311</v>
      </c>
      <c r="Q194">
        <f ca="1"/>
        <v>31.362537085848402</v>
      </c>
      <c r="R194">
        <f ca="1"/>
        <v>0.295791834953604</v>
      </c>
      <c r="S194">
        <f ca="1"/>
        <v>9.2139170923209713E-13</v>
      </c>
      <c r="T194">
        <f ca="1"/>
        <v>0.1369359727654344</v>
      </c>
      <c r="U194">
        <f ca="1"/>
        <v>0</v>
      </c>
      <c r="V194">
        <f ca="1"/>
        <v>151.828784951785</v>
      </c>
      <c r="W194">
        <f ca="1"/>
        <v>104.968048855555</v>
      </c>
      <c r="X194">
        <f ca="1"/>
        <v>0</v>
      </c>
      <c r="Y194">
        <f ca="1"/>
        <v>0.54905038005066631</v>
      </c>
      <c r="Z194">
        <f ca="1"/>
        <v>0</v>
      </c>
      <c r="AA194">
        <f ca="1"/>
        <v>0</v>
      </c>
      <c r="AB194">
        <f ca="1"/>
        <v>0.43683733927625901</v>
      </c>
      <c r="AD194" s="2">
        <f t="shared" ca="1" si="22"/>
        <v>45311</v>
      </c>
      <c r="AE194">
        <f t="shared" ca="1" si="23"/>
        <v>0</v>
      </c>
      <c r="AG194" s="65">
        <f t="shared" ca="1" si="27"/>
        <v>31.658328920802024</v>
      </c>
      <c r="AH194" s="65">
        <f t="shared" ca="1" si="28"/>
        <v>31.658328920802006</v>
      </c>
      <c r="AI194" s="3">
        <f t="shared" ca="1" si="29"/>
        <v>0</v>
      </c>
    </row>
    <row r="195" spans="7:35" x14ac:dyDescent="0.3">
      <c r="G195" s="3">
        <f t="shared" ca="1" si="24"/>
        <v>342</v>
      </c>
      <c r="H195" s="97">
        <f t="shared" ca="1" si="26"/>
        <v>45267</v>
      </c>
      <c r="I195" s="121">
        <f ca="1">HLOOKUP($H$4,'Met Data'!$A$2:$F$368,G195,FALSE)</f>
        <v>15.879166666666601</v>
      </c>
      <c r="J195" s="121">
        <f ca="1">HLOOKUP($H$4,'Met Data'!$H$2:$M$368,G195,FALSE)*L195</f>
        <v>3.1</v>
      </c>
      <c r="K195" s="98">
        <f ca="1">HLOOKUP($H$4,'Met Data'!$O$2:$T$368,G195,FALSE)</f>
        <v>3.4185168625157498</v>
      </c>
      <c r="L195">
        <f t="shared" ca="1" si="20"/>
        <v>1</v>
      </c>
      <c r="N195" t="b">
        <f t="shared" ca="1" si="25"/>
        <v>1</v>
      </c>
      <c r="O195" t="b">
        <f t="shared" ca="1" si="21"/>
        <v>1</v>
      </c>
      <c r="P195" s="2">
        <f ca="1"/>
        <v>45312</v>
      </c>
      <c r="Q195">
        <f ca="1"/>
        <v>31.2207185246763</v>
      </c>
      <c r="R195">
        <f ca="1"/>
        <v>0.27352332810030999</v>
      </c>
      <c r="S195">
        <f ca="1"/>
        <v>7.8566823057487331E-13</v>
      </c>
      <c r="T195">
        <f ca="1"/>
        <v>0.13170476692741301</v>
      </c>
      <c r="U195">
        <f ca="1"/>
        <v>0</v>
      </c>
      <c r="V195">
        <f ca="1"/>
        <v>152.10230827988499</v>
      </c>
      <c r="W195">
        <f ca="1"/>
        <v>105.157151403377</v>
      </c>
      <c r="X195">
        <f ca="1"/>
        <v>0</v>
      </c>
      <c r="Y195">
        <f ca="1"/>
        <v>0.54507182757244454</v>
      </c>
      <c r="Z195">
        <f ca="1"/>
        <v>0</v>
      </c>
      <c r="AA195">
        <f ca="1"/>
        <v>0</v>
      </c>
      <c r="AB195">
        <f ca="1"/>
        <v>0.42046417557155102</v>
      </c>
      <c r="AD195" s="2">
        <f t="shared" ca="1" si="22"/>
        <v>45312</v>
      </c>
      <c r="AE195">
        <f t="shared" ca="1" si="23"/>
        <v>0</v>
      </c>
      <c r="AG195" s="65">
        <f t="shared" ca="1" si="27"/>
        <v>31.4942418527766</v>
      </c>
      <c r="AH195" s="65">
        <f t="shared" ca="1" si="28"/>
        <v>31.494241852776611</v>
      </c>
      <c r="AI195" s="3">
        <f t="shared" ca="1" si="29"/>
        <v>0</v>
      </c>
    </row>
    <row r="196" spans="7:35" x14ac:dyDescent="0.3">
      <c r="G196" s="3">
        <f t="shared" ca="1" si="24"/>
        <v>343</v>
      </c>
      <c r="H196" s="97">
        <f t="shared" ca="1" si="26"/>
        <v>45268</v>
      </c>
      <c r="I196" s="121">
        <f ca="1">HLOOKUP($H$4,'Met Data'!$A$2:$F$368,G196,FALSE)</f>
        <v>15.259090909090901</v>
      </c>
      <c r="J196" s="121">
        <f ca="1">HLOOKUP($H$4,'Met Data'!$H$2:$M$368,G196,FALSE)*L196</f>
        <v>6.1090909090908996</v>
      </c>
      <c r="K196" s="98">
        <f ca="1">HLOOKUP($H$4,'Met Data'!$O$2:$T$368,G196,FALSE)</f>
        <v>2.9122766026990501</v>
      </c>
      <c r="L196">
        <f t="shared" ca="1" si="20"/>
        <v>1</v>
      </c>
      <c r="N196" t="b">
        <f t="shared" ca="1" si="25"/>
        <v>1</v>
      </c>
      <c r="O196" t="b">
        <f t="shared" ca="1" si="21"/>
        <v>1</v>
      </c>
      <c r="P196" s="2">
        <f ca="1"/>
        <v>45313</v>
      </c>
      <c r="Q196">
        <f ca="1"/>
        <v>31.09474824579263</v>
      </c>
      <c r="R196">
        <f ca="1"/>
        <v>0.25472637818978699</v>
      </c>
      <c r="S196">
        <f ca="1"/>
        <v>6.8425253444108416E-13</v>
      </c>
      <c r="T196">
        <f ca="1"/>
        <v>0.12875609930544837</v>
      </c>
      <c r="U196">
        <f ca="1"/>
        <v>0</v>
      </c>
      <c r="V196">
        <f ca="1"/>
        <v>152.35703465807501</v>
      </c>
      <c r="W196">
        <f ca="1"/>
        <v>105.333258529039</v>
      </c>
      <c r="X196">
        <f ca="1"/>
        <v>0</v>
      </c>
      <c r="Y196">
        <f ca="1"/>
        <v>0.54696898249503623</v>
      </c>
      <c r="Z196">
        <f ca="1"/>
        <v>0</v>
      </c>
      <c r="AA196">
        <f ca="1"/>
        <v>0</v>
      </c>
      <c r="AB196">
        <f ca="1"/>
        <v>0.40439586219271301</v>
      </c>
      <c r="AD196" s="2">
        <f t="shared" ca="1" si="22"/>
        <v>45313</v>
      </c>
      <c r="AE196">
        <f t="shared" ca="1" si="23"/>
        <v>0</v>
      </c>
      <c r="AG196" s="65">
        <f t="shared" ca="1" si="27"/>
        <v>31.349474623982434</v>
      </c>
      <c r="AH196" s="65">
        <f t="shared" ca="1" si="28"/>
        <v>31.349474623982417</v>
      </c>
      <c r="AI196" s="3">
        <f t="shared" ca="1" si="29"/>
        <v>0</v>
      </c>
    </row>
    <row r="197" spans="7:35" x14ac:dyDescent="0.3">
      <c r="G197" s="3">
        <f t="shared" ca="1" si="24"/>
        <v>344</v>
      </c>
      <c r="H197" s="97">
        <f t="shared" ca="1" si="26"/>
        <v>45269</v>
      </c>
      <c r="I197" s="121">
        <f ca="1">HLOOKUP($H$4,'Met Data'!$A$2:$F$368,G197,FALSE)</f>
        <v>15.9125</v>
      </c>
      <c r="J197" s="121">
        <f ca="1">HLOOKUP($H$4,'Met Data'!$H$2:$M$368,G197,FALSE)*L197</f>
        <v>1.7833333333333301</v>
      </c>
      <c r="K197" s="98">
        <f ca="1">HLOOKUP($H$4,'Met Data'!$O$2:$T$368,G197,FALSE)</f>
        <v>3.7124167377990198</v>
      </c>
      <c r="L197">
        <f t="shared" ca="1" si="20"/>
        <v>1</v>
      </c>
      <c r="N197" t="b">
        <f t="shared" ca="1" si="25"/>
        <v>1</v>
      </c>
      <c r="O197" t="b">
        <f t="shared" ca="1" si="21"/>
        <v>1</v>
      </c>
      <c r="P197" s="2">
        <f ca="1"/>
        <v>45314</v>
      </c>
      <c r="Q197">
        <f ca="1"/>
        <v>30.985566106650793</v>
      </c>
      <c r="R197">
        <f ca="1"/>
        <v>0.24389058839000199</v>
      </c>
      <c r="S197">
        <f ca="1"/>
        <v>6.3978536750492364E-13</v>
      </c>
      <c r="T197">
        <f ca="1"/>
        <v>0.13470844924750711</v>
      </c>
      <c r="U197">
        <f ca="1"/>
        <v>0</v>
      </c>
      <c r="V197">
        <f ca="1"/>
        <v>152.60092524646501</v>
      </c>
      <c r="W197">
        <f ca="1"/>
        <v>105.50187424446899</v>
      </c>
      <c r="X197">
        <f ca="1"/>
        <v>0</v>
      </c>
      <c r="Y197">
        <f ca="1"/>
        <v>0.57206525276964759</v>
      </c>
      <c r="Z197">
        <f ca="1"/>
        <v>0</v>
      </c>
      <c r="AA197">
        <f ca="1"/>
        <v>0</v>
      </c>
      <c r="AB197">
        <f ca="1"/>
        <v>0.388184770813152</v>
      </c>
      <c r="AD197" s="2">
        <f t="shared" ca="1" si="22"/>
        <v>45314</v>
      </c>
      <c r="AE197">
        <f t="shared" ca="1" si="23"/>
        <v>0</v>
      </c>
      <c r="AG197" s="65">
        <f t="shared" ca="1" si="27"/>
        <v>31.229456695040778</v>
      </c>
      <c r="AH197" s="65">
        <f t="shared" ca="1" si="28"/>
        <v>31.229456695040795</v>
      </c>
      <c r="AI197" s="3">
        <f t="shared" ca="1" si="29"/>
        <v>0</v>
      </c>
    </row>
    <row r="198" spans="7:35" x14ac:dyDescent="0.3">
      <c r="G198" s="3">
        <f t="shared" ca="1" si="24"/>
        <v>345</v>
      </c>
      <c r="H198" s="97">
        <f t="shared" ca="1" si="26"/>
        <v>45270</v>
      </c>
      <c r="I198" s="121">
        <f ca="1">HLOOKUP($H$4,'Met Data'!$A$2:$F$368,G198,FALSE)</f>
        <v>16.720833333333299</v>
      </c>
      <c r="J198" s="121">
        <f ca="1">HLOOKUP($H$4,'Met Data'!$H$2:$M$368,G198,FALSE)*L198</f>
        <v>6.61666666666666</v>
      </c>
      <c r="K198" s="98">
        <f ca="1">HLOOKUP($H$4,'Met Data'!$O$2:$T$368,G198,FALSE)</f>
        <v>3.19412245919293</v>
      </c>
      <c r="L198">
        <f t="shared" ref="L198:L261" ca="1" si="30">IF(H198&lt;$B$31,$J$3,$J$4)</f>
        <v>1</v>
      </c>
      <c r="N198" t="b">
        <f t="shared" ca="1" si="25"/>
        <v>1</v>
      </c>
      <c r="O198" t="b">
        <f t="shared" ref="O198:O261" ca="1" si="31">AND(IF(P198&gt;($P$2-1),TRUE,FALSE),IF(P198&lt;($P$3+1),TRUE,FALSE))</f>
        <v>1</v>
      </c>
      <c r="P198" s="2">
        <f ca="1"/>
        <v>45315</v>
      </c>
      <c r="Q198">
        <f ca="1"/>
        <v>30.886039465727777</v>
      </c>
      <c r="R198">
        <f ca="1"/>
        <v>0.23406036332320901</v>
      </c>
      <c r="S198">
        <f ca="1"/>
        <v>5.5672761515852883E-13</v>
      </c>
      <c r="T198">
        <f ca="1"/>
        <v>0.13453372239965544</v>
      </c>
      <c r="U198">
        <f ca="1"/>
        <v>0</v>
      </c>
      <c r="V198">
        <f ca="1"/>
        <v>152.83498560978799</v>
      </c>
      <c r="W198">
        <f ca="1"/>
        <v>105.663693754915</v>
      </c>
      <c r="X198">
        <f ca="1"/>
        <v>0</v>
      </c>
      <c r="Y198">
        <f ca="1"/>
        <v>0.55909445024637927</v>
      </c>
      <c r="Z198">
        <f ca="1"/>
        <v>0</v>
      </c>
      <c r="AA198">
        <f ca="1"/>
        <v>0</v>
      </c>
      <c r="AB198">
        <f ca="1"/>
        <v>0.37177968377167198</v>
      </c>
      <c r="AD198" s="2">
        <f t="shared" ref="AD198:AD261" ca="1" si="32">IFERROR(P198,$AD$4)</f>
        <v>45315</v>
      </c>
      <c r="AE198">
        <f t="shared" ref="AE198:AE261" ca="1" si="33">IFERROR(U198,0)</f>
        <v>0</v>
      </c>
      <c r="AG198" s="65">
        <f t="shared" ca="1" si="27"/>
        <v>31.120099829051007</v>
      </c>
      <c r="AH198" s="65">
        <f t="shared" ca="1" si="28"/>
        <v>31.120099829050986</v>
      </c>
      <c r="AI198" s="3">
        <f t="shared" ca="1" si="29"/>
        <v>0</v>
      </c>
    </row>
    <row r="199" spans="7:35" x14ac:dyDescent="0.3">
      <c r="G199" s="3">
        <f t="shared" ref="G199:G262" ca="1" si="34">H199-DATE(YEAR(H199),1,0)+1</f>
        <v>346</v>
      </c>
      <c r="H199" s="97">
        <f t="shared" ca="1" si="26"/>
        <v>45271</v>
      </c>
      <c r="I199" s="121">
        <f ca="1">HLOOKUP($H$4,'Met Data'!$A$2:$F$368,G199,FALSE)</f>
        <v>17.529166666666601</v>
      </c>
      <c r="J199" s="121">
        <f ca="1">HLOOKUP($H$4,'Met Data'!$H$2:$M$368,G199,FALSE)*L199</f>
        <v>2.0333333333333301</v>
      </c>
      <c r="K199" s="98">
        <f ca="1">HLOOKUP($H$4,'Met Data'!$O$2:$T$368,G199,FALSE)</f>
        <v>3.0664285414958901</v>
      </c>
      <c r="L199">
        <f t="shared" ca="1" si="30"/>
        <v>1</v>
      </c>
      <c r="N199" t="b">
        <f t="shared" ref="N199:N262" ca="1" si="35">IF(P199&lt;$P$3,TRUE,FALSE)</f>
        <v>1</v>
      </c>
      <c r="O199" t="b">
        <f t="shared" ca="1" si="31"/>
        <v>1</v>
      </c>
      <c r="P199" s="2">
        <f ca="1"/>
        <v>45316</v>
      </c>
      <c r="Q199">
        <f ca="1"/>
        <v>30.794723222766521</v>
      </c>
      <c r="R199">
        <f ca="1"/>
        <v>0.22357518152807601</v>
      </c>
      <c r="S199">
        <f ca="1"/>
        <v>4.7600702284681697E-13</v>
      </c>
      <c r="T199">
        <f ca="1"/>
        <v>0.13225893856633195</v>
      </c>
      <c r="U199">
        <f ca="1"/>
        <v>0</v>
      </c>
      <c r="V199">
        <f ca="1"/>
        <v>153.05856079131601</v>
      </c>
      <c r="W199">
        <f ca="1"/>
        <v>105.818264250786</v>
      </c>
      <c r="X199">
        <f ca="1"/>
        <v>0</v>
      </c>
      <c r="Y199">
        <f ca="1"/>
        <v>0.53823346395394878</v>
      </c>
      <c r="Z199">
        <f ca="1"/>
        <v>0</v>
      </c>
      <c r="AA199">
        <f ca="1"/>
        <v>0</v>
      </c>
      <c r="AB199">
        <f ca="1"/>
        <v>0.35524444774181602</v>
      </c>
      <c r="AD199" s="2">
        <f t="shared" ca="1" si="32"/>
        <v>45316</v>
      </c>
      <c r="AE199">
        <f t="shared" ca="1" si="33"/>
        <v>0</v>
      </c>
      <c r="AG199" s="65">
        <f t="shared" ca="1" si="27"/>
        <v>31.018298404294583</v>
      </c>
      <c r="AH199" s="65">
        <f t="shared" ca="1" si="28"/>
        <v>31.018298404294598</v>
      </c>
      <c r="AI199" s="3">
        <f t="shared" ca="1" si="29"/>
        <v>0</v>
      </c>
    </row>
    <row r="200" spans="7:35" x14ac:dyDescent="0.3">
      <c r="G200" s="3">
        <f t="shared" ca="1" si="34"/>
        <v>347</v>
      </c>
      <c r="H200" s="97">
        <f t="shared" ref="H200:H263" ca="1" si="36">H199+1</f>
        <v>45272</v>
      </c>
      <c r="I200" s="121">
        <f ca="1">HLOOKUP($H$4,'Met Data'!$A$2:$F$368,G200,FALSE)</f>
        <v>17.004166666666599</v>
      </c>
      <c r="J200" s="121">
        <f ca="1">HLOOKUP($H$4,'Met Data'!$H$2:$M$368,G200,FALSE)*L200</f>
        <v>2.4666666666666601</v>
      </c>
      <c r="K200" s="98">
        <f ca="1">HLOOKUP($H$4,'Met Data'!$O$2:$T$368,G200,FALSE)</f>
        <v>3.6044975025694099</v>
      </c>
      <c r="L200">
        <f t="shared" ca="1" si="30"/>
        <v>1</v>
      </c>
      <c r="N200" t="b">
        <f t="shared" ca="1" si="35"/>
        <v>1</v>
      </c>
      <c r="O200" t="b">
        <f t="shared" ca="1" si="31"/>
        <v>1</v>
      </c>
      <c r="P200" s="2">
        <f ca="1"/>
        <v>45317</v>
      </c>
      <c r="Q200">
        <f ca="1"/>
        <v>30.712148643419937</v>
      </c>
      <c r="R200">
        <f ca="1"/>
        <v>0.22423667270129499</v>
      </c>
      <c r="S200">
        <f ca="1"/>
        <v>4.3931946580455285E-13</v>
      </c>
      <c r="T200">
        <f ca="1"/>
        <v>0.14166209335428956</v>
      </c>
      <c r="U200">
        <f ca="1"/>
        <v>0</v>
      </c>
      <c r="V200">
        <f ca="1"/>
        <v>153.28279746401699</v>
      </c>
      <c r="W200">
        <f ca="1"/>
        <v>105.973292073888</v>
      </c>
      <c r="X200">
        <f ca="1"/>
        <v>0</v>
      </c>
      <c r="Y200">
        <f ca="1"/>
        <v>0.52949561561014025</v>
      </c>
      <c r="Z200">
        <f ca="1"/>
        <v>0</v>
      </c>
      <c r="AA200">
        <f ca="1"/>
        <v>0</v>
      </c>
      <c r="AB200">
        <f ca="1"/>
        <v>0.33770976570688899</v>
      </c>
      <c r="AD200" s="2">
        <f t="shared" ca="1" si="32"/>
        <v>45317</v>
      </c>
      <c r="AE200">
        <f t="shared" ca="1" si="33"/>
        <v>0</v>
      </c>
      <c r="AG200" s="65">
        <f ca="1">Q199+S200+T200+U200</f>
        <v>30.93638531612125</v>
      </c>
      <c r="AH200" s="65">
        <f ca="1">Q200+R200+X200</f>
        <v>30.936385316121232</v>
      </c>
      <c r="AI200" s="3">
        <f ca="1">AH200-AG200</f>
        <v>0</v>
      </c>
    </row>
    <row r="201" spans="7:35" x14ac:dyDescent="0.3">
      <c r="G201" s="3">
        <f t="shared" ca="1" si="34"/>
        <v>348</v>
      </c>
      <c r="H201" s="97">
        <f t="shared" ca="1" si="36"/>
        <v>45273</v>
      </c>
      <c r="I201" s="121">
        <f ca="1">HLOOKUP($H$4,'Met Data'!$A$2:$F$368,G201,FALSE)</f>
        <v>16.883333333333301</v>
      </c>
      <c r="J201" s="121">
        <f ca="1">HLOOKUP($H$4,'Met Data'!$H$2:$M$368,G201,FALSE)*L201</f>
        <v>1.7333333333333301</v>
      </c>
      <c r="K201" s="98">
        <f ca="1">HLOOKUP($H$4,'Met Data'!$O$2:$T$368,G201,FALSE)</f>
        <v>4.1436131117359496</v>
      </c>
      <c r="L201">
        <f t="shared" ca="1" si="30"/>
        <v>1</v>
      </c>
      <c r="N201" t="b">
        <f t="shared" ca="1" si="35"/>
        <v>1</v>
      </c>
      <c r="O201" t="b">
        <f t="shared" ca="1" si="31"/>
        <v>1</v>
      </c>
      <c r="P201" s="2">
        <f ca="1"/>
        <v>45318</v>
      </c>
      <c r="Q201">
        <f ca="1"/>
        <v>30.645394890500597</v>
      </c>
      <c r="R201">
        <f ca="1"/>
        <v>0.20725761712804999</v>
      </c>
      <c r="S201">
        <f ca="1"/>
        <v>3.898994089123487E-13</v>
      </c>
      <c r="T201">
        <f ca="1"/>
        <v>0.14050386420831029</v>
      </c>
      <c r="U201">
        <f ca="1"/>
        <v>0</v>
      </c>
      <c r="V201">
        <f ca="1"/>
        <v>153.49005508114499</v>
      </c>
      <c r="W201">
        <f ca="1"/>
        <v>106.11658129066799</v>
      </c>
      <c r="X201">
        <f ca="1"/>
        <v>0</v>
      </c>
      <c r="Y201">
        <f ca="1"/>
        <v>0.54597085993609784</v>
      </c>
      <c r="Z201">
        <f ca="1"/>
        <v>0</v>
      </c>
      <c r="AA201">
        <f ca="1"/>
        <v>0</v>
      </c>
      <c r="AB201">
        <f ca="1"/>
        <v>0.32055325243063798</v>
      </c>
      <c r="AD201" s="2">
        <f t="shared" ca="1" si="32"/>
        <v>45318</v>
      </c>
      <c r="AE201">
        <f t="shared" ca="1" si="33"/>
        <v>0</v>
      </c>
      <c r="AG201" s="65">
        <f ca="1">Q200+S201+T201+U201</f>
        <v>30.852652507628637</v>
      </c>
      <c r="AH201" s="65">
        <f ca="1">Q201+R201+X201</f>
        <v>30.852652507628648</v>
      </c>
      <c r="AI201" s="3">
        <f ca="1">AH201-AG201</f>
        <v>0</v>
      </c>
    </row>
    <row r="202" spans="7:35" x14ac:dyDescent="0.3">
      <c r="G202" s="3">
        <f t="shared" ca="1" si="34"/>
        <v>349</v>
      </c>
      <c r="H202" s="97">
        <f t="shared" ca="1" si="36"/>
        <v>45274</v>
      </c>
      <c r="I202" s="121">
        <f ca="1">HLOOKUP($H$4,'Met Data'!$A$2:$F$368,G202,FALSE)</f>
        <v>16.191666666666599</v>
      </c>
      <c r="J202" s="121">
        <f ca="1">HLOOKUP($H$4,'Met Data'!$H$2:$M$368,G202,FALSE)*L202</f>
        <v>1.5333333333333301</v>
      </c>
      <c r="K202" s="98">
        <f ca="1">HLOOKUP($H$4,'Met Data'!$O$2:$T$368,G202,FALSE)</f>
        <v>3.8138486605430502</v>
      </c>
      <c r="L202">
        <f t="shared" ca="1" si="30"/>
        <v>1</v>
      </c>
      <c r="N202" t="b">
        <f t="shared" ca="1" si="35"/>
        <v>1</v>
      </c>
      <c r="O202" t="b">
        <f t="shared" ca="1" si="31"/>
        <v>1</v>
      </c>
      <c r="P202" s="2">
        <f ca="1"/>
        <v>45319</v>
      </c>
      <c r="Q202">
        <f ca="1"/>
        <v>30.587579471930354</v>
      </c>
      <c r="R202">
        <f ca="1"/>
        <v>0.19339394735897</v>
      </c>
      <c r="S202">
        <f ca="1"/>
        <v>3.2983512482612329E-13</v>
      </c>
      <c r="T202">
        <f ca="1"/>
        <v>0.13557852878842025</v>
      </c>
      <c r="U202">
        <f ca="1"/>
        <v>0</v>
      </c>
      <c r="V202">
        <f ca="1"/>
        <v>153.68344902850399</v>
      </c>
      <c r="W202">
        <f ca="1"/>
        <v>106.250285748102</v>
      </c>
      <c r="X202">
        <f ca="1"/>
        <v>0</v>
      </c>
      <c r="Y202">
        <f ca="1"/>
        <v>0.53261116511324558</v>
      </c>
      <c r="Z202">
        <f ca="1"/>
        <v>0</v>
      </c>
      <c r="AA202">
        <f ca="1"/>
        <v>0</v>
      </c>
      <c r="AB202">
        <f ca="1"/>
        <v>0.30362055331768401</v>
      </c>
      <c r="AD202" s="2">
        <f t="shared" ca="1" si="32"/>
        <v>45319</v>
      </c>
      <c r="AE202">
        <f t="shared" ca="1" si="33"/>
        <v>0</v>
      </c>
      <c r="AG202" s="65">
        <f ca="1">Q201+S202+T202+U202</f>
        <v>30.780973419289349</v>
      </c>
      <c r="AH202" s="65">
        <f ca="1">Q202+R202+X202</f>
        <v>30.780973419289325</v>
      </c>
      <c r="AI202" s="3">
        <f ca="1">AH202-AG202</f>
        <v>0</v>
      </c>
    </row>
    <row r="203" spans="7:35" x14ac:dyDescent="0.3">
      <c r="G203" s="3">
        <f t="shared" ca="1" si="34"/>
        <v>350</v>
      </c>
      <c r="H203" s="97">
        <f t="shared" ca="1" si="36"/>
        <v>45275</v>
      </c>
      <c r="I203" s="121">
        <f ca="1">HLOOKUP($H$4,'Met Data'!$A$2:$F$368,G203,FALSE)</f>
        <v>15.754166666666601</v>
      </c>
      <c r="J203" s="121">
        <f ca="1">HLOOKUP($H$4,'Met Data'!$H$2:$M$368,G203,FALSE)*L203</f>
        <v>4.9166666666666599</v>
      </c>
      <c r="K203" s="98">
        <f ca="1">HLOOKUP($H$4,'Met Data'!$O$2:$T$368,G203,FALSE)</f>
        <v>4.2245531095694204</v>
      </c>
      <c r="L203">
        <f t="shared" ca="1" si="30"/>
        <v>1</v>
      </c>
      <c r="N203" t="b">
        <f t="shared" ca="1" si="35"/>
        <v>1</v>
      </c>
      <c r="O203" t="b">
        <f t="shared" ca="1" si="31"/>
        <v>1</v>
      </c>
      <c r="P203" s="2">
        <f ca="1"/>
        <v>45320</v>
      </c>
      <c r="Q203">
        <f ca="1"/>
        <v>30.536384950843797</v>
      </c>
      <c r="R203">
        <f ca="1"/>
        <v>0.18936151070261101</v>
      </c>
      <c r="S203">
        <f ca="1"/>
        <v>2.8890680239535577E-13</v>
      </c>
      <c r="T203">
        <f ca="1"/>
        <v>0.13816698961576271</v>
      </c>
      <c r="U203">
        <f ca="1"/>
        <v>0</v>
      </c>
      <c r="V203">
        <f ca="1"/>
        <v>153.87281053920699</v>
      </c>
      <c r="W203">
        <f ca="1"/>
        <v>106.38120234809401</v>
      </c>
      <c r="X203">
        <f ca="1"/>
        <v>0</v>
      </c>
      <c r="Y203">
        <f ca="1"/>
        <v>0.50966548677951906</v>
      </c>
      <c r="Z203">
        <f ca="1"/>
        <v>0</v>
      </c>
      <c r="AA203">
        <f ca="1"/>
        <v>0</v>
      </c>
      <c r="AB203">
        <f ca="1"/>
        <v>0.286070435823219</v>
      </c>
      <c r="AD203" s="2">
        <f t="shared" ca="1" si="32"/>
        <v>45320</v>
      </c>
      <c r="AE203">
        <f t="shared" ca="1" si="33"/>
        <v>0</v>
      </c>
      <c r="AG203" s="65">
        <f t="shared" ref="AG203:AG266" ca="1" si="37">Q202+S203+T203+U203</f>
        <v>30.725746461546404</v>
      </c>
      <c r="AH203" s="65">
        <f t="shared" ref="AH203:AH266" ca="1" si="38">Q203+R203+X203</f>
        <v>30.725746461546407</v>
      </c>
      <c r="AI203" s="3">
        <f t="shared" ref="AI203:AI266" ca="1" si="39">AH203-AG203</f>
        <v>0</v>
      </c>
    </row>
    <row r="204" spans="7:35" x14ac:dyDescent="0.3">
      <c r="G204" s="3">
        <f t="shared" ca="1" si="34"/>
        <v>351</v>
      </c>
      <c r="H204" s="97">
        <f t="shared" ca="1" si="36"/>
        <v>45276</v>
      </c>
      <c r="I204" s="121">
        <f ca="1">HLOOKUP($H$4,'Met Data'!$A$2:$F$368,G204,FALSE)</f>
        <v>16.766666666666602</v>
      </c>
      <c r="J204" s="121">
        <f ca="1">HLOOKUP($H$4,'Met Data'!$H$2:$M$368,G204,FALSE)*L204</f>
        <v>1.5999999999999901</v>
      </c>
      <c r="K204" s="98">
        <f ca="1">HLOOKUP($H$4,'Met Data'!$O$2:$T$368,G204,FALSE)</f>
        <v>4.0567025040665996</v>
      </c>
      <c r="L204">
        <f t="shared" ca="1" si="30"/>
        <v>1</v>
      </c>
      <c r="N204" t="b">
        <f t="shared" ca="1" si="35"/>
        <v>1</v>
      </c>
      <c r="O204" t="b">
        <f t="shared" ca="1" si="31"/>
        <v>1</v>
      </c>
      <c r="P204" s="2">
        <f ca="1"/>
        <v>45321</v>
      </c>
      <c r="Q204">
        <f ca="1"/>
        <v>30.494149613967153</v>
      </c>
      <c r="R204">
        <f ca="1"/>
        <v>0.179786974461393</v>
      </c>
      <c r="S204">
        <f ca="1"/>
        <v>2.5196472250546402E-13</v>
      </c>
      <c r="T204">
        <f ca="1"/>
        <v>0.13755163758447711</v>
      </c>
      <c r="U204">
        <f ca="1"/>
        <v>0</v>
      </c>
      <c r="V204">
        <f ca="1"/>
        <v>154.05259751366799</v>
      </c>
      <c r="W204">
        <f ca="1"/>
        <v>106.505499515623</v>
      </c>
      <c r="X204">
        <f ca="1"/>
        <v>0</v>
      </c>
      <c r="Y204">
        <f ca="1"/>
        <v>0.49957918407145069</v>
      </c>
      <c r="Z204">
        <f ca="1"/>
        <v>0</v>
      </c>
      <c r="AA204">
        <f ca="1"/>
        <v>0</v>
      </c>
      <c r="AB204">
        <f ca="1"/>
        <v>0.26840841124710602</v>
      </c>
      <c r="AD204" s="2">
        <f t="shared" ca="1" si="32"/>
        <v>45321</v>
      </c>
      <c r="AE204">
        <f t="shared" ca="1" si="33"/>
        <v>0</v>
      </c>
      <c r="AG204" s="65">
        <f t="shared" ca="1" si="37"/>
        <v>30.673936588428525</v>
      </c>
      <c r="AH204" s="65">
        <f t="shared" ca="1" si="38"/>
        <v>30.673936588428546</v>
      </c>
      <c r="AI204" s="3">
        <f t="shared" ca="1" si="39"/>
        <v>0</v>
      </c>
    </row>
    <row r="205" spans="7:35" x14ac:dyDescent="0.3">
      <c r="G205" s="3">
        <f t="shared" ca="1" si="34"/>
        <v>352</v>
      </c>
      <c r="H205" s="97">
        <f t="shared" ca="1" si="36"/>
        <v>45277</v>
      </c>
      <c r="I205" s="121">
        <f ca="1">HLOOKUP($H$4,'Met Data'!$A$2:$F$368,G205,FALSE)</f>
        <v>16.766666666666602</v>
      </c>
      <c r="J205" s="121">
        <f ca="1">HLOOKUP($H$4,'Met Data'!$H$2:$M$368,G205,FALSE)*L205</f>
        <v>4.3166666666666602</v>
      </c>
      <c r="K205" s="98">
        <f ca="1">HLOOKUP($H$4,'Met Data'!$O$2:$T$368,G205,FALSE)</f>
        <v>3.8858032497445998</v>
      </c>
      <c r="L205">
        <f t="shared" ca="1" si="30"/>
        <v>1</v>
      </c>
      <c r="N205" t="b">
        <f t="shared" ca="1" si="35"/>
        <v>1</v>
      </c>
      <c r="O205" t="b">
        <f t="shared" ca="1" si="31"/>
        <v>1</v>
      </c>
      <c r="P205" s="2">
        <f ca="1"/>
        <v>45322</v>
      </c>
      <c r="Q205">
        <f ca="1"/>
        <v>30.458179174121597</v>
      </c>
      <c r="R205">
        <f ca="1"/>
        <v>0.166500591496657</v>
      </c>
      <c r="S205">
        <f ca="1"/>
        <v>2.1016583360574434E-13</v>
      </c>
      <c r="T205">
        <f ca="1"/>
        <v>0.13053015165090362</v>
      </c>
      <c r="U205">
        <f ca="1"/>
        <v>0</v>
      </c>
      <c r="V205">
        <f ca="1"/>
        <v>154.21909810516499</v>
      </c>
      <c r="W205">
        <f ca="1"/>
        <v>106.62061103567</v>
      </c>
      <c r="X205">
        <f ca="1"/>
        <v>0</v>
      </c>
      <c r="Y205">
        <f ca="1"/>
        <v>0.47939698769333655</v>
      </c>
      <c r="Z205">
        <f ca="1"/>
        <v>0</v>
      </c>
      <c r="AA205">
        <f ca="1"/>
        <v>0</v>
      </c>
      <c r="AB205">
        <f ca="1"/>
        <v>0.25107439018617</v>
      </c>
      <c r="AD205" s="2">
        <f t="shared" ca="1" si="32"/>
        <v>45322</v>
      </c>
      <c r="AE205">
        <f t="shared" ca="1" si="33"/>
        <v>0</v>
      </c>
      <c r="AG205" s="65">
        <f t="shared" ca="1" si="37"/>
        <v>30.624679765618264</v>
      </c>
      <c r="AH205" s="65">
        <f t="shared" ca="1" si="38"/>
        <v>30.624679765618254</v>
      </c>
      <c r="AI205" s="3">
        <f t="shared" ca="1" si="39"/>
        <v>0</v>
      </c>
    </row>
    <row r="206" spans="7:35" x14ac:dyDescent="0.3">
      <c r="G206" s="3">
        <f t="shared" ca="1" si="34"/>
        <v>353</v>
      </c>
      <c r="H206" s="97">
        <f t="shared" ca="1" si="36"/>
        <v>45278</v>
      </c>
      <c r="I206" s="121">
        <f ca="1">HLOOKUP($H$4,'Met Data'!$A$2:$F$368,G206,FALSE)</f>
        <v>17.191666666666599</v>
      </c>
      <c r="J206" s="121">
        <f ca="1">HLOOKUP($H$4,'Met Data'!$H$2:$M$368,G206,FALSE)*L206</f>
        <v>1.25</v>
      </c>
      <c r="K206" s="98">
        <f ca="1">HLOOKUP($H$4,'Met Data'!$O$2:$T$368,G206,FALSE)</f>
        <v>3.5439221574521702</v>
      </c>
      <c r="L206">
        <f t="shared" ca="1" si="30"/>
        <v>1</v>
      </c>
      <c r="N206" t="b">
        <f t="shared" ca="1" si="35"/>
        <v>1</v>
      </c>
      <c r="O206" t="b">
        <f t="shared" ca="1" si="31"/>
        <v>1</v>
      </c>
      <c r="P206" s="2">
        <f ca="1"/>
        <v>45323</v>
      </c>
      <c r="Q206">
        <f ca="1"/>
        <v>30.436072950028461</v>
      </c>
      <c r="R206">
        <f ca="1"/>
        <v>0.157214092208108</v>
      </c>
      <c r="S206">
        <f ca="1"/>
        <v>1.9776542715830769E-13</v>
      </c>
      <c r="T206">
        <f ca="1"/>
        <v>0.13510786811476469</v>
      </c>
      <c r="U206">
        <f ca="1"/>
        <v>0</v>
      </c>
      <c r="V206">
        <f ca="1"/>
        <v>154.37631219737301</v>
      </c>
      <c r="W206">
        <f ca="1"/>
        <v>106.729302259912</v>
      </c>
      <c r="X206">
        <f ca="1"/>
        <v>0</v>
      </c>
      <c r="Y206">
        <f ca="1"/>
        <v>0.50543189015964274</v>
      </c>
      <c r="Z206">
        <f ca="1"/>
        <v>0</v>
      </c>
      <c r="AA206">
        <f ca="1"/>
        <v>0</v>
      </c>
      <c r="AB206">
        <f ca="1"/>
        <v>0.233736510260349</v>
      </c>
      <c r="AD206" s="2">
        <f t="shared" ca="1" si="32"/>
        <v>45323</v>
      </c>
      <c r="AE206">
        <f t="shared" ca="1" si="33"/>
        <v>0</v>
      </c>
      <c r="AG206" s="65">
        <f t="shared" ca="1" si="37"/>
        <v>30.593287042236561</v>
      </c>
      <c r="AH206" s="65">
        <f t="shared" ca="1" si="38"/>
        <v>30.593287042236568</v>
      </c>
      <c r="AI206" s="3">
        <f t="shared" ca="1" si="39"/>
        <v>0</v>
      </c>
    </row>
    <row r="207" spans="7:35" x14ac:dyDescent="0.3">
      <c r="G207" s="3">
        <f t="shared" ca="1" si="34"/>
        <v>354</v>
      </c>
      <c r="H207" s="97">
        <f t="shared" ca="1" si="36"/>
        <v>45279</v>
      </c>
      <c r="I207" s="121">
        <f ca="1">HLOOKUP($H$4,'Met Data'!$A$2:$F$368,G207,FALSE)</f>
        <v>16.725000000000001</v>
      </c>
      <c r="J207" s="121">
        <f ca="1">HLOOKUP($H$4,'Met Data'!$H$2:$M$368,G207,FALSE)*L207</f>
        <v>6.43333333333333</v>
      </c>
      <c r="K207" s="98">
        <f ca="1">HLOOKUP($H$4,'Met Data'!$O$2:$T$368,G207,FALSE)</f>
        <v>2.7226403112081199</v>
      </c>
      <c r="L207">
        <f t="shared" ca="1" si="30"/>
        <v>1</v>
      </c>
      <c r="N207" t="b">
        <f t="shared" ca="1" si="35"/>
        <v>1</v>
      </c>
      <c r="O207" t="b">
        <f t="shared" ca="1" si="31"/>
        <v>1</v>
      </c>
      <c r="P207" s="2">
        <f ca="1"/>
        <v>45324</v>
      </c>
      <c r="Q207">
        <f ca="1"/>
        <v>30.427065073249622</v>
      </c>
      <c r="R207">
        <f ca="1"/>
        <v>0.14714226329630301</v>
      </c>
      <c r="S207">
        <f ca="1"/>
        <v>1.8267738626162378E-13</v>
      </c>
      <c r="T207">
        <f ca="1"/>
        <v>0.13813438651729465</v>
      </c>
      <c r="U207">
        <f ca="1"/>
        <v>0</v>
      </c>
      <c r="V207">
        <f ca="1"/>
        <v>154.523454460669</v>
      </c>
      <c r="W207">
        <f ca="1"/>
        <v>106.831030244413</v>
      </c>
      <c r="X207">
        <f ca="1"/>
        <v>0</v>
      </c>
      <c r="Y207">
        <f ca="1"/>
        <v>0.53128395947152096</v>
      </c>
      <c r="Z207">
        <f ca="1"/>
        <v>0</v>
      </c>
      <c r="AA207">
        <f ca="1"/>
        <v>0</v>
      </c>
      <c r="AB207">
        <f ca="1"/>
        <v>0.216549126065022</v>
      </c>
      <c r="AD207" s="2">
        <f t="shared" ca="1" si="32"/>
        <v>45324</v>
      </c>
      <c r="AE207">
        <f t="shared" ca="1" si="33"/>
        <v>0</v>
      </c>
      <c r="AG207" s="65">
        <f t="shared" ca="1" si="37"/>
        <v>30.574207336545935</v>
      </c>
      <c r="AH207" s="65">
        <f t="shared" ca="1" si="38"/>
        <v>30.574207336545925</v>
      </c>
      <c r="AI207" s="3">
        <f t="shared" ca="1" si="39"/>
        <v>0</v>
      </c>
    </row>
    <row r="208" spans="7:35" x14ac:dyDescent="0.3">
      <c r="G208" s="3">
        <f t="shared" ca="1" si="34"/>
        <v>355</v>
      </c>
      <c r="H208" s="97">
        <f t="shared" ca="1" si="36"/>
        <v>45280</v>
      </c>
      <c r="I208" s="121">
        <f ca="1">HLOOKUP($H$4,'Met Data'!$A$2:$F$368,G208,FALSE)</f>
        <v>15.9625</v>
      </c>
      <c r="J208" s="121">
        <f ca="1">HLOOKUP($H$4,'Met Data'!$H$2:$M$368,G208,FALSE)*L208</f>
        <v>4.3333333333333304</v>
      </c>
      <c r="K208" s="98">
        <f ca="1">HLOOKUP($H$4,'Met Data'!$O$2:$T$368,G208,FALSE)</f>
        <v>3.7253118866284498</v>
      </c>
      <c r="L208">
        <f t="shared" ca="1" si="30"/>
        <v>1</v>
      </c>
      <c r="N208" t="b">
        <f t="shared" ca="1" si="35"/>
        <v>1</v>
      </c>
      <c r="O208" t="b">
        <f t="shared" ca="1" si="31"/>
        <v>1</v>
      </c>
      <c r="P208" s="2">
        <f ca="1"/>
        <v>45325</v>
      </c>
      <c r="Q208">
        <f ca="1"/>
        <v>30.423506418275025</v>
      </c>
      <c r="R208">
        <f ca="1"/>
        <v>0.14100123448190499</v>
      </c>
      <c r="S208">
        <f ca="1"/>
        <v>1.5749315683471456E-13</v>
      </c>
      <c r="T208">
        <f ca="1"/>
        <v>0.13744257950715519</v>
      </c>
      <c r="U208">
        <f ca="1"/>
        <v>0</v>
      </c>
      <c r="V208">
        <f ca="1"/>
        <v>154.66445569515099</v>
      </c>
      <c r="W208">
        <f ca="1"/>
        <v>106.928512579364</v>
      </c>
      <c r="X208">
        <f ca="1"/>
        <v>0</v>
      </c>
      <c r="Y208">
        <f ca="1"/>
        <v>0.51169451291160106</v>
      </c>
      <c r="Z208">
        <f ca="1"/>
        <v>0</v>
      </c>
      <c r="AA208">
        <f ca="1"/>
        <v>0</v>
      </c>
      <c r="AB208">
        <f ca="1"/>
        <v>0.199099339057553</v>
      </c>
      <c r="AD208" s="2">
        <f t="shared" ca="1" si="32"/>
        <v>45325</v>
      </c>
      <c r="AE208">
        <f t="shared" ca="1" si="33"/>
        <v>0</v>
      </c>
      <c r="AG208" s="65">
        <f t="shared" ca="1" si="37"/>
        <v>30.564507652756934</v>
      </c>
      <c r="AH208" s="65">
        <f t="shared" ca="1" si="38"/>
        <v>30.56450765275693</v>
      </c>
      <c r="AI208" s="3">
        <f t="shared" ca="1" si="39"/>
        <v>0</v>
      </c>
    </row>
    <row r="209" spans="7:35" x14ac:dyDescent="0.3">
      <c r="G209" s="3">
        <f t="shared" ca="1" si="34"/>
        <v>356</v>
      </c>
      <c r="H209" s="97">
        <f t="shared" ca="1" si="36"/>
        <v>45281</v>
      </c>
      <c r="I209" s="121">
        <f ca="1">HLOOKUP($H$4,'Met Data'!$A$2:$F$368,G209,FALSE)</f>
        <v>16.074999999999999</v>
      </c>
      <c r="J209" s="121">
        <f ca="1">HLOOKUP($H$4,'Met Data'!$H$2:$M$368,G209,FALSE)*L209</f>
        <v>0.89999999999999902</v>
      </c>
      <c r="K209" s="98">
        <f ca="1">HLOOKUP($H$4,'Met Data'!$O$2:$T$368,G209,FALSE)</f>
        <v>3.69045556475041</v>
      </c>
      <c r="L209">
        <f t="shared" ca="1" si="30"/>
        <v>1</v>
      </c>
      <c r="N209" t="b">
        <f t="shared" ca="1" si="35"/>
        <v>1</v>
      </c>
      <c r="O209" t="b">
        <f t="shared" ca="1" si="31"/>
        <v>1</v>
      </c>
      <c r="P209" s="2">
        <f ca="1"/>
        <v>45326</v>
      </c>
      <c r="Q209">
        <f ca="1"/>
        <v>30.430698228299548</v>
      </c>
      <c r="R209">
        <f ca="1"/>
        <v>0.13026774937358701</v>
      </c>
      <c r="S209">
        <f ca="1"/>
        <v>1.4228827102297823E-13</v>
      </c>
      <c r="T209">
        <f ca="1"/>
        <v>0.13745955939796098</v>
      </c>
      <c r="U209">
        <f ca="1"/>
        <v>0</v>
      </c>
      <c r="V209">
        <f ca="1"/>
        <v>154.794723444525</v>
      </c>
      <c r="W209">
        <f ca="1"/>
        <v>107.018574233252</v>
      </c>
      <c r="X209">
        <f ca="1"/>
        <v>0</v>
      </c>
      <c r="Y209">
        <f ca="1"/>
        <v>0.53411504838555446</v>
      </c>
      <c r="Z209">
        <f ca="1"/>
        <v>0</v>
      </c>
      <c r="AA209">
        <f ca="1"/>
        <v>0</v>
      </c>
      <c r="AB209">
        <f ca="1"/>
        <v>0.18202000307899099</v>
      </c>
      <c r="AD209" s="2">
        <f t="shared" ca="1" si="32"/>
        <v>45326</v>
      </c>
      <c r="AE209">
        <f t="shared" ca="1" si="33"/>
        <v>0</v>
      </c>
      <c r="AG209" s="65">
        <f t="shared" ca="1" si="37"/>
        <v>30.560965977673128</v>
      </c>
      <c r="AH209" s="65">
        <f t="shared" ca="1" si="38"/>
        <v>30.560965977673135</v>
      </c>
      <c r="AI209" s="3">
        <f t="shared" ca="1" si="39"/>
        <v>0</v>
      </c>
    </row>
    <row r="210" spans="7:35" x14ac:dyDescent="0.3">
      <c r="G210" s="3">
        <f t="shared" ca="1" si="34"/>
        <v>357</v>
      </c>
      <c r="H210" s="97">
        <f t="shared" ca="1" si="36"/>
        <v>45282</v>
      </c>
      <c r="I210" s="121">
        <f ca="1">HLOOKUP($H$4,'Met Data'!$A$2:$F$368,G210,FALSE)</f>
        <v>16.1458333333333</v>
      </c>
      <c r="J210" s="121">
        <f ca="1">HLOOKUP($H$4,'Met Data'!$H$2:$M$368,G210,FALSE)*L210</f>
        <v>0.78333333333333299</v>
      </c>
      <c r="K210" s="98">
        <f ca="1">HLOOKUP($H$4,'Met Data'!$O$2:$T$368,G210,FALSE)</f>
        <v>3.66376320931905</v>
      </c>
      <c r="L210">
        <f t="shared" ca="1" si="30"/>
        <v>1</v>
      </c>
      <c r="N210" t="b">
        <f t="shared" ca="1" si="35"/>
        <v>1</v>
      </c>
      <c r="O210" t="b">
        <f t="shared" ca="1" si="31"/>
        <v>1</v>
      </c>
      <c r="P210" s="2">
        <f ca="1"/>
        <v>45327</v>
      </c>
      <c r="Q210">
        <f ca="1"/>
        <v>30.443002581571847</v>
      </c>
      <c r="R210">
        <f ca="1"/>
        <v>0.119999425504574</v>
      </c>
      <c r="S210">
        <f ca="1"/>
        <v>1.2172045020780032E-13</v>
      </c>
      <c r="T210">
        <f ca="1"/>
        <v>0.13230377877673163</v>
      </c>
      <c r="U210">
        <f ca="1"/>
        <v>0</v>
      </c>
      <c r="V210">
        <f ca="1"/>
        <v>154.91472287002901</v>
      </c>
      <c r="W210">
        <f ca="1"/>
        <v>107.101536799033</v>
      </c>
      <c r="X210">
        <f ca="1"/>
        <v>0</v>
      </c>
      <c r="Y210">
        <f ca="1"/>
        <v>0.531606483457295</v>
      </c>
      <c r="Z210">
        <f ca="1"/>
        <v>0</v>
      </c>
      <c r="AA210">
        <f ca="1"/>
        <v>0</v>
      </c>
      <c r="AB210">
        <f ca="1"/>
        <v>0.16537285996748599</v>
      </c>
      <c r="AD210" s="2">
        <f t="shared" ca="1" si="32"/>
        <v>45327</v>
      </c>
      <c r="AE210">
        <f t="shared" ca="1" si="33"/>
        <v>0</v>
      </c>
      <c r="AG210" s="65">
        <f t="shared" ca="1" si="37"/>
        <v>30.563002007076399</v>
      </c>
      <c r="AH210" s="65">
        <f t="shared" ca="1" si="38"/>
        <v>30.56300200707642</v>
      </c>
      <c r="AI210" s="3">
        <f t="shared" ca="1" si="39"/>
        <v>0</v>
      </c>
    </row>
    <row r="211" spans="7:35" x14ac:dyDescent="0.3">
      <c r="G211" s="3">
        <f t="shared" ca="1" si="34"/>
        <v>358</v>
      </c>
      <c r="H211" s="97">
        <f t="shared" ca="1" si="36"/>
        <v>45283</v>
      </c>
      <c r="I211" s="121">
        <f ca="1">HLOOKUP($H$4,'Met Data'!$A$2:$F$368,G211,FALSE)</f>
        <v>16.820833333333301</v>
      </c>
      <c r="J211" s="121">
        <f ca="1">HLOOKUP($H$4,'Met Data'!$H$2:$M$368,G211,FALSE)*L211</f>
        <v>1.1666666666666601</v>
      </c>
      <c r="K211" s="98">
        <f ca="1">HLOOKUP($H$4,'Met Data'!$O$2:$T$368,G211,FALSE)</f>
        <v>4.2904592235930501</v>
      </c>
      <c r="L211">
        <f t="shared" ca="1" si="30"/>
        <v>1</v>
      </c>
      <c r="N211" t="b">
        <f t="shared" ca="1" si="35"/>
        <v>1</v>
      </c>
      <c r="O211" t="b">
        <f t="shared" ca="1" si="31"/>
        <v>1</v>
      </c>
      <c r="P211" s="2">
        <f ca="1"/>
        <v>45328</v>
      </c>
      <c r="Q211">
        <f ca="1"/>
        <v>30.456802088348212</v>
      </c>
      <c r="R211">
        <f ca="1"/>
        <v>0.109847818163558</v>
      </c>
      <c r="S211">
        <f ca="1"/>
        <v>1.0085428824109802E-13</v>
      </c>
      <c r="T211">
        <f ca="1"/>
        <v>0.123647324939819</v>
      </c>
      <c r="U211">
        <f ca="1"/>
        <v>0</v>
      </c>
      <c r="V211">
        <f ca="1"/>
        <v>155.02457068819299</v>
      </c>
      <c r="W211">
        <f ca="1"/>
        <v>107.177480969615</v>
      </c>
      <c r="X211">
        <f ca="1"/>
        <v>0</v>
      </c>
      <c r="Y211">
        <f ca="1"/>
        <v>0.51445871733972492</v>
      </c>
      <c r="Z211">
        <f ca="1"/>
        <v>0</v>
      </c>
      <c r="AA211">
        <f ca="1"/>
        <v>0</v>
      </c>
      <c r="AB211">
        <f ca="1"/>
        <v>0.149273675669574</v>
      </c>
      <c r="AD211" s="2">
        <f t="shared" ca="1" si="32"/>
        <v>45328</v>
      </c>
      <c r="AE211">
        <f t="shared" ca="1" si="33"/>
        <v>0</v>
      </c>
      <c r="AG211" s="65">
        <f t="shared" ca="1" si="37"/>
        <v>30.566649906511763</v>
      </c>
      <c r="AH211" s="65">
        <f t="shared" ca="1" si="38"/>
        <v>30.56664990651177</v>
      </c>
      <c r="AI211" s="3">
        <f t="shared" ca="1" si="39"/>
        <v>0</v>
      </c>
    </row>
    <row r="212" spans="7:35" x14ac:dyDescent="0.3">
      <c r="G212" s="3">
        <f t="shared" ca="1" si="34"/>
        <v>359</v>
      </c>
      <c r="H212" s="97">
        <f t="shared" ca="1" si="36"/>
        <v>45284</v>
      </c>
      <c r="I212" s="121">
        <f ca="1">HLOOKUP($H$4,'Met Data'!$A$2:$F$368,G212,FALSE)</f>
        <v>16.883333333333301</v>
      </c>
      <c r="J212" s="121">
        <f ca="1">HLOOKUP($H$4,'Met Data'!$H$2:$M$368,G212,FALSE)*L212</f>
        <v>4.1499999999999897</v>
      </c>
      <c r="K212" s="98">
        <f ca="1">HLOOKUP($H$4,'Met Data'!$O$2:$T$368,G212,FALSE)</f>
        <v>3.61274265774352</v>
      </c>
      <c r="L212">
        <f t="shared" ca="1" si="30"/>
        <v>1</v>
      </c>
      <c r="N212" t="b">
        <f t="shared" ca="1" si="35"/>
        <v>1</v>
      </c>
      <c r="O212" t="b">
        <f t="shared" ca="1" si="31"/>
        <v>1</v>
      </c>
      <c r="P212" s="2">
        <f ca="1"/>
        <v>45329</v>
      </c>
      <c r="Q212">
        <f ca="1"/>
        <v>30.476184814744357</v>
      </c>
      <c r="R212">
        <f ca="1"/>
        <v>0.102074220460992</v>
      </c>
      <c r="S212">
        <f ca="1"/>
        <v>8.9364779629817625E-14</v>
      </c>
      <c r="T212">
        <f ca="1"/>
        <v>0.12145694685705699</v>
      </c>
      <c r="U212">
        <f ca="1"/>
        <v>0</v>
      </c>
      <c r="V212">
        <f ca="1"/>
        <v>155.12664490865399</v>
      </c>
      <c r="W212">
        <f ca="1"/>
        <v>107.248050801045</v>
      </c>
      <c r="X212">
        <f ca="1"/>
        <v>0</v>
      </c>
      <c r="Y212">
        <f ca="1"/>
        <v>0.52088977762822963</v>
      </c>
      <c r="Z212">
        <f ca="1"/>
        <v>0</v>
      </c>
      <c r="AA212">
        <f ca="1"/>
        <v>0</v>
      </c>
      <c r="AB212">
        <f ca="1"/>
        <v>0.13349091829218601</v>
      </c>
      <c r="AD212" s="2">
        <f t="shared" ca="1" si="32"/>
        <v>45329</v>
      </c>
      <c r="AE212">
        <f t="shared" ca="1" si="33"/>
        <v>0</v>
      </c>
      <c r="AG212" s="65">
        <f t="shared" ca="1" si="37"/>
        <v>30.578259035205356</v>
      </c>
      <c r="AH212" s="65">
        <f t="shared" ca="1" si="38"/>
        <v>30.578259035205349</v>
      </c>
      <c r="AI212" s="3">
        <f t="shared" ca="1" si="39"/>
        <v>0</v>
      </c>
    </row>
    <row r="213" spans="7:35" x14ac:dyDescent="0.3">
      <c r="G213" s="3">
        <f t="shared" ca="1" si="34"/>
        <v>360</v>
      </c>
      <c r="H213" s="97">
        <f t="shared" ca="1" si="36"/>
        <v>45285</v>
      </c>
      <c r="I213" s="121">
        <f ca="1">HLOOKUP($H$4,'Met Data'!$A$2:$F$368,G213,FALSE)</f>
        <v>17.399999999999999</v>
      </c>
      <c r="J213" s="121">
        <f ca="1">HLOOKUP($H$4,'Met Data'!$H$2:$M$368,G213,FALSE)*L213</f>
        <v>5.0166666666666604</v>
      </c>
      <c r="K213" s="98">
        <f ca="1">HLOOKUP($H$4,'Met Data'!$O$2:$T$368,G213,FALSE)</f>
        <v>4.09028075025509</v>
      </c>
      <c r="L213">
        <f t="shared" ca="1" si="30"/>
        <v>1</v>
      </c>
      <c r="N213" t="b">
        <f t="shared" ca="1" si="35"/>
        <v>1</v>
      </c>
      <c r="O213" t="b">
        <f t="shared" ca="1" si="31"/>
        <v>1</v>
      </c>
      <c r="P213" s="2">
        <f ca="1"/>
        <v>45330</v>
      </c>
      <c r="Q213">
        <f ca="1"/>
        <v>30.503309890046154</v>
      </c>
      <c r="R213">
        <f ca="1"/>
        <v>9.9238335934074898E-2</v>
      </c>
      <c r="S213">
        <f ca="1"/>
        <v>8.2577434301665151E-14</v>
      </c>
      <c r="T213">
        <f ca="1"/>
        <v>0.12636341123578732</v>
      </c>
      <c r="U213">
        <f ca="1"/>
        <v>0</v>
      </c>
      <c r="V213">
        <f ca="1"/>
        <v>155.225883244588</v>
      </c>
      <c r="W213">
        <f ca="1"/>
        <v>107.31666002095</v>
      </c>
      <c r="X213">
        <f ca="1"/>
        <v>0</v>
      </c>
      <c r="Y213">
        <f ca="1"/>
        <v>0.52510333476160187</v>
      </c>
      <c r="Z213">
        <f ca="1"/>
        <v>0</v>
      </c>
      <c r="AA213">
        <f ca="1"/>
        <v>0</v>
      </c>
      <c r="AB213">
        <f ca="1"/>
        <v>0.117299121237046</v>
      </c>
      <c r="AD213" s="2">
        <f t="shared" ca="1" si="32"/>
        <v>45330</v>
      </c>
      <c r="AE213">
        <f t="shared" ca="1" si="33"/>
        <v>0</v>
      </c>
      <c r="AG213" s="65">
        <f t="shared" ca="1" si="37"/>
        <v>30.602548225980225</v>
      </c>
      <c r="AH213" s="65">
        <f t="shared" ca="1" si="38"/>
        <v>30.602548225980229</v>
      </c>
      <c r="AI213" s="3">
        <f t="shared" ca="1" si="39"/>
        <v>0</v>
      </c>
    </row>
    <row r="214" spans="7:35" x14ac:dyDescent="0.3">
      <c r="G214" s="3">
        <f t="shared" ca="1" si="34"/>
        <v>361</v>
      </c>
      <c r="H214" s="97">
        <f t="shared" ca="1" si="36"/>
        <v>45286</v>
      </c>
      <c r="I214" s="121">
        <f ca="1">HLOOKUP($H$4,'Met Data'!$A$2:$F$368,G214,FALSE)</f>
        <v>17.920833333333299</v>
      </c>
      <c r="J214" s="121">
        <f ca="1">HLOOKUP($H$4,'Met Data'!$H$2:$M$368,G214,FALSE)*L214</f>
        <v>0.56666666666666599</v>
      </c>
      <c r="K214" s="98">
        <f ca="1">HLOOKUP($H$4,'Met Data'!$O$2:$T$368,G214,FALSE)</f>
        <v>4.1244552423616296</v>
      </c>
      <c r="L214">
        <f t="shared" ca="1" si="30"/>
        <v>1</v>
      </c>
      <c r="N214" t="b">
        <f t="shared" ca="1" si="35"/>
        <v>1</v>
      </c>
      <c r="O214" t="b">
        <f t="shared" ca="1" si="31"/>
        <v>1</v>
      </c>
      <c r="P214" s="2">
        <f ca="1"/>
        <v>45331</v>
      </c>
      <c r="Q214">
        <f ca="1"/>
        <v>30.533654413901814</v>
      </c>
      <c r="R214">
        <f ca="1"/>
        <v>9.4386060895260498E-2</v>
      </c>
      <c r="S214">
        <f ca="1"/>
        <v>7.1784798601676423E-14</v>
      </c>
      <c r="T214">
        <f ca="1"/>
        <v>0.12473058475086285</v>
      </c>
      <c r="U214">
        <f ca="1"/>
        <v>0</v>
      </c>
      <c r="V214">
        <f ca="1"/>
        <v>155.32026930548301</v>
      </c>
      <c r="W214">
        <f ca="1"/>
        <v>107.38191458156901</v>
      </c>
      <c r="X214">
        <f ca="1"/>
        <v>0</v>
      </c>
      <c r="Y214">
        <f ca="1"/>
        <v>0.51067560715989768</v>
      </c>
      <c r="Z214">
        <f ca="1"/>
        <v>0</v>
      </c>
      <c r="AA214">
        <f ca="1"/>
        <v>0</v>
      </c>
      <c r="AB214">
        <f ca="1"/>
        <v>0.101034005749102</v>
      </c>
      <c r="AD214" s="2">
        <f t="shared" ca="1" si="32"/>
        <v>45331</v>
      </c>
      <c r="AE214">
        <f t="shared" ca="1" si="33"/>
        <v>0</v>
      </c>
      <c r="AG214" s="65">
        <f t="shared" ca="1" si="37"/>
        <v>30.628040474797089</v>
      </c>
      <c r="AH214" s="65">
        <f t="shared" ca="1" si="38"/>
        <v>30.628040474797075</v>
      </c>
      <c r="AI214" s="3">
        <f t="shared" ca="1" si="39"/>
        <v>0</v>
      </c>
    </row>
    <row r="215" spans="7:35" x14ac:dyDescent="0.3">
      <c r="G215" s="3">
        <f t="shared" ca="1" si="34"/>
        <v>362</v>
      </c>
      <c r="H215" s="97">
        <f t="shared" ca="1" si="36"/>
        <v>45287</v>
      </c>
      <c r="I215" s="121">
        <f ca="1">HLOOKUP($H$4,'Met Data'!$A$2:$F$368,G215,FALSE)</f>
        <v>17.537500000000001</v>
      </c>
      <c r="J215" s="121">
        <f ca="1">HLOOKUP($H$4,'Met Data'!$H$2:$M$368,G215,FALSE)*L215</f>
        <v>1.2833333333333301</v>
      </c>
      <c r="K215" s="98">
        <f ca="1">HLOOKUP($H$4,'Met Data'!$O$2:$T$368,G215,FALSE)</f>
        <v>4.3692883234689903</v>
      </c>
      <c r="L215">
        <f t="shared" ca="1" si="30"/>
        <v>1</v>
      </c>
      <c r="N215" t="b">
        <f t="shared" ca="1" si="35"/>
        <v>1</v>
      </c>
      <c r="O215" t="b">
        <f t="shared" ca="1" si="31"/>
        <v>1</v>
      </c>
      <c r="P215" s="2">
        <f ca="1"/>
        <v>45332</v>
      </c>
      <c r="Q215">
        <f ca="1"/>
        <v>30.570721518844493</v>
      </c>
      <c r="R215">
        <f ca="1"/>
        <v>9.0070820357112794E-2</v>
      </c>
      <c r="S215">
        <f ca="1"/>
        <v>6.5358778202723272E-14</v>
      </c>
      <c r="T215">
        <f ca="1"/>
        <v>0.12713792529972773</v>
      </c>
      <c r="U215">
        <f ca="1"/>
        <v>0</v>
      </c>
      <c r="V215">
        <f ca="1"/>
        <v>155.41034012584001</v>
      </c>
      <c r="W215">
        <f ca="1"/>
        <v>107.44418576601301</v>
      </c>
      <c r="X215">
        <f ca="1"/>
        <v>0</v>
      </c>
      <c r="Y215">
        <f ca="1"/>
        <v>0.51674674570516765</v>
      </c>
      <c r="Z215">
        <f ca="1"/>
        <v>0</v>
      </c>
      <c r="AA215">
        <f ca="1"/>
        <v>0</v>
      </c>
      <c r="AB215">
        <f ca="1"/>
        <v>8.4633829990202095E-2</v>
      </c>
      <c r="AD215" s="2">
        <f t="shared" ca="1" si="32"/>
        <v>45332</v>
      </c>
      <c r="AE215">
        <f t="shared" ca="1" si="33"/>
        <v>0</v>
      </c>
      <c r="AG215" s="65">
        <f t="shared" ca="1" si="37"/>
        <v>30.660792339201606</v>
      </c>
      <c r="AH215" s="65">
        <f t="shared" ca="1" si="38"/>
        <v>30.660792339201606</v>
      </c>
      <c r="AI215" s="3">
        <f t="shared" ca="1" si="39"/>
        <v>0</v>
      </c>
    </row>
    <row r="216" spans="7:35" x14ac:dyDescent="0.3">
      <c r="G216" s="3">
        <f t="shared" ca="1" si="34"/>
        <v>363</v>
      </c>
      <c r="H216" s="97">
        <f t="shared" ca="1" si="36"/>
        <v>45288</v>
      </c>
      <c r="I216" s="121">
        <f ca="1">HLOOKUP($H$4,'Met Data'!$A$2:$F$368,G216,FALSE)</f>
        <v>17.012499999999999</v>
      </c>
      <c r="J216" s="121">
        <f ca="1">HLOOKUP($H$4,'Met Data'!$H$2:$M$368,G216,FALSE)*L216</f>
        <v>1.5833333333333299</v>
      </c>
      <c r="K216" s="98">
        <f ca="1">HLOOKUP($H$4,'Met Data'!$O$2:$T$368,G216,FALSE)</f>
        <v>3.8686759650684999</v>
      </c>
      <c r="L216">
        <f t="shared" ca="1" si="30"/>
        <v>1</v>
      </c>
      <c r="N216" t="b">
        <f t="shared" ca="1" si="35"/>
        <v>1</v>
      </c>
      <c r="O216" t="b">
        <f t="shared" ca="1" si="31"/>
        <v>1</v>
      </c>
      <c r="P216" s="2">
        <f ca="1"/>
        <v>45333</v>
      </c>
      <c r="Q216">
        <f ca="1"/>
        <v>30.616974666509378</v>
      </c>
      <c r="R216">
        <f ca="1"/>
        <v>8.4966384773423401E-2</v>
      </c>
      <c r="S216">
        <f ca="1"/>
        <v>6.1031976112936486E-14</v>
      </c>
      <c r="T216">
        <f ca="1"/>
        <v>0.13121953243825188</v>
      </c>
      <c r="U216">
        <f ca="1"/>
        <v>0</v>
      </c>
      <c r="V216">
        <f ca="1"/>
        <v>155.495306510614</v>
      </c>
      <c r="W216">
        <f ca="1"/>
        <v>107.502927957955</v>
      </c>
      <c r="X216">
        <f ca="1"/>
        <v>0</v>
      </c>
      <c r="Y216">
        <f ca="1"/>
        <v>0.54372383273733926</v>
      </c>
      <c r="Z216">
        <f ca="1"/>
        <v>0</v>
      </c>
      <c r="AA216">
        <f ca="1"/>
        <v>0</v>
      </c>
      <c r="AB216">
        <f ca="1"/>
        <v>6.8283819474800098E-2</v>
      </c>
      <c r="AD216" s="2">
        <f t="shared" ca="1" si="32"/>
        <v>45333</v>
      </c>
      <c r="AE216">
        <f t="shared" ca="1" si="33"/>
        <v>0</v>
      </c>
      <c r="AG216" s="65">
        <f t="shared" ca="1" si="37"/>
        <v>30.701941051282805</v>
      </c>
      <c r="AH216" s="65">
        <f t="shared" ca="1" si="38"/>
        <v>30.701941051282802</v>
      </c>
      <c r="AI216" s="3">
        <f t="shared" ca="1" si="39"/>
        <v>0</v>
      </c>
    </row>
    <row r="217" spans="7:35" x14ac:dyDescent="0.3">
      <c r="G217" s="3">
        <f t="shared" ca="1" si="34"/>
        <v>364</v>
      </c>
      <c r="H217" s="97">
        <f t="shared" ca="1" si="36"/>
        <v>45289</v>
      </c>
      <c r="I217" s="121">
        <f ca="1">HLOOKUP($H$4,'Met Data'!$A$2:$F$368,G217,FALSE)</f>
        <v>17.1041666666666</v>
      </c>
      <c r="J217" s="121">
        <f ca="1">HLOOKUP($H$4,'Met Data'!$H$2:$M$368,G217,FALSE)*L217</f>
        <v>4.2833333333333297</v>
      </c>
      <c r="K217" s="98">
        <f ca="1">HLOOKUP($H$4,'Met Data'!$O$2:$T$368,G217,FALSE)</f>
        <v>3.65125453231978</v>
      </c>
      <c r="L217">
        <f t="shared" ca="1" si="30"/>
        <v>1</v>
      </c>
      <c r="N217" t="b">
        <f t="shared" ca="1" si="35"/>
        <v>1</v>
      </c>
      <c r="O217" t="b">
        <f t="shared" ca="1" si="31"/>
        <v>1</v>
      </c>
      <c r="P217" s="2">
        <f ca="1"/>
        <v>45334</v>
      </c>
      <c r="Q217">
        <f ca="1"/>
        <v>30.670853440240251</v>
      </c>
      <c r="R217">
        <f ca="1"/>
        <v>8.3017390550935502E-2</v>
      </c>
      <c r="S217">
        <f ca="1"/>
        <v>5.5636592890821037E-14</v>
      </c>
      <c r="T217">
        <f ca="1"/>
        <v>0.13689616428173804</v>
      </c>
      <c r="U217">
        <f ca="1"/>
        <v>0</v>
      </c>
      <c r="V217">
        <f ca="1"/>
        <v>155.57832390116499</v>
      </c>
      <c r="W217">
        <f ca="1"/>
        <v>107.560322697102</v>
      </c>
      <c r="X217">
        <f ca="1"/>
        <v>0</v>
      </c>
      <c r="Y217">
        <f ca="1"/>
        <v>0.54201827161557792</v>
      </c>
      <c r="Z217">
        <f ca="1"/>
        <v>0</v>
      </c>
      <c r="AA217">
        <f ca="1"/>
        <v>0</v>
      </c>
      <c r="AB217">
        <f ca="1"/>
        <v>5.1385850145806697E-2</v>
      </c>
      <c r="AD217" s="2">
        <f t="shared" ca="1" si="32"/>
        <v>45334</v>
      </c>
      <c r="AE217">
        <f t="shared" ca="1" si="33"/>
        <v>0</v>
      </c>
      <c r="AG217" s="65">
        <f t="shared" ca="1" si="37"/>
        <v>30.753870830791172</v>
      </c>
      <c r="AH217" s="65">
        <f t="shared" ca="1" si="38"/>
        <v>30.753870830791186</v>
      </c>
      <c r="AI217" s="3">
        <f t="shared" ca="1" si="39"/>
        <v>0</v>
      </c>
    </row>
    <row r="218" spans="7:35" x14ac:dyDescent="0.3">
      <c r="G218" s="3">
        <f t="shared" ca="1" si="34"/>
        <v>365</v>
      </c>
      <c r="H218" s="97">
        <f t="shared" ca="1" si="36"/>
        <v>45290</v>
      </c>
      <c r="I218" s="121">
        <f ca="1">HLOOKUP($H$4,'Met Data'!$A$2:$F$368,G218,FALSE)</f>
        <v>17.0541666666666</v>
      </c>
      <c r="J218" s="121">
        <f ca="1">HLOOKUP($H$4,'Met Data'!$H$2:$M$368,G218,FALSE)*L218</f>
        <v>3.68333333333333</v>
      </c>
      <c r="K218" s="98">
        <f ca="1">HLOOKUP($H$4,'Met Data'!$O$2:$T$368,G218,FALSE)</f>
        <v>3.3111049356888498</v>
      </c>
      <c r="L218">
        <f t="shared" ca="1" si="30"/>
        <v>1</v>
      </c>
      <c r="N218" t="b">
        <f t="shared" ca="1" si="35"/>
        <v>1</v>
      </c>
      <c r="O218" t="b">
        <f t="shared" ca="1" si="31"/>
        <v>1</v>
      </c>
      <c r="P218" s="2">
        <f ca="1"/>
        <v>45335</v>
      </c>
      <c r="Q218">
        <f ca="1"/>
        <v>30.729842804914824</v>
      </c>
      <c r="R218">
        <f ca="1"/>
        <v>8.0195455610521493E-2</v>
      </c>
      <c r="S218">
        <f ca="1"/>
        <v>4.9120572164953246E-14</v>
      </c>
      <c r="T218">
        <f ca="1"/>
        <v>0.13918482028506637</v>
      </c>
      <c r="U218">
        <f ca="1"/>
        <v>0</v>
      </c>
      <c r="V218">
        <f ca="1"/>
        <v>155.658519356775</v>
      </c>
      <c r="W218">
        <f ca="1"/>
        <v>107.615766468882</v>
      </c>
      <c r="X218">
        <f ca="1"/>
        <v>0</v>
      </c>
      <c r="Y218">
        <f ca="1"/>
        <v>0.53049802537102309</v>
      </c>
      <c r="Z218">
        <f ca="1"/>
        <v>0</v>
      </c>
      <c r="AA218">
        <f ca="1"/>
        <v>0</v>
      </c>
      <c r="AB218">
        <f ca="1"/>
        <v>3.4090417733715503E-2</v>
      </c>
      <c r="AD218" s="2">
        <f t="shared" ca="1" si="32"/>
        <v>45335</v>
      </c>
      <c r="AE218">
        <f t="shared" ca="1" si="33"/>
        <v>0</v>
      </c>
      <c r="AG218" s="65">
        <f t="shared" ca="1" si="37"/>
        <v>30.810038260525367</v>
      </c>
      <c r="AH218" s="65">
        <f t="shared" ca="1" si="38"/>
        <v>30.810038260525346</v>
      </c>
      <c r="AI218" s="3">
        <f t="shared" ca="1" si="39"/>
        <v>0</v>
      </c>
    </row>
    <row r="219" spans="7:35" x14ac:dyDescent="0.3">
      <c r="G219" s="3">
        <f t="shared" ca="1" si="34"/>
        <v>366</v>
      </c>
      <c r="H219" s="97">
        <f t="shared" ca="1" si="36"/>
        <v>45291</v>
      </c>
      <c r="I219" s="121">
        <f ca="1">HLOOKUP($H$4,'Met Data'!$A$2:$F$368,G219,FALSE)</f>
        <v>16.6875</v>
      </c>
      <c r="J219" s="121">
        <f ca="1">HLOOKUP($H$4,'Met Data'!$H$2:$M$368,G219,FALSE)*L219</f>
        <v>4.68333333333333</v>
      </c>
      <c r="K219" s="98">
        <f ca="1">HLOOKUP($H$4,'Met Data'!$O$2:$T$368,G219,FALSE)</f>
        <v>3.7095349810249001</v>
      </c>
      <c r="L219">
        <f t="shared" ca="1" si="30"/>
        <v>1</v>
      </c>
      <c r="N219" t="b">
        <f t="shared" ca="1" si="35"/>
        <v>1</v>
      </c>
      <c r="O219" t="b">
        <f t="shared" ca="1" si="31"/>
        <v>1</v>
      </c>
      <c r="P219" s="2">
        <f ca="1"/>
        <v>45336</v>
      </c>
      <c r="Q219">
        <f ca="1"/>
        <v>30.791898786622625</v>
      </c>
      <c r="R219">
        <f ca="1"/>
        <v>7.5616819038032204E-2</v>
      </c>
      <c r="S219">
        <f ca="1"/>
        <v>4.261682438946657E-14</v>
      </c>
      <c r="T219">
        <f ca="1"/>
        <v>0.13767280074577545</v>
      </c>
      <c r="U219">
        <f ca="1"/>
        <v>0</v>
      </c>
      <c r="V219">
        <f ca="1"/>
        <v>155.73413617581301</v>
      </c>
      <c r="W219">
        <f ca="1"/>
        <v>107.668044763525</v>
      </c>
      <c r="X219">
        <f ca="1"/>
        <v>0</v>
      </c>
      <c r="Y219">
        <f ca="1"/>
        <v>0.52247505442444142</v>
      </c>
      <c r="Z219">
        <f ca="1"/>
        <v>0</v>
      </c>
      <c r="AA219">
        <f ca="1"/>
        <v>0</v>
      </c>
      <c r="AB219">
        <f ca="1"/>
        <v>1.6798844186508701E-2</v>
      </c>
      <c r="AD219" s="2">
        <f t="shared" ca="1" si="32"/>
        <v>45336</v>
      </c>
      <c r="AE219">
        <f t="shared" ca="1" si="33"/>
        <v>0</v>
      </c>
      <c r="AG219" s="65">
        <f t="shared" ca="1" si="37"/>
        <v>30.867515605660643</v>
      </c>
      <c r="AH219" s="65">
        <f t="shared" ca="1" si="38"/>
        <v>30.867515605660657</v>
      </c>
      <c r="AI219" s="3">
        <f t="shared" ca="1" si="39"/>
        <v>0</v>
      </c>
    </row>
    <row r="220" spans="7:35" x14ac:dyDescent="0.3">
      <c r="G220" s="3">
        <f t="shared" ca="1" si="34"/>
        <v>2</v>
      </c>
      <c r="H220" s="97">
        <f t="shared" ca="1" si="36"/>
        <v>45292</v>
      </c>
      <c r="I220" s="121">
        <f ca="1">HLOOKUP($H$4,'Met Data'!$A$2:$F$368,G220,FALSE)</f>
        <v>17.908333333333299</v>
      </c>
      <c r="J220" s="121">
        <f ca="1">HLOOKUP($H$4,'Met Data'!$H$2:$M$368,G220,FALSE)*L220</f>
        <v>2.5499999999999998</v>
      </c>
      <c r="K220" s="98">
        <f ca="1">HLOOKUP($H$4,'Met Data'!$O$2:$T$368,G220,FALSE)</f>
        <v>3.6545263506553698</v>
      </c>
      <c r="L220">
        <f t="shared" ca="1" si="30"/>
        <v>1</v>
      </c>
      <c r="N220" t="b">
        <f t="shared" ca="1" si="35"/>
        <v>0</v>
      </c>
      <c r="O220" t="b">
        <f t="shared" ca="1" si="31"/>
        <v>1</v>
      </c>
      <c r="P220" s="2">
        <f ca="1"/>
        <v>45337</v>
      </c>
      <c r="Q220">
        <f ca="1"/>
        <v>30.854706948692836</v>
      </c>
      <c r="R220">
        <f ca="1"/>
        <v>6.9440690173649997E-2</v>
      </c>
      <c r="S220">
        <f ca="1"/>
        <v>3.6467311370178375E-14</v>
      </c>
      <c r="T220">
        <f ca="1"/>
        <v>0.13224885224383856</v>
      </c>
      <c r="U220">
        <f ca="1"/>
        <v>0</v>
      </c>
      <c r="V220">
        <f ca="1"/>
        <v>155.803576865987</v>
      </c>
      <c r="W220">
        <f ca="1"/>
        <v>107.716053141917</v>
      </c>
      <c r="X220">
        <f ca="1"/>
        <v>0</v>
      </c>
      <c r="Y220">
        <f ca="1"/>
        <v>0.52041013542111936</v>
      </c>
      <c r="Z220">
        <f ca="1"/>
        <v>0</v>
      </c>
      <c r="AA220">
        <f ca="1"/>
        <v>0</v>
      </c>
      <c r="AB220">
        <f ca="1"/>
        <v>0</v>
      </c>
      <c r="AD220" s="2">
        <f t="shared" ca="1" si="32"/>
        <v>45337</v>
      </c>
      <c r="AE220">
        <f t="shared" ca="1" si="33"/>
        <v>0</v>
      </c>
      <c r="AG220" s="65">
        <f t="shared" ca="1" si="37"/>
        <v>30.924147638866497</v>
      </c>
      <c r="AH220" s="65">
        <f t="shared" ca="1" si="38"/>
        <v>30.924147638866486</v>
      </c>
      <c r="AI220" s="3">
        <f t="shared" ca="1" si="39"/>
        <v>0</v>
      </c>
    </row>
    <row r="221" spans="7:35" x14ac:dyDescent="0.3">
      <c r="G221" s="3">
        <f t="shared" ca="1" si="34"/>
        <v>3</v>
      </c>
      <c r="H221" s="97">
        <f t="shared" ca="1" si="36"/>
        <v>45293</v>
      </c>
      <c r="I221" s="121">
        <f ca="1">HLOOKUP($H$4,'Met Data'!$A$2:$F$368,G221,FALSE)</f>
        <v>18.454166666666602</v>
      </c>
      <c r="J221" s="121">
        <f ca="1">HLOOKUP($H$4,'Met Data'!$H$2:$M$368,G221,FALSE)*L221</f>
        <v>2.3166666666666602</v>
      </c>
      <c r="K221" s="98">
        <f ca="1">HLOOKUP($H$4,'Met Data'!$O$2:$T$368,G221,FALSE)</f>
        <v>3.0374578661788201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45338</v>
      </c>
      <c r="Q221">
        <f ca="1"/>
        <v>36.240858593061532</v>
      </c>
      <c r="R221">
        <f ca="1"/>
        <v>0</v>
      </c>
      <c r="S221">
        <f ca="1"/>
        <v>5.258551079362479</v>
      </c>
      <c r="T221">
        <f ca="1"/>
        <v>0.12760056500621306</v>
      </c>
      <c r="U221">
        <f ca="1"/>
        <v>0</v>
      </c>
      <c r="V221">
        <f ca="1"/>
        <v>0</v>
      </c>
      <c r="W221">
        <f ca="1"/>
        <v>0</v>
      </c>
      <c r="X221">
        <f ca="1"/>
        <v>0</v>
      </c>
      <c r="Y221">
        <f ca="1"/>
        <v>0.50968888680410318</v>
      </c>
      <c r="Z221">
        <f ca="1"/>
        <v>0</v>
      </c>
      <c r="AA221">
        <f ca="1"/>
        <v>0</v>
      </c>
      <c r="AB221">
        <f ca="1"/>
        <v>0</v>
      </c>
      <c r="AD221" s="2">
        <f t="shared" ca="1" si="32"/>
        <v>45338</v>
      </c>
      <c r="AE221">
        <f t="shared" ca="1" si="33"/>
        <v>0</v>
      </c>
      <c r="AG221" s="65">
        <f t="shared" ca="1" si="37"/>
        <v>36.240858593061525</v>
      </c>
      <c r="AH221" s="65">
        <f t="shared" ca="1" si="38"/>
        <v>36.240858593061532</v>
      </c>
      <c r="AI221" s="3">
        <f t="shared" ca="1" si="39"/>
        <v>0</v>
      </c>
    </row>
    <row r="222" spans="7:35" x14ac:dyDescent="0.3">
      <c r="G222" s="3">
        <f t="shared" ca="1" si="34"/>
        <v>4</v>
      </c>
      <c r="H222" s="97">
        <f t="shared" ca="1" si="36"/>
        <v>45294</v>
      </c>
      <c r="I222" s="121">
        <f ca="1">HLOOKUP($H$4,'Met Data'!$A$2:$F$368,G222,FALSE)</f>
        <v>18.4916666666666</v>
      </c>
      <c r="J222" s="121">
        <f ca="1">HLOOKUP($H$4,'Met Data'!$H$2:$M$368,G222,FALSE)*L222</f>
        <v>6.6333333333333302</v>
      </c>
      <c r="K222" s="98">
        <f ca="1">HLOOKUP($H$4,'Met Data'!$O$2:$T$368,G222,FALSE)</f>
        <v>3.5424660833564698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45339</v>
      </c>
      <c r="Q222">
        <f ca="1"/>
        <v>41.228468858879921</v>
      </c>
      <c r="R222">
        <f ca="1"/>
        <v>0</v>
      </c>
      <c r="S222">
        <f ca="1"/>
        <v>4.8552260156318727</v>
      </c>
      <c r="T222">
        <f ca="1"/>
        <v>0.13238425018651048</v>
      </c>
      <c r="U222">
        <f ca="1"/>
        <v>0</v>
      </c>
      <c r="V222">
        <f ca="1"/>
        <v>0</v>
      </c>
      <c r="W222">
        <f ca="1"/>
        <v>0</v>
      </c>
      <c r="X222">
        <f ca="1"/>
        <v>0</v>
      </c>
      <c r="Y222">
        <f ca="1"/>
        <v>0.51882435319395226</v>
      </c>
      <c r="Z222">
        <f ca="1"/>
        <v>0</v>
      </c>
      <c r="AA222">
        <f ca="1"/>
        <v>0</v>
      </c>
      <c r="AB222">
        <f ca="1"/>
        <v>0</v>
      </c>
      <c r="AD222" s="2">
        <f t="shared" ca="1" si="32"/>
        <v>45339</v>
      </c>
      <c r="AE222">
        <f t="shared" ca="1" si="33"/>
        <v>0</v>
      </c>
      <c r="AG222" s="65">
        <f t="shared" ca="1" si="37"/>
        <v>41.228468858879914</v>
      </c>
      <c r="AH222" s="65">
        <f t="shared" ca="1" si="38"/>
        <v>41.228468858879921</v>
      </c>
      <c r="AI222" s="3">
        <f t="shared" ca="1" si="39"/>
        <v>0</v>
      </c>
    </row>
    <row r="223" spans="7:35" x14ac:dyDescent="0.3">
      <c r="G223" s="3">
        <f t="shared" ca="1" si="34"/>
        <v>5</v>
      </c>
      <c r="H223" s="97">
        <f t="shared" ca="1" si="36"/>
        <v>45295</v>
      </c>
      <c r="I223" s="121">
        <f ca="1">HLOOKUP($H$4,'Met Data'!$A$2:$F$368,G223,FALSE)</f>
        <v>17</v>
      </c>
      <c r="J223" s="121">
        <f ca="1">HLOOKUP($H$4,'Met Data'!$H$2:$M$368,G223,FALSE)*L223</f>
        <v>1.93333333333333</v>
      </c>
      <c r="K223" s="98">
        <f ca="1">HLOOKUP($H$4,'Met Data'!$O$2:$T$368,G223,FALSE)</f>
        <v>4.6893309655458602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45340</v>
      </c>
      <c r="Q223">
        <f ca="1"/>
        <v>45.817766407011717</v>
      </c>
      <c r="R223">
        <f ca="1"/>
        <v>0</v>
      </c>
      <c r="S223">
        <f ca="1"/>
        <v>4.4521872303713002</v>
      </c>
      <c r="T223">
        <f ca="1"/>
        <v>0.13711031776050039</v>
      </c>
      <c r="U223">
        <f ca="1"/>
        <v>0</v>
      </c>
      <c r="V223">
        <f ca="1"/>
        <v>0</v>
      </c>
      <c r="W223">
        <f ca="1"/>
        <v>0</v>
      </c>
      <c r="X223">
        <f ca="1"/>
        <v>0</v>
      </c>
      <c r="Y223">
        <f ca="1"/>
        <v>0.52729400967493967</v>
      </c>
      <c r="Z223">
        <f ca="1"/>
        <v>0</v>
      </c>
      <c r="AA223">
        <f ca="1"/>
        <v>0</v>
      </c>
      <c r="AB223">
        <f ca="1"/>
        <v>0</v>
      </c>
      <c r="AD223" s="2">
        <f t="shared" ca="1" si="32"/>
        <v>45340</v>
      </c>
      <c r="AE223">
        <f t="shared" ca="1" si="33"/>
        <v>0</v>
      </c>
      <c r="AG223" s="65">
        <f t="shared" ca="1" si="37"/>
        <v>45.817766407011725</v>
      </c>
      <c r="AH223" s="65">
        <f t="shared" ca="1" si="38"/>
        <v>45.817766407011717</v>
      </c>
      <c r="AI223" s="3">
        <f t="shared" ca="1" si="39"/>
        <v>0</v>
      </c>
    </row>
    <row r="224" spans="7:35" x14ac:dyDescent="0.3">
      <c r="G224" s="3">
        <f t="shared" ca="1" si="34"/>
        <v>6</v>
      </c>
      <c r="H224" s="97">
        <f t="shared" ca="1" si="36"/>
        <v>45296</v>
      </c>
      <c r="I224" s="121">
        <f ca="1">HLOOKUP($H$4,'Met Data'!$A$2:$F$368,G224,FALSE)</f>
        <v>16.4166666666666</v>
      </c>
      <c r="J224" s="121">
        <f ca="1">HLOOKUP($H$4,'Met Data'!$H$2:$M$368,G224,FALSE)*L224</f>
        <v>2.9833333333333298</v>
      </c>
      <c r="K224" s="98">
        <f ca="1">HLOOKUP($H$4,'Met Data'!$O$2:$T$368,G224,FALSE)</f>
        <v>4.0957861961112103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45341</v>
      </c>
      <c r="Q224">
        <f ca="1"/>
        <v>50.099903589848765</v>
      </c>
      <c r="R224">
        <f ca="1"/>
        <v>0</v>
      </c>
      <c r="S224">
        <f ca="1"/>
        <v>4.1378993275343605</v>
      </c>
      <c r="T224">
        <f ca="1"/>
        <v>0.14423785530268246</v>
      </c>
      <c r="U224">
        <f ca="1"/>
        <v>0</v>
      </c>
      <c r="V224">
        <f ca="1"/>
        <v>0</v>
      </c>
      <c r="W224">
        <f ca="1"/>
        <v>0</v>
      </c>
      <c r="X224">
        <f ca="1"/>
        <v>0</v>
      </c>
      <c r="Y224">
        <f ca="1"/>
        <v>0.54354883924129083</v>
      </c>
      <c r="Z224">
        <f ca="1"/>
        <v>0</v>
      </c>
      <c r="AA224">
        <f ca="1"/>
        <v>0</v>
      </c>
      <c r="AB224">
        <f ca="1"/>
        <v>0</v>
      </c>
      <c r="AD224" s="2">
        <f t="shared" ca="1" si="32"/>
        <v>45341</v>
      </c>
      <c r="AE224">
        <f t="shared" ca="1" si="33"/>
        <v>0</v>
      </c>
      <c r="AG224" s="65">
        <f t="shared" ca="1" si="37"/>
        <v>50.099903589848765</v>
      </c>
      <c r="AH224" s="65">
        <f t="shared" ca="1" si="38"/>
        <v>50.099903589848765</v>
      </c>
      <c r="AI224" s="3">
        <f t="shared" ca="1" si="39"/>
        <v>0</v>
      </c>
    </row>
    <row r="225" spans="7:35" x14ac:dyDescent="0.3">
      <c r="G225" s="3">
        <f t="shared" ca="1" si="34"/>
        <v>7</v>
      </c>
      <c r="H225" s="97">
        <f t="shared" ca="1" si="36"/>
        <v>45297</v>
      </c>
      <c r="I225" s="121">
        <f ca="1">HLOOKUP($H$4,'Met Data'!$A$2:$F$368,G225,FALSE)</f>
        <v>17.629166666666599</v>
      </c>
      <c r="J225" s="121">
        <f ca="1">HLOOKUP($H$4,'Met Data'!$H$2:$M$368,G225,FALSE)*L225</f>
        <v>0.43333333333333302</v>
      </c>
      <c r="K225" s="98">
        <f ca="1">HLOOKUP($H$4,'Met Data'!$O$2:$T$368,G225,FALSE)</f>
        <v>4.0765351917680999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45342</v>
      </c>
      <c r="Q225">
        <f ca="1"/>
        <v>53.876504484348089</v>
      </c>
      <c r="R225">
        <f ca="1"/>
        <v>0</v>
      </c>
      <c r="S225">
        <f ca="1"/>
        <v>3.6308705251147426</v>
      </c>
      <c r="T225">
        <f ca="1"/>
        <v>0.14573036938458717</v>
      </c>
      <c r="U225">
        <f ca="1"/>
        <v>0</v>
      </c>
      <c r="V225">
        <f ca="1"/>
        <v>0</v>
      </c>
      <c r="W225">
        <f ca="1"/>
        <v>0</v>
      </c>
      <c r="X225">
        <f ca="1"/>
        <v>0</v>
      </c>
      <c r="Y225">
        <f ca="1"/>
        <v>0.53643444272345953</v>
      </c>
      <c r="Z225">
        <f ca="1"/>
        <v>0</v>
      </c>
      <c r="AA225">
        <f ca="1"/>
        <v>0</v>
      </c>
      <c r="AB225">
        <f ca="1"/>
        <v>0</v>
      </c>
      <c r="AD225" s="2">
        <f t="shared" ca="1" si="32"/>
        <v>45342</v>
      </c>
      <c r="AE225">
        <f t="shared" ca="1" si="33"/>
        <v>0</v>
      </c>
      <c r="AG225" s="65">
        <f t="shared" ca="1" si="37"/>
        <v>53.876504484348096</v>
      </c>
      <c r="AH225" s="65">
        <f t="shared" ca="1" si="38"/>
        <v>53.876504484348089</v>
      </c>
      <c r="AI225" s="3">
        <f t="shared" ca="1" si="39"/>
        <v>0</v>
      </c>
    </row>
    <row r="226" spans="7:35" x14ac:dyDescent="0.3">
      <c r="G226" s="3">
        <f t="shared" ca="1" si="34"/>
        <v>8</v>
      </c>
      <c r="H226" s="97">
        <f t="shared" ca="1" si="36"/>
        <v>45298</v>
      </c>
      <c r="I226" s="121">
        <f ca="1">HLOOKUP($H$4,'Met Data'!$A$2:$F$368,G226,FALSE)</f>
        <v>17.004166666666599</v>
      </c>
      <c r="J226" s="121">
        <f ca="1">HLOOKUP($H$4,'Met Data'!$H$2:$M$368,G226,FALSE)*L226</f>
        <v>2.7833333333333301</v>
      </c>
      <c r="K226" s="98">
        <f ca="1">HLOOKUP($H$4,'Met Data'!$O$2:$T$368,G226,FALSE)</f>
        <v>3.5869881049730998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45343</v>
      </c>
      <c r="Q226">
        <f ca="1"/>
        <v>57.126493289940782</v>
      </c>
      <c r="R226">
        <f ca="1"/>
        <v>0</v>
      </c>
      <c r="S226">
        <f ca="1"/>
        <v>3.1079466835113161</v>
      </c>
      <c r="T226">
        <f ca="1"/>
        <v>0.14204212208137584</v>
      </c>
      <c r="U226">
        <f ca="1"/>
        <v>0</v>
      </c>
      <c r="V226">
        <f ca="1"/>
        <v>0</v>
      </c>
      <c r="W226">
        <f ca="1"/>
        <v>0</v>
      </c>
      <c r="X226">
        <f ca="1"/>
        <v>0</v>
      </c>
      <c r="Y226">
        <f ca="1"/>
        <v>0.53082861082107358</v>
      </c>
      <c r="Z226">
        <f ca="1"/>
        <v>0</v>
      </c>
      <c r="AA226">
        <f ca="1"/>
        <v>0</v>
      </c>
      <c r="AB226">
        <f ca="1"/>
        <v>0</v>
      </c>
      <c r="AD226" s="2">
        <f t="shared" ca="1" si="32"/>
        <v>45343</v>
      </c>
      <c r="AE226">
        <f t="shared" ca="1" si="33"/>
        <v>0</v>
      </c>
      <c r="AG226" s="65">
        <f t="shared" ca="1" si="37"/>
        <v>57.126493289940782</v>
      </c>
      <c r="AH226" s="65">
        <f t="shared" ca="1" si="38"/>
        <v>57.126493289940782</v>
      </c>
      <c r="AI226" s="3">
        <f t="shared" ca="1" si="39"/>
        <v>0</v>
      </c>
    </row>
    <row r="227" spans="7:35" x14ac:dyDescent="0.3">
      <c r="G227" s="3">
        <f t="shared" ca="1" si="34"/>
        <v>9</v>
      </c>
      <c r="H227" s="97">
        <f t="shared" ca="1" si="36"/>
        <v>45299</v>
      </c>
      <c r="I227" s="121">
        <f ca="1">HLOOKUP($H$4,'Met Data'!$A$2:$F$368,G227,FALSE)</f>
        <v>17.433333333333302</v>
      </c>
      <c r="J227" s="121">
        <f ca="1">HLOOKUP($H$4,'Met Data'!$H$2:$M$368,G227,FALSE)*L227</f>
        <v>2.3833333333333302</v>
      </c>
      <c r="K227" s="98">
        <f ca="1">HLOOKUP($H$4,'Met Data'!$O$2:$T$368,G227,FALSE)</f>
        <v>4.2605807421289903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45344</v>
      </c>
      <c r="Q227">
        <f ca="1"/>
        <v>60.198761137459854</v>
      </c>
      <c r="R227">
        <f ca="1"/>
        <v>0</v>
      </c>
      <c r="S227">
        <f ca="1"/>
        <v>2.9232409220219071</v>
      </c>
      <c r="T227">
        <f ca="1"/>
        <v>0.14902692549717103</v>
      </c>
      <c r="U227">
        <f ca="1"/>
        <v>0</v>
      </c>
      <c r="V227">
        <f ca="1"/>
        <v>0</v>
      </c>
      <c r="W227">
        <f ca="1"/>
        <v>0</v>
      </c>
      <c r="X227">
        <f ca="1"/>
        <v>0</v>
      </c>
      <c r="Y227">
        <f ca="1"/>
        <v>0.56880723424336188</v>
      </c>
      <c r="Z227">
        <f ca="1"/>
        <v>0</v>
      </c>
      <c r="AA227">
        <f ca="1"/>
        <v>0</v>
      </c>
      <c r="AB227">
        <f ca="1"/>
        <v>0</v>
      </c>
      <c r="AD227" s="2">
        <f t="shared" ca="1" si="32"/>
        <v>45344</v>
      </c>
      <c r="AE227">
        <f t="shared" ca="1" si="33"/>
        <v>0</v>
      </c>
      <c r="AG227" s="65">
        <f t="shared" ca="1" si="37"/>
        <v>60.198761137459854</v>
      </c>
      <c r="AH227" s="65">
        <f t="shared" ca="1" si="38"/>
        <v>60.198761137459854</v>
      </c>
      <c r="AI227" s="3">
        <f t="shared" ca="1" si="39"/>
        <v>0</v>
      </c>
    </row>
    <row r="228" spans="7:35" x14ac:dyDescent="0.3">
      <c r="G228" s="3">
        <f t="shared" ca="1" si="34"/>
        <v>10</v>
      </c>
      <c r="H228" s="97">
        <f t="shared" ca="1" si="36"/>
        <v>45300</v>
      </c>
      <c r="I228" s="121">
        <f ca="1">HLOOKUP($H$4,'Met Data'!$A$2:$F$368,G228,FALSE)</f>
        <v>17.0208333333333</v>
      </c>
      <c r="J228" s="121">
        <f ca="1">HLOOKUP($H$4,'Met Data'!$H$2:$M$368,G228,FALSE)*L228</f>
        <v>0.3</v>
      </c>
      <c r="K228" s="98">
        <f ca="1">HLOOKUP($H$4,'Met Data'!$O$2:$T$368,G228,FALSE)</f>
        <v>4.14669035003873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45345</v>
      </c>
      <c r="Q228">
        <f ca="1"/>
        <v>62.672114071232429</v>
      </c>
      <c r="R228">
        <f ca="1"/>
        <v>0</v>
      </c>
      <c r="S228">
        <f ca="1"/>
        <v>2.3388803890042134</v>
      </c>
      <c r="T228">
        <f ca="1"/>
        <v>0.13447254476834983</v>
      </c>
      <c r="U228">
        <f ca="1"/>
        <v>0</v>
      </c>
      <c r="V228">
        <f ca="1"/>
        <v>0</v>
      </c>
      <c r="W228">
        <f ca="1"/>
        <v>0</v>
      </c>
      <c r="X228">
        <f ca="1"/>
        <v>0</v>
      </c>
      <c r="Y228">
        <f ca="1"/>
        <v>0.55691405602623911</v>
      </c>
      <c r="Z228">
        <f ca="1"/>
        <v>0</v>
      </c>
      <c r="AA228">
        <f ca="1"/>
        <v>0</v>
      </c>
      <c r="AB228">
        <f ca="1"/>
        <v>0</v>
      </c>
      <c r="AD228" s="2">
        <f t="shared" ca="1" si="32"/>
        <v>45345</v>
      </c>
      <c r="AE228">
        <f t="shared" ca="1" si="33"/>
        <v>0</v>
      </c>
      <c r="AG228" s="65">
        <f t="shared" ca="1" si="37"/>
        <v>62.672114071232421</v>
      </c>
      <c r="AH228" s="65">
        <f t="shared" ca="1" si="38"/>
        <v>62.672114071232429</v>
      </c>
      <c r="AI228" s="3">
        <f t="shared" ca="1" si="39"/>
        <v>0</v>
      </c>
    </row>
    <row r="229" spans="7:35" x14ac:dyDescent="0.3">
      <c r="G229" s="3">
        <f t="shared" ca="1" si="34"/>
        <v>11</v>
      </c>
      <c r="H229" s="97">
        <f t="shared" ca="1" si="36"/>
        <v>45301</v>
      </c>
      <c r="I229" s="121">
        <f ca="1">HLOOKUP($H$4,'Met Data'!$A$2:$F$368,G229,FALSE)</f>
        <v>17.6041666666666</v>
      </c>
      <c r="J229" s="121">
        <f ca="1">HLOOKUP($H$4,'Met Data'!$H$2:$M$368,G229,FALSE)*L229</f>
        <v>0.88333333333333297</v>
      </c>
      <c r="K229" s="98">
        <f ca="1">HLOOKUP($H$4,'Met Data'!$O$2:$T$368,G229,FALSE)</f>
        <v>3.4815515936566799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45346</v>
      </c>
      <c r="Q229">
        <f ca="1"/>
        <v>64.755185961594719</v>
      </c>
      <c r="R229">
        <f ca="1"/>
        <v>0</v>
      </c>
      <c r="S229">
        <f ca="1"/>
        <v>1.9571590840535698</v>
      </c>
      <c r="T229">
        <f ca="1"/>
        <v>0.12591280630871485</v>
      </c>
      <c r="U229">
        <f ca="1"/>
        <v>0</v>
      </c>
      <c r="V229">
        <f ca="1"/>
        <v>0</v>
      </c>
      <c r="W229">
        <f ca="1"/>
        <v>0</v>
      </c>
      <c r="X229">
        <f ca="1"/>
        <v>0</v>
      </c>
      <c r="Y229">
        <f ca="1"/>
        <v>0.55368680995679087</v>
      </c>
      <c r="Z229">
        <f ca="1"/>
        <v>0</v>
      </c>
      <c r="AA229">
        <f ca="1"/>
        <v>0</v>
      </c>
      <c r="AB229">
        <f ca="1"/>
        <v>0</v>
      </c>
      <c r="AD229" s="2">
        <f t="shared" ca="1" si="32"/>
        <v>45346</v>
      </c>
      <c r="AE229">
        <f t="shared" ca="1" si="33"/>
        <v>0</v>
      </c>
      <c r="AG229" s="65">
        <f t="shared" ca="1" si="37"/>
        <v>64.755185961594719</v>
      </c>
      <c r="AH229" s="65">
        <f t="shared" ca="1" si="38"/>
        <v>64.755185961594719</v>
      </c>
      <c r="AI229" s="3">
        <f t="shared" ca="1" si="39"/>
        <v>0</v>
      </c>
    </row>
    <row r="230" spans="7:35" x14ac:dyDescent="0.3">
      <c r="G230" s="3">
        <f t="shared" ca="1" si="34"/>
        <v>12</v>
      </c>
      <c r="H230" s="97">
        <f t="shared" ca="1" si="36"/>
        <v>45302</v>
      </c>
      <c r="I230" s="121">
        <f ca="1">HLOOKUP($H$4,'Met Data'!$A$2:$F$368,G230,FALSE)</f>
        <v>17.654166666666601</v>
      </c>
      <c r="J230" s="121">
        <f ca="1">HLOOKUP($H$4,'Met Data'!$H$2:$M$368,G230,FALSE)*L230</f>
        <v>0.33333333333333298</v>
      </c>
      <c r="K230" s="98">
        <f ca="1">HLOOKUP($H$4,'Met Data'!$O$2:$T$368,G230,FALSE)</f>
        <v>4.1035718910061201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45347</v>
      </c>
      <c r="Q230">
        <f ca="1"/>
        <v>66.648389453668528</v>
      </c>
      <c r="R230">
        <f ca="1"/>
        <v>0</v>
      </c>
      <c r="S230">
        <f ca="1"/>
        <v>1.7634254299279175</v>
      </c>
      <c r="T230">
        <f ca="1"/>
        <v>0.12977806214590476</v>
      </c>
      <c r="U230">
        <f ca="1"/>
        <v>0</v>
      </c>
      <c r="V230">
        <f ca="1"/>
        <v>0</v>
      </c>
      <c r="W230">
        <f ca="1"/>
        <v>0</v>
      </c>
      <c r="X230">
        <f ca="1"/>
        <v>0</v>
      </c>
      <c r="Y230">
        <f ca="1"/>
        <v>0.54450291809211315</v>
      </c>
      <c r="Z230">
        <f ca="1"/>
        <v>0</v>
      </c>
      <c r="AA230">
        <f ca="1"/>
        <v>0</v>
      </c>
      <c r="AB230">
        <f ca="1"/>
        <v>0</v>
      </c>
      <c r="AD230" s="2">
        <f t="shared" ca="1" si="32"/>
        <v>45347</v>
      </c>
      <c r="AE230">
        <f t="shared" ca="1" si="33"/>
        <v>0</v>
      </c>
      <c r="AG230" s="65">
        <f t="shared" ca="1" si="37"/>
        <v>66.648389453668543</v>
      </c>
      <c r="AH230" s="65">
        <f t="shared" ca="1" si="38"/>
        <v>66.648389453668528</v>
      </c>
      <c r="AI230" s="3">
        <f t="shared" ca="1" si="39"/>
        <v>0</v>
      </c>
    </row>
    <row r="231" spans="7:35" x14ac:dyDescent="0.3">
      <c r="G231" s="3">
        <f t="shared" ca="1" si="34"/>
        <v>13</v>
      </c>
      <c r="H231" s="97">
        <f t="shared" ca="1" si="36"/>
        <v>45303</v>
      </c>
      <c r="I231" s="121">
        <f ca="1">HLOOKUP($H$4,'Met Data'!$A$2:$F$368,G231,FALSE)</f>
        <v>18.175000000000001</v>
      </c>
      <c r="J231" s="121">
        <f ca="1">HLOOKUP($H$4,'Met Data'!$H$2:$M$368,G231,FALSE)*L231</f>
        <v>0.96666666666666601</v>
      </c>
      <c r="K231" s="98">
        <f ca="1">HLOOKUP($H$4,'Met Data'!$O$2:$T$368,G231,FALSE)</f>
        <v>3.7942004669494902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45348</v>
      </c>
      <c r="Q231">
        <f ca="1"/>
        <v>68.261008493819659</v>
      </c>
      <c r="R231">
        <f ca="1"/>
        <v>0</v>
      </c>
      <c r="S231">
        <f ca="1"/>
        <v>1.4895644788240012</v>
      </c>
      <c r="T231">
        <f ca="1"/>
        <v>0.12305456132712826</v>
      </c>
      <c r="U231">
        <f ca="1"/>
        <v>0</v>
      </c>
      <c r="V231">
        <f ca="1"/>
        <v>0</v>
      </c>
      <c r="W231">
        <f ca="1"/>
        <v>0</v>
      </c>
      <c r="X231">
        <f ca="1"/>
        <v>0</v>
      </c>
      <c r="Y231">
        <f ca="1"/>
        <v>0.5358990360956567</v>
      </c>
      <c r="Z231">
        <f ca="1"/>
        <v>0</v>
      </c>
      <c r="AA231">
        <f ca="1"/>
        <v>0</v>
      </c>
      <c r="AB231">
        <f ca="1"/>
        <v>0</v>
      </c>
      <c r="AD231" s="2">
        <f t="shared" ca="1" si="32"/>
        <v>45348</v>
      </c>
      <c r="AE231">
        <f t="shared" ca="1" si="33"/>
        <v>0</v>
      </c>
      <c r="AG231" s="65">
        <f t="shared" ca="1" si="37"/>
        <v>68.261008493819659</v>
      </c>
      <c r="AH231" s="65">
        <f t="shared" ca="1" si="38"/>
        <v>68.261008493819659</v>
      </c>
      <c r="AI231" s="3">
        <f t="shared" ca="1" si="39"/>
        <v>0</v>
      </c>
    </row>
    <row r="232" spans="7:35" x14ac:dyDescent="0.3">
      <c r="G232" s="3">
        <f t="shared" ca="1" si="34"/>
        <v>14</v>
      </c>
      <c r="H232" s="97">
        <f t="shared" ca="1" si="36"/>
        <v>45304</v>
      </c>
      <c r="I232" s="121">
        <f ca="1">HLOOKUP($H$4,'Met Data'!$A$2:$F$368,G232,FALSE)</f>
        <v>17.883333333333301</v>
      </c>
      <c r="J232" s="121">
        <f ca="1">HLOOKUP($H$4,'Met Data'!$H$2:$M$368,G232,FALSE)*L232</f>
        <v>3.0333333333333301</v>
      </c>
      <c r="K232" s="98">
        <f ca="1">HLOOKUP($H$4,'Met Data'!$O$2:$T$368,G232,FALSE)</f>
        <v>3.9941259720520699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45349</v>
      </c>
      <c r="Q232">
        <f ca="1"/>
        <v>69.666362060756953</v>
      </c>
      <c r="R232">
        <f ca="1"/>
        <v>0</v>
      </c>
      <c r="S232">
        <f ca="1"/>
        <v>1.2855623515906021</v>
      </c>
      <c r="T232">
        <f ca="1"/>
        <v>0.11979121534668229</v>
      </c>
      <c r="U232">
        <f ca="1"/>
        <v>0</v>
      </c>
      <c r="V232">
        <f ca="1"/>
        <v>0</v>
      </c>
      <c r="W232">
        <f ca="1"/>
        <v>0</v>
      </c>
      <c r="X232">
        <f ca="1"/>
        <v>0</v>
      </c>
      <c r="Y232">
        <f ca="1"/>
        <v>0.52295812625581195</v>
      </c>
      <c r="Z232">
        <f ca="1"/>
        <v>0</v>
      </c>
      <c r="AA232">
        <f ca="1"/>
        <v>0</v>
      </c>
      <c r="AB232">
        <f ca="1"/>
        <v>0</v>
      </c>
      <c r="AD232" s="2">
        <f t="shared" ca="1" si="32"/>
        <v>45349</v>
      </c>
      <c r="AE232">
        <f t="shared" ca="1" si="33"/>
        <v>0</v>
      </c>
      <c r="AG232" s="65">
        <f t="shared" ca="1" si="37"/>
        <v>69.666362060756938</v>
      </c>
      <c r="AH232" s="65">
        <f t="shared" ca="1" si="38"/>
        <v>69.666362060756953</v>
      </c>
      <c r="AI232" s="3">
        <f t="shared" ca="1" si="39"/>
        <v>0</v>
      </c>
    </row>
    <row r="233" spans="7:35" x14ac:dyDescent="0.3">
      <c r="G233" s="3">
        <f t="shared" ca="1" si="34"/>
        <v>15</v>
      </c>
      <c r="H233" s="97">
        <f t="shared" ca="1" si="36"/>
        <v>45305</v>
      </c>
      <c r="I233" s="121">
        <f ca="1">HLOOKUP($H$4,'Met Data'!$A$2:$F$368,G233,FALSE)</f>
        <v>17.279166666666601</v>
      </c>
      <c r="J233" s="121">
        <f ca="1">HLOOKUP($H$4,'Met Data'!$H$2:$M$368,G233,FALSE)*L233</f>
        <v>2.8833333333333302</v>
      </c>
      <c r="K233" s="98">
        <f ca="1">HLOOKUP($H$4,'Met Data'!$O$2:$T$368,G233,FALSE)</f>
        <v>4.3919546564694203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45350</v>
      </c>
      <c r="Q233">
        <f ca="1"/>
        <v>70.957435400808905</v>
      </c>
      <c r="R233">
        <f ca="1"/>
        <v>0</v>
      </c>
      <c r="S233">
        <f ca="1"/>
        <v>1.1669223691934998</v>
      </c>
      <c r="T233">
        <f ca="1"/>
        <v>0.12415097085845729</v>
      </c>
      <c r="U233">
        <f ca="1"/>
        <v>0</v>
      </c>
      <c r="V233">
        <f ca="1"/>
        <v>0</v>
      </c>
      <c r="W233">
        <f ca="1"/>
        <v>0</v>
      </c>
      <c r="X233">
        <f ca="1"/>
        <v>0</v>
      </c>
      <c r="Y233">
        <f ca="1"/>
        <v>0.51003965187461198</v>
      </c>
      <c r="Z233">
        <f ca="1"/>
        <v>0</v>
      </c>
      <c r="AA233">
        <f ca="1"/>
        <v>0</v>
      </c>
      <c r="AB233">
        <f ca="1"/>
        <v>0</v>
      </c>
      <c r="AD233" s="2">
        <f t="shared" ca="1" si="32"/>
        <v>45350</v>
      </c>
      <c r="AE233">
        <f t="shared" ca="1" si="33"/>
        <v>0</v>
      </c>
      <c r="AG233" s="65">
        <f t="shared" ca="1" si="37"/>
        <v>70.957435400808905</v>
      </c>
      <c r="AH233" s="65">
        <f t="shared" ca="1" si="38"/>
        <v>70.957435400808905</v>
      </c>
      <c r="AI233" s="3">
        <f t="shared" ca="1" si="39"/>
        <v>0</v>
      </c>
    </row>
    <row r="234" spans="7:35" x14ac:dyDescent="0.3">
      <c r="G234" s="3">
        <f t="shared" ca="1" si="34"/>
        <v>16</v>
      </c>
      <c r="H234" s="97">
        <f t="shared" ca="1" si="36"/>
        <v>45306</v>
      </c>
      <c r="I234" s="121">
        <f ca="1">HLOOKUP($H$4,'Met Data'!$A$2:$F$368,G234,FALSE)</f>
        <v>17.5208333333333</v>
      </c>
      <c r="J234" s="121">
        <f ca="1">HLOOKUP($H$4,'Met Data'!$H$2:$M$368,G234,FALSE)*L234</f>
        <v>2.5833333333333299</v>
      </c>
      <c r="K234" s="98">
        <f ca="1">HLOOKUP($H$4,'Met Data'!$O$2:$T$368,G234,FALSE)</f>
        <v>4.2128718222508397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45351</v>
      </c>
      <c r="Q234">
        <f ca="1"/>
        <v>72.105374755591981</v>
      </c>
      <c r="R234">
        <f ca="1"/>
        <v>0</v>
      </c>
      <c r="S234">
        <f ca="1"/>
        <v>1.0268307917816388</v>
      </c>
      <c r="T234">
        <f ca="1"/>
        <v>0.12110856300143352</v>
      </c>
      <c r="U234">
        <f ca="1"/>
        <v>0</v>
      </c>
      <c r="V234">
        <f ca="1"/>
        <v>0</v>
      </c>
      <c r="W234">
        <f ca="1"/>
        <v>0</v>
      </c>
      <c r="X234">
        <f ca="1"/>
        <v>0</v>
      </c>
      <c r="Y234">
        <f ca="1"/>
        <v>0.51431389148167417</v>
      </c>
      <c r="Z234">
        <f ca="1"/>
        <v>0</v>
      </c>
      <c r="AA234">
        <f ca="1"/>
        <v>0</v>
      </c>
      <c r="AB234">
        <f ca="1"/>
        <v>0</v>
      </c>
      <c r="AD234" s="2">
        <f t="shared" ca="1" si="32"/>
        <v>45351</v>
      </c>
      <c r="AE234">
        <f t="shared" ca="1" si="33"/>
        <v>0</v>
      </c>
      <c r="AG234" s="65">
        <f t="shared" ca="1" si="37"/>
        <v>72.105374755591967</v>
      </c>
      <c r="AH234" s="65">
        <f t="shared" ca="1" si="38"/>
        <v>72.105374755591981</v>
      </c>
      <c r="AI234" s="3">
        <f t="shared" ca="1" si="39"/>
        <v>0</v>
      </c>
    </row>
    <row r="235" spans="7:35" x14ac:dyDescent="0.3">
      <c r="G235" s="3">
        <f t="shared" ca="1" si="34"/>
        <v>17</v>
      </c>
      <c r="H235" s="97">
        <f t="shared" ca="1" si="36"/>
        <v>45307</v>
      </c>
      <c r="I235" s="121">
        <f ca="1">HLOOKUP($H$4,'Met Data'!$A$2:$F$368,G235,FALSE)</f>
        <v>17.970833333333299</v>
      </c>
      <c r="J235" s="121">
        <f ca="1">HLOOKUP($H$4,'Met Data'!$H$2:$M$368,G235,FALSE)*L235</f>
        <v>0.266666666666666</v>
      </c>
      <c r="K235" s="98">
        <f ca="1">HLOOKUP($H$4,'Met Data'!$O$2:$T$368,G235,FALSE)</f>
        <v>4.0252286180437302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45352</v>
      </c>
      <c r="Q235">
        <f ca="1"/>
        <v>73.149430094001701</v>
      </c>
      <c r="R235">
        <f ca="1"/>
        <v>0</v>
      </c>
      <c r="S235">
        <f ca="1"/>
        <v>0.92289893122916022</v>
      </c>
      <c r="T235">
        <f ca="1"/>
        <v>0.12115640718055379</v>
      </c>
      <c r="U235">
        <f ca="1"/>
        <v>0</v>
      </c>
      <c r="V235">
        <f ca="1"/>
        <v>3.6070769382340999</v>
      </c>
      <c r="W235">
        <f ca="1"/>
        <v>3.2998074212734201</v>
      </c>
      <c r="X235">
        <f ca="1"/>
        <v>0</v>
      </c>
      <c r="Y235">
        <f ca="1"/>
        <v>0.51925956708443866</v>
      </c>
      <c r="Z235">
        <f ca="1"/>
        <v>0</v>
      </c>
      <c r="AA235">
        <f ca="1"/>
        <v>0</v>
      </c>
      <c r="AB235">
        <f ca="1"/>
        <v>8.0088977311977595E-3</v>
      </c>
      <c r="AD235" s="2">
        <f t="shared" ca="1" si="32"/>
        <v>45352</v>
      </c>
      <c r="AE235">
        <f t="shared" ca="1" si="33"/>
        <v>0</v>
      </c>
      <c r="AG235" s="65">
        <f t="shared" ca="1" si="37"/>
        <v>73.149430094001687</v>
      </c>
      <c r="AH235" s="65">
        <f t="shared" ca="1" si="38"/>
        <v>73.149430094001701</v>
      </c>
      <c r="AI235" s="3">
        <f t="shared" ca="1" si="39"/>
        <v>0</v>
      </c>
    </row>
    <row r="236" spans="7:35" x14ac:dyDescent="0.3">
      <c r="G236" s="3">
        <f t="shared" ca="1" si="34"/>
        <v>18</v>
      </c>
      <c r="H236" s="97">
        <f t="shared" ca="1" si="36"/>
        <v>45308</v>
      </c>
      <c r="I236" s="121">
        <f ca="1">HLOOKUP($H$4,'Met Data'!$A$2:$F$368,G236,FALSE)</f>
        <v>18.2708333333333</v>
      </c>
      <c r="J236" s="121">
        <f ca="1">HLOOKUP($H$4,'Met Data'!$H$2:$M$368,G236,FALSE)*L236</f>
        <v>1.81666666666666</v>
      </c>
      <c r="K236" s="98">
        <f ca="1">HLOOKUP($H$4,'Met Data'!$O$2:$T$368,G236,FALSE)</f>
        <v>4.3125410240098896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45353</v>
      </c>
      <c r="Q236">
        <f ca="1"/>
        <v>73.876754934955301</v>
      </c>
      <c r="R236">
        <f ca="1"/>
        <v>0.21268222126483799</v>
      </c>
      <c r="S236">
        <f ca="1"/>
        <v>0.81871122598083124</v>
      </c>
      <c r="T236">
        <f ca="1"/>
        <v>0.12129583623760692</v>
      </c>
      <c r="U236">
        <f ca="1"/>
        <v>0</v>
      </c>
      <c r="V236">
        <f ca="1"/>
        <v>3.8197591594989402</v>
      </c>
      <c r="W236">
        <f ca="1"/>
        <v>3.49437226813422</v>
      </c>
      <c r="X236">
        <f ca="1"/>
        <v>0</v>
      </c>
      <c r="Y236">
        <f ca="1"/>
        <v>0.51035787848405478</v>
      </c>
      <c r="Z236">
        <f ca="1"/>
        <v>0</v>
      </c>
      <c r="AA236">
        <f ca="1"/>
        <v>0</v>
      </c>
      <c r="AB236">
        <f ca="1"/>
        <v>9.5980305285391608E-3</v>
      </c>
      <c r="AD236" s="2">
        <f t="shared" ca="1" si="32"/>
        <v>45353</v>
      </c>
      <c r="AE236">
        <f t="shared" ca="1" si="33"/>
        <v>0</v>
      </c>
      <c r="AG236" s="65">
        <f t="shared" ca="1" si="37"/>
        <v>74.089437156220143</v>
      </c>
      <c r="AH236" s="65">
        <f t="shared" ca="1" si="38"/>
        <v>74.089437156220143</v>
      </c>
      <c r="AI236" s="3">
        <f t="shared" ca="1" si="39"/>
        <v>0</v>
      </c>
    </row>
    <row r="237" spans="7:35" x14ac:dyDescent="0.3">
      <c r="G237" s="3">
        <f t="shared" ca="1" si="34"/>
        <v>19</v>
      </c>
      <c r="H237" s="97">
        <f t="shared" ca="1" si="36"/>
        <v>45309</v>
      </c>
      <c r="I237" s="121">
        <f ca="1">HLOOKUP($H$4,'Met Data'!$A$2:$F$368,G237,FALSE)</f>
        <v>17.954166666666602</v>
      </c>
      <c r="J237" s="121">
        <f ca="1">HLOOKUP($H$4,'Met Data'!$H$2:$M$368,G237,FALSE)*L237</f>
        <v>4.1499999999999897</v>
      </c>
      <c r="K237" s="98">
        <f ca="1">HLOOKUP($H$4,'Met Data'!$O$2:$T$368,G237,FALSE)</f>
        <v>3.9046074195490301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45354</v>
      </c>
      <c r="Q237">
        <f ca="1"/>
        <v>74.505905207322485</v>
      </c>
      <c r="R237">
        <f ca="1"/>
        <v>0.218456416663523</v>
      </c>
      <c r="S237">
        <f ca="1"/>
        <v>0.72888944183130444</v>
      </c>
      <c r="T237">
        <f ca="1"/>
        <v>0.11871724719940836</v>
      </c>
      <c r="U237">
        <f ca="1"/>
        <v>0</v>
      </c>
      <c r="V237">
        <f ca="1"/>
        <v>4.0382155761624601</v>
      </c>
      <c r="W237">
        <f ca="1"/>
        <v>3.69421943448936</v>
      </c>
      <c r="X237">
        <f ca="1"/>
        <v>0</v>
      </c>
      <c r="Y237">
        <f ca="1"/>
        <v>0.52255834963077974</v>
      </c>
      <c r="Z237">
        <f ca="1"/>
        <v>0</v>
      </c>
      <c r="AA237">
        <f ca="1"/>
        <v>0</v>
      </c>
      <c r="AB237">
        <f ca="1"/>
        <v>1.14406585880121E-2</v>
      </c>
      <c r="AD237" s="2">
        <f t="shared" ca="1" si="32"/>
        <v>45354</v>
      </c>
      <c r="AE237">
        <f t="shared" ca="1" si="33"/>
        <v>0</v>
      </c>
      <c r="AG237" s="65">
        <f t="shared" ca="1" si="37"/>
        <v>74.724361623986013</v>
      </c>
      <c r="AH237" s="65">
        <f t="shared" ca="1" si="38"/>
        <v>74.724361623986013</v>
      </c>
      <c r="AI237" s="3">
        <f t="shared" ca="1" si="39"/>
        <v>0</v>
      </c>
    </row>
    <row r="238" spans="7:35" x14ac:dyDescent="0.3">
      <c r="G238" s="3">
        <f t="shared" ca="1" si="34"/>
        <v>20</v>
      </c>
      <c r="H238" s="97">
        <f t="shared" ca="1" si="36"/>
        <v>45310</v>
      </c>
      <c r="I238" s="121">
        <f ca="1">HLOOKUP($H$4,'Met Data'!$A$2:$F$368,G238,FALSE)</f>
        <v>18.454166666666602</v>
      </c>
      <c r="J238" s="121">
        <f ca="1">HLOOKUP($H$4,'Met Data'!$H$2:$M$368,G238,FALSE)*L238</f>
        <v>2.5166666666666599</v>
      </c>
      <c r="K238" s="98">
        <f ca="1">HLOOKUP($H$4,'Met Data'!$O$2:$T$368,G238,FALSE)</f>
        <v>4.0894627552594898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45355</v>
      </c>
      <c r="Q238">
        <f ca="1"/>
        <v>75.080036146726741</v>
      </c>
      <c r="R238">
        <f ca="1"/>
        <v>0.23533059144912899</v>
      </c>
      <c r="S238">
        <f ca="1"/>
        <v>0.68512180199816064</v>
      </c>
      <c r="T238">
        <f ca="1"/>
        <v>0.12433972885521558</v>
      </c>
      <c r="U238">
        <f ca="1"/>
        <v>0</v>
      </c>
      <c r="V238">
        <f ca="1"/>
        <v>4.27354616761159</v>
      </c>
      <c r="W238">
        <f ca="1"/>
        <v>3.9095033459261601</v>
      </c>
      <c r="X238">
        <f ca="1"/>
        <v>0</v>
      </c>
      <c r="Y238">
        <f ca="1"/>
        <v>0.5381201880483607</v>
      </c>
      <c r="Z238">
        <f ca="1"/>
        <v>0</v>
      </c>
      <c r="AA238">
        <f ca="1"/>
        <v>0</v>
      </c>
      <c r="AB238">
        <f ca="1"/>
        <v>1.36792240934475E-2</v>
      </c>
      <c r="AD238" s="2">
        <f t="shared" ca="1" si="32"/>
        <v>45355</v>
      </c>
      <c r="AE238">
        <f t="shared" ca="1" si="33"/>
        <v>0</v>
      </c>
      <c r="AG238" s="65">
        <f t="shared" ca="1" si="37"/>
        <v>75.315366738175868</v>
      </c>
      <c r="AH238" s="65">
        <f t="shared" ca="1" si="38"/>
        <v>75.315366738175868</v>
      </c>
      <c r="AI238" s="3">
        <f t="shared" ca="1" si="39"/>
        <v>0</v>
      </c>
    </row>
    <row r="239" spans="7:35" x14ac:dyDescent="0.3">
      <c r="G239" s="3">
        <f t="shared" ca="1" si="34"/>
        <v>21</v>
      </c>
      <c r="H239" s="97">
        <f t="shared" ca="1" si="36"/>
        <v>45311</v>
      </c>
      <c r="I239" s="121">
        <f ca="1">HLOOKUP($H$4,'Met Data'!$A$2:$F$368,G239,FALSE)</f>
        <v>18.125</v>
      </c>
      <c r="J239" s="121">
        <f ca="1">HLOOKUP($H$4,'Met Data'!$H$2:$M$368,G239,FALSE)*L239</f>
        <v>3.3333333333333299</v>
      </c>
      <c r="K239" s="98">
        <f ca="1">HLOOKUP($H$4,'Met Data'!$O$2:$T$368,G239,FALSE)</f>
        <v>4.4627747616983804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45356</v>
      </c>
      <c r="Q239">
        <f ca="1"/>
        <v>75.556678752149182</v>
      </c>
      <c r="R239">
        <f ca="1"/>
        <v>0.24140671763758401</v>
      </c>
      <c r="S239">
        <f ca="1"/>
        <v>0.59758768364880843</v>
      </c>
      <c r="T239">
        <f ca="1"/>
        <v>0.12046163941122798</v>
      </c>
      <c r="U239">
        <f ca="1"/>
        <v>0</v>
      </c>
      <c r="V239">
        <f ca="1"/>
        <v>4.5149528852491798</v>
      </c>
      <c r="W239">
        <f ca="1"/>
        <v>4.1303457876168403</v>
      </c>
      <c r="X239">
        <f ca="1"/>
        <v>0</v>
      </c>
      <c r="Y239">
        <f ca="1"/>
        <v>0.54296285932503163</v>
      </c>
      <c r="Z239">
        <f ca="1"/>
        <v>0</v>
      </c>
      <c r="AA239">
        <f ca="1"/>
        <v>0</v>
      </c>
      <c r="AB239">
        <f ca="1"/>
        <v>1.6265557164542001E-2</v>
      </c>
      <c r="AD239" s="2">
        <f t="shared" ca="1" si="32"/>
        <v>45356</v>
      </c>
      <c r="AE239">
        <f t="shared" ca="1" si="33"/>
        <v>0</v>
      </c>
      <c r="AG239" s="65">
        <f t="shared" ca="1" si="37"/>
        <v>75.798085469786784</v>
      </c>
      <c r="AH239" s="65">
        <f t="shared" ca="1" si="38"/>
        <v>75.79808546978677</v>
      </c>
      <c r="AI239" s="3">
        <f t="shared" ca="1" si="39"/>
        <v>0</v>
      </c>
    </row>
    <row r="240" spans="7:35" x14ac:dyDescent="0.3">
      <c r="G240" s="3">
        <f t="shared" ca="1" si="34"/>
        <v>22</v>
      </c>
      <c r="H240" s="97">
        <f t="shared" ca="1" si="36"/>
        <v>45312</v>
      </c>
      <c r="I240" s="121">
        <f ca="1">HLOOKUP($H$4,'Met Data'!$A$2:$F$368,G240,FALSE)</f>
        <v>17.6791666666666</v>
      </c>
      <c r="J240" s="121">
        <f ca="1">HLOOKUP($H$4,'Met Data'!$H$2:$M$368,G240,FALSE)*L240</f>
        <v>2.4</v>
      </c>
      <c r="K240" s="98">
        <f ca="1">HLOOKUP($H$4,'Met Data'!$O$2:$T$368,G240,FALSE)</f>
        <v>3.8954755691343999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45357</v>
      </c>
      <c r="Q240">
        <f ca="1"/>
        <v>75.984251001161198</v>
      </c>
      <c r="R240">
        <f ca="1"/>
        <v>0.25133750128887999</v>
      </c>
      <c r="S240">
        <f ca="1"/>
        <v>0.55559116581025481</v>
      </c>
      <c r="T240">
        <f ca="1"/>
        <v>0.12331858449063601</v>
      </c>
      <c r="U240">
        <f ca="1"/>
        <v>0</v>
      </c>
      <c r="V240">
        <f ca="1"/>
        <v>4.7662903865380599</v>
      </c>
      <c r="W240">
        <f ca="1"/>
        <v>4.3602730573144397</v>
      </c>
      <c r="X240">
        <f ca="1"/>
        <v>0</v>
      </c>
      <c r="Y240">
        <f ca="1"/>
        <v>0.57322505307384286</v>
      </c>
      <c r="Z240">
        <f ca="1"/>
        <v>0</v>
      </c>
      <c r="AA240">
        <f ca="1"/>
        <v>0</v>
      </c>
      <c r="AB240">
        <f ca="1"/>
        <v>1.92885917768729E-2</v>
      </c>
      <c r="AD240" s="2">
        <f t="shared" ca="1" si="32"/>
        <v>45357</v>
      </c>
      <c r="AE240">
        <f t="shared" ca="1" si="33"/>
        <v>0</v>
      </c>
      <c r="AG240" s="65">
        <f t="shared" ca="1" si="37"/>
        <v>76.235588502450071</v>
      </c>
      <c r="AH240" s="65">
        <f t="shared" ca="1" si="38"/>
        <v>76.235588502450071</v>
      </c>
      <c r="AI240" s="3">
        <f t="shared" ca="1" si="39"/>
        <v>0</v>
      </c>
    </row>
    <row r="241" spans="7:35" x14ac:dyDescent="0.3">
      <c r="G241" s="3">
        <f t="shared" ca="1" si="34"/>
        <v>23</v>
      </c>
      <c r="H241" s="97">
        <f t="shared" ca="1" si="36"/>
        <v>45313</v>
      </c>
      <c r="I241" s="121">
        <f ca="1">HLOOKUP($H$4,'Met Data'!$A$2:$F$368,G241,FALSE)</f>
        <v>17.350000000000001</v>
      </c>
      <c r="J241" s="121">
        <f ca="1">HLOOKUP($H$4,'Met Data'!$H$2:$M$368,G241,FALSE)*L241</f>
        <v>2.6333333333333302</v>
      </c>
      <c r="K241" s="98">
        <f ca="1">HLOOKUP($H$4,'Met Data'!$O$2:$T$368,G241,FALSE)</f>
        <v>3.2997711779398098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45358</v>
      </c>
      <c r="Q241">
        <f ca="1"/>
        <v>76.335406984418995</v>
      </c>
      <c r="R241">
        <f ca="1"/>
        <v>0.265849455480131</v>
      </c>
      <c r="S241">
        <f ca="1"/>
        <v>0.4934100814433236</v>
      </c>
      <c r="T241">
        <f ca="1"/>
        <v>0.12359535729460244</v>
      </c>
      <c r="U241">
        <f ca="1"/>
        <v>0</v>
      </c>
      <c r="V241">
        <f ca="1"/>
        <v>5.0321398420181902</v>
      </c>
      <c r="W241">
        <f ca="1"/>
        <v>4.6034760776981196</v>
      </c>
      <c r="X241">
        <f ca="1"/>
        <v>0</v>
      </c>
      <c r="Y241">
        <f ca="1"/>
        <v>0.5716850099370292</v>
      </c>
      <c r="Z241">
        <f ca="1"/>
        <v>0</v>
      </c>
      <c r="AA241">
        <f ca="1"/>
        <v>0</v>
      </c>
      <c r="AB241">
        <f ca="1"/>
        <v>2.28732622932423E-2</v>
      </c>
      <c r="AD241" s="2">
        <f t="shared" ca="1" si="32"/>
        <v>45358</v>
      </c>
      <c r="AE241">
        <f t="shared" ca="1" si="33"/>
        <v>0</v>
      </c>
      <c r="AG241" s="65">
        <f t="shared" ca="1" si="37"/>
        <v>76.601256439899132</v>
      </c>
      <c r="AH241" s="65">
        <f t="shared" ca="1" si="38"/>
        <v>76.601256439899132</v>
      </c>
      <c r="AI241" s="3">
        <f t="shared" ca="1" si="39"/>
        <v>0</v>
      </c>
    </row>
    <row r="242" spans="7:35" x14ac:dyDescent="0.3">
      <c r="G242" s="3">
        <f t="shared" ca="1" si="34"/>
        <v>24</v>
      </c>
      <c r="H242" s="97">
        <f t="shared" ca="1" si="36"/>
        <v>45314</v>
      </c>
      <c r="I242" s="121">
        <f ca="1">HLOOKUP($H$4,'Met Data'!$A$2:$F$368,G242,FALSE)</f>
        <v>17.504166666666599</v>
      </c>
      <c r="J242" s="121">
        <f ca="1">HLOOKUP($H$4,'Met Data'!$H$2:$M$368,G242,FALSE)*L242</f>
        <v>5.5166666666666604</v>
      </c>
      <c r="K242" s="98">
        <f ca="1">HLOOKUP($H$4,'Met Data'!$O$2:$T$368,G242,FALSE)</f>
        <v>3.46570930270954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45359</v>
      </c>
      <c r="Q242">
        <f ca="1"/>
        <v>76.601569605457087</v>
      </c>
      <c r="R242">
        <f ca="1"/>
        <v>0.276233658096811</v>
      </c>
      <c r="S242">
        <f ca="1"/>
        <v>0.42291080774385292</v>
      </c>
      <c r="T242">
        <f ca="1"/>
        <v>0.11948547139104435</v>
      </c>
      <c r="U242">
        <f ca="1"/>
        <v>0</v>
      </c>
      <c r="V242">
        <f ca="1"/>
        <v>5.3083735001149996</v>
      </c>
      <c r="W242">
        <f ca="1"/>
        <v>4.8561787204755698</v>
      </c>
      <c r="X242">
        <f ca="1"/>
        <v>0</v>
      </c>
      <c r="Y242">
        <f ca="1"/>
        <v>0.55995974072678756</v>
      </c>
      <c r="Z242">
        <f ca="1"/>
        <v>0</v>
      </c>
      <c r="AA242">
        <f ca="1"/>
        <v>0</v>
      </c>
      <c r="AB242">
        <f ca="1"/>
        <v>2.70416384251588E-2</v>
      </c>
      <c r="AD242" s="2">
        <f t="shared" ca="1" si="32"/>
        <v>45359</v>
      </c>
      <c r="AE242">
        <f t="shared" ca="1" si="33"/>
        <v>0</v>
      </c>
      <c r="AG242" s="65">
        <f t="shared" ca="1" si="37"/>
        <v>76.877803263553886</v>
      </c>
      <c r="AH242" s="65">
        <f t="shared" ca="1" si="38"/>
        <v>76.877803263553901</v>
      </c>
      <c r="AI242" s="3">
        <f t="shared" ca="1" si="39"/>
        <v>0</v>
      </c>
    </row>
    <row r="243" spans="7:35" x14ac:dyDescent="0.3">
      <c r="G243" s="3">
        <f t="shared" ca="1" si="34"/>
        <v>25</v>
      </c>
      <c r="H243" s="97">
        <f t="shared" ca="1" si="36"/>
        <v>45315</v>
      </c>
      <c r="I243" s="121">
        <f ca="1">HLOOKUP($H$4,'Met Data'!$A$2:$F$368,G243,FALSE)</f>
        <v>17.713636363636301</v>
      </c>
      <c r="J243" s="121">
        <f ca="1">HLOOKUP($H$4,'Met Data'!$H$2:$M$368,G243,FALSE)*L243</f>
        <v>1.3818181818181801</v>
      </c>
      <c r="K243" s="98">
        <f ca="1">HLOOKUP($H$4,'Met Data'!$O$2:$T$368,G243,FALSE)</f>
        <v>4.0186876239346203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45360</v>
      </c>
      <c r="Q243">
        <f ca="1"/>
        <v>76.81483605964786</v>
      </c>
      <c r="R243">
        <f ca="1"/>
        <v>0.29924813609303003</v>
      </c>
      <c r="S243">
        <f ca="1"/>
        <v>0.38845132443654878</v>
      </c>
      <c r="T243">
        <f ca="1"/>
        <v>0.12406326584726492</v>
      </c>
      <c r="U243">
        <f ca="1"/>
        <v>0</v>
      </c>
      <c r="V243">
        <f ca="1"/>
        <v>5.6076216362080302</v>
      </c>
      <c r="W243">
        <f ca="1"/>
        <v>5.1299353486791999</v>
      </c>
      <c r="X243">
        <f ca="1"/>
        <v>0</v>
      </c>
      <c r="Y243">
        <f ca="1"/>
        <v>0.56143256371197758</v>
      </c>
      <c r="Z243">
        <f ca="1"/>
        <v>0</v>
      </c>
      <c r="AA243">
        <f ca="1"/>
        <v>0</v>
      </c>
      <c r="AB243">
        <f ca="1"/>
        <v>3.2092853389606803E-2</v>
      </c>
      <c r="AD243" s="2">
        <f t="shared" ca="1" si="32"/>
        <v>45360</v>
      </c>
      <c r="AE243">
        <f t="shared" ca="1" si="33"/>
        <v>0</v>
      </c>
      <c r="AG243" s="65">
        <f t="shared" ca="1" si="37"/>
        <v>77.114084195740901</v>
      </c>
      <c r="AH243" s="65">
        <f t="shared" ca="1" si="38"/>
        <v>77.114084195740887</v>
      </c>
      <c r="AI243" s="3">
        <f t="shared" ca="1" si="39"/>
        <v>0</v>
      </c>
    </row>
    <row r="244" spans="7:35" x14ac:dyDescent="0.3">
      <c r="G244" s="3">
        <f t="shared" ca="1" si="34"/>
        <v>26</v>
      </c>
      <c r="H244" s="97">
        <f t="shared" ca="1" si="36"/>
        <v>45316</v>
      </c>
      <c r="I244" s="121">
        <f ca="1">HLOOKUP($H$4,'Met Data'!$A$2:$F$368,G244,FALSE)</f>
        <v>17.8541666666666</v>
      </c>
      <c r="J244" s="121">
        <f ca="1">HLOOKUP($H$4,'Met Data'!$H$2:$M$368,G244,FALSE)*L244</f>
        <v>0.46666666666666601</v>
      </c>
      <c r="K244" s="98">
        <f ca="1">HLOOKUP($H$4,'Met Data'!$O$2:$T$368,G244,FALSE)</f>
        <v>4.1496250953293998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45361</v>
      </c>
      <c r="Q244">
        <f ca="1"/>
        <v>76.976883315258149</v>
      </c>
      <c r="R244">
        <f ca="1"/>
        <v>0.30859531595921302</v>
      </c>
      <c r="S244">
        <f ca="1"/>
        <v>0.34737973129376959</v>
      </c>
      <c r="T244">
        <f ca="1"/>
        <v>0.12326284027572745</v>
      </c>
      <c r="U244">
        <f ca="1"/>
        <v>0</v>
      </c>
      <c r="V244">
        <f ca="1"/>
        <v>5.9162169521672396</v>
      </c>
      <c r="W244">
        <f ca="1"/>
        <v>5.4122429155011398</v>
      </c>
      <c r="X244">
        <f ca="1"/>
        <v>0</v>
      </c>
      <c r="Y244">
        <f ca="1"/>
        <v>0.57785439767312996</v>
      </c>
      <c r="Z244">
        <f ca="1"/>
        <v>0</v>
      </c>
      <c r="AA244">
        <f ca="1"/>
        <v>0</v>
      </c>
      <c r="AB244">
        <f ca="1"/>
        <v>3.7911733379482102E-2</v>
      </c>
      <c r="AD244" s="2">
        <f t="shared" ca="1" si="32"/>
        <v>45361</v>
      </c>
      <c r="AE244">
        <f t="shared" ca="1" si="33"/>
        <v>0</v>
      </c>
      <c r="AG244" s="65">
        <f t="shared" ca="1" si="37"/>
        <v>77.285478631217359</v>
      </c>
      <c r="AH244" s="65">
        <f t="shared" ca="1" si="38"/>
        <v>77.285478631217359</v>
      </c>
      <c r="AI244" s="3">
        <f t="shared" ca="1" si="39"/>
        <v>0</v>
      </c>
    </row>
    <row r="245" spans="7:35" x14ac:dyDescent="0.3">
      <c r="G245" s="3">
        <f t="shared" ca="1" si="34"/>
        <v>27</v>
      </c>
      <c r="H245" s="97">
        <f t="shared" ca="1" si="36"/>
        <v>45317</v>
      </c>
      <c r="I245" s="121">
        <f ca="1">HLOOKUP($H$4,'Met Data'!$A$2:$F$368,G245,FALSE)</f>
        <v>18.933333333333302</v>
      </c>
      <c r="J245" s="121">
        <f ca="1">HLOOKUP($H$4,'Met Data'!$H$2:$M$368,G245,FALSE)*L245</f>
        <v>1.8</v>
      </c>
      <c r="K245" s="98">
        <f ca="1">HLOOKUP($H$4,'Met Data'!$O$2:$T$368,G245,FALSE)</f>
        <v>4.1034832888531598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45362</v>
      </c>
      <c r="Q245">
        <f ca="1"/>
        <v>77.083786418613343</v>
      </c>
      <c r="R245">
        <f ca="1"/>
        <v>0.32782069168377198</v>
      </c>
      <c r="S245">
        <f ca="1"/>
        <v>0.31027191696041823</v>
      </c>
      <c r="T245">
        <f ca="1"/>
        <v>0.12445187807855279</v>
      </c>
      <c r="U245">
        <f ca="1"/>
        <v>0</v>
      </c>
      <c r="V245">
        <f ca="1"/>
        <v>6.2440376438510103</v>
      </c>
      <c r="W245">
        <f ca="1"/>
        <v>5.7121381408563003</v>
      </c>
      <c r="X245">
        <f ca="1"/>
        <v>0</v>
      </c>
      <c r="Y245">
        <f ca="1"/>
        <v>0.57686992361282807</v>
      </c>
      <c r="Z245">
        <f ca="1"/>
        <v>0</v>
      </c>
      <c r="AA245">
        <f ca="1"/>
        <v>0</v>
      </c>
      <c r="AB245">
        <f ca="1"/>
        <v>4.4799304496984702E-2</v>
      </c>
      <c r="AD245" s="2">
        <f t="shared" ca="1" si="32"/>
        <v>45362</v>
      </c>
      <c r="AE245">
        <f t="shared" ca="1" si="33"/>
        <v>0</v>
      </c>
      <c r="AG245" s="65">
        <f t="shared" ca="1" si="37"/>
        <v>77.411607110297126</v>
      </c>
      <c r="AH245" s="65">
        <f t="shared" ca="1" si="38"/>
        <v>77.411607110297112</v>
      </c>
      <c r="AI245" s="3">
        <f t="shared" ca="1" si="39"/>
        <v>0</v>
      </c>
    </row>
    <row r="246" spans="7:35" x14ac:dyDescent="0.3">
      <c r="G246" s="3">
        <f t="shared" ca="1" si="34"/>
        <v>28</v>
      </c>
      <c r="H246" s="97">
        <f t="shared" ca="1" si="36"/>
        <v>45318</v>
      </c>
      <c r="I246" s="121">
        <f ca="1">HLOOKUP($H$4,'Met Data'!$A$2:$F$368,G246,FALSE)</f>
        <v>18.524999999999999</v>
      </c>
      <c r="J246" s="121">
        <f ca="1">HLOOKUP($H$4,'Met Data'!$H$2:$M$368,G246,FALSE)*L246</f>
        <v>4.2166666666666597</v>
      </c>
      <c r="K246" s="98">
        <f ca="1">HLOOKUP($H$4,'Met Data'!$O$2:$T$368,G246,FALSE)</f>
        <v>3.2920480795367801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45363</v>
      </c>
      <c r="Q246">
        <f ca="1"/>
        <v>77.131431334768166</v>
      </c>
      <c r="R246">
        <f ca="1"/>
        <v>0.322060144319396</v>
      </c>
      <c r="S246">
        <f ca="1"/>
        <v>0.25595498313700538</v>
      </c>
      <c r="T246">
        <f ca="1"/>
        <v>0.11375007733721537</v>
      </c>
      <c r="U246">
        <f ca="1"/>
        <v>0</v>
      </c>
      <c r="V246">
        <f ca="1"/>
        <v>6.5660977881704099</v>
      </c>
      <c r="W246">
        <f ca="1"/>
        <v>6.0067635321410799</v>
      </c>
      <c r="X246">
        <f ca="1"/>
        <v>0</v>
      </c>
      <c r="Y246">
        <f ca="1"/>
        <v>0.57464788911680165</v>
      </c>
      <c r="Z246">
        <f ca="1"/>
        <v>0</v>
      </c>
      <c r="AA246">
        <f ca="1"/>
        <v>0</v>
      </c>
      <c r="AB246">
        <f ca="1"/>
        <v>5.2298760764061702E-2</v>
      </c>
      <c r="AD246" s="2">
        <f t="shared" ca="1" si="32"/>
        <v>45363</v>
      </c>
      <c r="AE246">
        <f t="shared" ca="1" si="33"/>
        <v>0</v>
      </c>
      <c r="AG246" s="65">
        <f t="shared" ca="1" si="37"/>
        <v>77.45349147908756</v>
      </c>
      <c r="AH246" s="65">
        <f t="shared" ca="1" si="38"/>
        <v>77.45349147908756</v>
      </c>
      <c r="AI246" s="3">
        <f t="shared" ca="1" si="39"/>
        <v>0</v>
      </c>
    </row>
    <row r="247" spans="7:35" x14ac:dyDescent="0.3">
      <c r="G247" s="3">
        <f t="shared" ca="1" si="34"/>
        <v>29</v>
      </c>
      <c r="H247" s="97">
        <f t="shared" ca="1" si="36"/>
        <v>45319</v>
      </c>
      <c r="I247" s="121">
        <f ca="1">HLOOKUP($H$4,'Met Data'!$A$2:$F$368,G247,FALSE)</f>
        <v>18.283333333333299</v>
      </c>
      <c r="J247" s="121">
        <f ca="1">HLOOKUP($H$4,'Met Data'!$H$2:$M$368,G247,FALSE)*L247</f>
        <v>0.96666666666666601</v>
      </c>
      <c r="K247" s="98">
        <f ca="1">HLOOKUP($H$4,'Met Data'!$O$2:$T$368,G247,FALSE)</f>
        <v>3.7580315328576899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45364</v>
      </c>
      <c r="Q247">
        <f ca="1"/>
        <v>77.130716249144939</v>
      </c>
      <c r="R247">
        <f ca="1"/>
        <v>0.34954103959995297</v>
      </c>
      <c r="S247">
        <f ca="1"/>
        <v>0.23199135614016891</v>
      </c>
      <c r="T247">
        <f ca="1"/>
        <v>0.11683459783655588</v>
      </c>
      <c r="U247">
        <f ca="1"/>
        <v>0</v>
      </c>
      <c r="V247">
        <f ca="1"/>
        <v>6.9156388277703602</v>
      </c>
      <c r="W247">
        <f ca="1"/>
        <v>6.3265288535528903</v>
      </c>
      <c r="X247">
        <f ca="1"/>
        <v>0</v>
      </c>
      <c r="Y247">
        <f ca="1"/>
        <v>0.56369492022340606</v>
      </c>
      <c r="Z247">
        <f ca="1"/>
        <v>0</v>
      </c>
      <c r="AA247">
        <f ca="1"/>
        <v>0</v>
      </c>
      <c r="AB247">
        <f ca="1"/>
        <v>6.1283155799092798E-2</v>
      </c>
      <c r="AD247" s="2">
        <f t="shared" ca="1" si="32"/>
        <v>45364</v>
      </c>
      <c r="AE247">
        <f t="shared" ca="1" si="33"/>
        <v>0</v>
      </c>
      <c r="AG247" s="65">
        <f t="shared" ca="1" si="37"/>
        <v>77.480257288744895</v>
      </c>
      <c r="AH247" s="65">
        <f t="shared" ca="1" si="38"/>
        <v>77.480257288744895</v>
      </c>
      <c r="AI247" s="3">
        <f t="shared" ca="1" si="39"/>
        <v>0</v>
      </c>
    </row>
    <row r="248" spans="7:35" x14ac:dyDescent="0.3">
      <c r="G248" s="3">
        <f t="shared" ca="1" si="34"/>
        <v>30</v>
      </c>
      <c r="H248" s="97">
        <f t="shared" ca="1" si="36"/>
        <v>45320</v>
      </c>
      <c r="I248" s="121">
        <f ca="1">HLOOKUP($H$4,'Met Data'!$A$2:$F$368,G248,FALSE)</f>
        <v>18.95</v>
      </c>
      <c r="J248" s="121">
        <f ca="1">HLOOKUP($H$4,'Met Data'!$H$2:$M$368,G248,FALSE)*L248</f>
        <v>0.233333333333333</v>
      </c>
      <c r="K248" s="98">
        <f ca="1">HLOOKUP($H$4,'Met Data'!$O$2:$T$368,G248,FALSE)</f>
        <v>4.4825712398856101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45365</v>
      </c>
      <c r="Q248">
        <f ca="1"/>
        <v>77.079439223271947</v>
      </c>
      <c r="R248">
        <f ca="1"/>
        <v>0.39441339094407801</v>
      </c>
      <c r="S248">
        <f ca="1"/>
        <v>0.21732102947663265</v>
      </c>
      <c r="T248">
        <f ca="1"/>
        <v>0.12581533559444963</v>
      </c>
      <c r="U248">
        <f ca="1"/>
        <v>0</v>
      </c>
      <c r="V248">
        <f ca="1"/>
        <v>7.3100522187144401</v>
      </c>
      <c r="W248">
        <f ca="1"/>
        <v>6.6873440667498798</v>
      </c>
      <c r="X248">
        <f ca="1"/>
        <v>0</v>
      </c>
      <c r="Y248">
        <f ca="1"/>
        <v>0.55188433279388116</v>
      </c>
      <c r="Z248">
        <f ca="1"/>
        <v>0</v>
      </c>
      <c r="AA248">
        <f ca="1"/>
        <v>0</v>
      </c>
      <c r="AB248">
        <f ca="1"/>
        <v>7.2498960168544097E-2</v>
      </c>
      <c r="AD248" s="2">
        <f t="shared" ca="1" si="32"/>
        <v>45365</v>
      </c>
      <c r="AE248">
        <f t="shared" ca="1" si="33"/>
        <v>0</v>
      </c>
      <c r="AG248" s="65">
        <f t="shared" ca="1" si="37"/>
        <v>77.473852614216028</v>
      </c>
      <c r="AH248" s="65">
        <f t="shared" ca="1" si="38"/>
        <v>77.473852614216028</v>
      </c>
      <c r="AI248" s="3">
        <f t="shared" ca="1" si="39"/>
        <v>0</v>
      </c>
    </row>
    <row r="249" spans="7:35" x14ac:dyDescent="0.3">
      <c r="G249" s="3">
        <f t="shared" ca="1" si="34"/>
        <v>31</v>
      </c>
      <c r="H249" s="97">
        <f t="shared" ca="1" si="36"/>
        <v>45321</v>
      </c>
      <c r="I249" s="121">
        <f ca="1">HLOOKUP($H$4,'Met Data'!$A$2:$F$368,G249,FALSE)</f>
        <v>19.070833333333301</v>
      </c>
      <c r="J249" s="121">
        <f ca="1">HLOOKUP($H$4,'Met Data'!$H$2:$M$368,G249,FALSE)*L249</f>
        <v>1.45</v>
      </c>
      <c r="K249" s="98">
        <f ca="1">HLOOKUP($H$4,'Met Data'!$O$2:$T$368,G249,FALSE)</f>
        <v>4.1485395322845697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45366</v>
      </c>
      <c r="Q249">
        <f ca="1"/>
        <v>76.982970738634279</v>
      </c>
      <c r="R249">
        <f ca="1"/>
        <v>0.43611808985000799</v>
      </c>
      <c r="S249">
        <f ca="1"/>
        <v>0.20459414460620901</v>
      </c>
      <c r="T249">
        <f ca="1"/>
        <v>0.13505546060612447</v>
      </c>
      <c r="U249">
        <f ca="1"/>
        <v>0</v>
      </c>
      <c r="V249">
        <f ca="1"/>
        <v>7.7461703085644498</v>
      </c>
      <c r="W249">
        <f ca="1"/>
        <v>7.0863113563534004</v>
      </c>
      <c r="X249">
        <f ca="1"/>
        <v>0</v>
      </c>
      <c r="Y249">
        <f ca="1"/>
        <v>0.55897837431160413</v>
      </c>
      <c r="Z249">
        <f ca="1"/>
        <v>0</v>
      </c>
      <c r="AA249">
        <f ca="1"/>
        <v>0</v>
      </c>
      <c r="AB249">
        <f ca="1"/>
        <v>8.6247144210464102E-2</v>
      </c>
      <c r="AD249" s="2">
        <f t="shared" ca="1" si="32"/>
        <v>45366</v>
      </c>
      <c r="AE249">
        <f t="shared" ca="1" si="33"/>
        <v>0</v>
      </c>
      <c r="AG249" s="65">
        <f t="shared" ca="1" si="37"/>
        <v>77.419088828484277</v>
      </c>
      <c r="AH249" s="65">
        <f t="shared" ca="1" si="38"/>
        <v>77.419088828484291</v>
      </c>
      <c r="AI249" s="3">
        <f t="shared" ca="1" si="39"/>
        <v>0</v>
      </c>
    </row>
    <row r="250" spans="7:35" x14ac:dyDescent="0.3">
      <c r="G250" s="3">
        <f t="shared" ca="1" si="34"/>
        <v>32</v>
      </c>
      <c r="H250" s="97">
        <f t="shared" ca="1" si="36"/>
        <v>45322</v>
      </c>
      <c r="I250" s="121">
        <f ca="1">HLOOKUP($H$4,'Met Data'!$A$2:$F$368,G250,FALSE)</f>
        <v>18.716666666666601</v>
      </c>
      <c r="J250" s="121">
        <f ca="1">HLOOKUP($H$4,'Met Data'!$H$2:$M$368,G250,FALSE)*L250</f>
        <v>1.6666666666666601E-2</v>
      </c>
      <c r="K250" s="98">
        <f ca="1">HLOOKUP($H$4,'Met Data'!$O$2:$T$368,G250,FALSE)</f>
        <v>3.9002627778438899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45367</v>
      </c>
      <c r="Q250">
        <f ca="1"/>
        <v>76.847231701585983</v>
      </c>
      <c r="R250">
        <f ca="1"/>
        <v>0.41663211144060203</v>
      </c>
      <c r="S250">
        <f ca="1"/>
        <v>0.1626369474521859</v>
      </c>
      <c r="T250">
        <f ca="1"/>
        <v>0.11825612694012023</v>
      </c>
      <c r="U250">
        <f ca="1"/>
        <v>0</v>
      </c>
      <c r="V250">
        <f ca="1"/>
        <v>8.1628024200050504</v>
      </c>
      <c r="W250">
        <f ca="1"/>
        <v>7.46745258422684</v>
      </c>
      <c r="X250">
        <f ca="1"/>
        <v>0</v>
      </c>
      <c r="Y250">
        <f ca="1"/>
        <v>0.55668698328164423</v>
      </c>
      <c r="Z250">
        <f ca="1"/>
        <v>0</v>
      </c>
      <c r="AA250">
        <f ca="1"/>
        <v>0</v>
      </c>
      <c r="AB250">
        <f ca="1"/>
        <v>0.10070144035699299</v>
      </c>
      <c r="AD250" s="2">
        <f t="shared" ca="1" si="32"/>
        <v>45367</v>
      </c>
      <c r="AE250">
        <f t="shared" ca="1" si="33"/>
        <v>0</v>
      </c>
      <c r="AG250" s="65">
        <f t="shared" ca="1" si="37"/>
        <v>77.263863813026589</v>
      </c>
      <c r="AH250" s="65">
        <f t="shared" ca="1" si="38"/>
        <v>77.263863813026589</v>
      </c>
      <c r="AI250" s="3">
        <f t="shared" ca="1" si="39"/>
        <v>0</v>
      </c>
    </row>
    <row r="251" spans="7:35" x14ac:dyDescent="0.3">
      <c r="G251" s="3">
        <f t="shared" ca="1" si="34"/>
        <v>33</v>
      </c>
      <c r="H251" s="97">
        <f t="shared" ca="1" si="36"/>
        <v>45323</v>
      </c>
      <c r="I251" s="121">
        <f ca="1">HLOOKUP($H$4,'Met Data'!$A$2:$F$368,G251,FALSE)</f>
        <v>18.720833333333299</v>
      </c>
      <c r="J251" s="121">
        <f ca="1">HLOOKUP($H$4,'Met Data'!$H$2:$M$368,G251,FALSE)*L251</f>
        <v>5.1333333333333302</v>
      </c>
      <c r="K251" s="98">
        <f ca="1">HLOOKUP($H$4,'Met Data'!$O$2:$T$368,G251,FALSE)</f>
        <v>3.3425533464765702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45368</v>
      </c>
      <c r="Q251">
        <f ca="1"/>
        <v>76.68629096194347</v>
      </c>
      <c r="R251">
        <f ca="1"/>
        <v>0.41790096060571202</v>
      </c>
      <c r="S251">
        <f ca="1"/>
        <v>0.14286181931016917</v>
      </c>
      <c r="T251">
        <f ca="1"/>
        <v>0.11409840165303776</v>
      </c>
      <c r="U251">
        <f ca="1"/>
        <v>0</v>
      </c>
      <c r="V251">
        <f ca="1"/>
        <v>8.5807033806107604</v>
      </c>
      <c r="W251">
        <f ca="1"/>
        <v>7.8497545741142902</v>
      </c>
      <c r="X251">
        <f ca="1"/>
        <v>0</v>
      </c>
      <c r="Y251">
        <f ca="1"/>
        <v>0.57361188892836823</v>
      </c>
      <c r="Z251">
        <f ca="1"/>
        <v>0</v>
      </c>
      <c r="AA251">
        <f ca="1"/>
        <v>0</v>
      </c>
      <c r="AB251">
        <f ca="1"/>
        <v>0.116477584519494</v>
      </c>
      <c r="AD251" s="2">
        <f t="shared" ca="1" si="32"/>
        <v>45368</v>
      </c>
      <c r="AE251">
        <f t="shared" ca="1" si="33"/>
        <v>0</v>
      </c>
      <c r="AG251" s="65">
        <f t="shared" ca="1" si="37"/>
        <v>77.104191922549191</v>
      </c>
      <c r="AH251" s="65">
        <f t="shared" ca="1" si="38"/>
        <v>77.104191922549177</v>
      </c>
      <c r="AI251" s="3">
        <f t="shared" ca="1" si="39"/>
        <v>0</v>
      </c>
    </row>
    <row r="252" spans="7:35" x14ac:dyDescent="0.3">
      <c r="G252" s="3">
        <f t="shared" ca="1" si="34"/>
        <v>34</v>
      </c>
      <c r="H252" s="97">
        <f t="shared" ca="1" si="36"/>
        <v>45324</v>
      </c>
      <c r="I252" s="121">
        <f ca="1">HLOOKUP($H$4,'Met Data'!$A$2:$F$368,G252,FALSE)</f>
        <v>18.558333333333302</v>
      </c>
      <c r="J252" s="121">
        <f ca="1">HLOOKUP($H$4,'Met Data'!$H$2:$M$368,G252,FALSE)*L252</f>
        <v>5.1666666666666599</v>
      </c>
      <c r="K252" s="98">
        <f ca="1">HLOOKUP($H$4,'Met Data'!$O$2:$T$368,G252,FALSE)</f>
        <v>3.37031285883524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45369</v>
      </c>
      <c r="Q252">
        <f ca="1"/>
        <v>76.48141387099669</v>
      </c>
      <c r="R252">
        <f ca="1"/>
        <v>0.45222146964034898</v>
      </c>
      <c r="S252">
        <f ca="1"/>
        <v>0.12993710329033126</v>
      </c>
      <c r="T252">
        <f ca="1"/>
        <v>0.11740727540323571</v>
      </c>
      <c r="U252">
        <f ca="1"/>
        <v>0</v>
      </c>
      <c r="V252">
        <f ca="1"/>
        <v>9.0329248502511099</v>
      </c>
      <c r="W252">
        <f ca="1"/>
        <v>8.2634534741186094</v>
      </c>
      <c r="X252">
        <f ca="1"/>
        <v>0</v>
      </c>
      <c r="Y252">
        <f ca="1"/>
        <v>0.56585469264585186</v>
      </c>
      <c r="Z252">
        <f ca="1"/>
        <v>0</v>
      </c>
      <c r="AA252">
        <f ca="1"/>
        <v>0</v>
      </c>
      <c r="AB252">
        <f ca="1"/>
        <v>0.13494863121716999</v>
      </c>
      <c r="AD252" s="2">
        <f t="shared" ca="1" si="32"/>
        <v>45369</v>
      </c>
      <c r="AE252">
        <f t="shared" ca="1" si="33"/>
        <v>0</v>
      </c>
      <c r="AG252" s="65">
        <f t="shared" ca="1" si="37"/>
        <v>76.933635340637039</v>
      </c>
      <c r="AH252" s="65">
        <f t="shared" ca="1" si="38"/>
        <v>76.933635340637039</v>
      </c>
      <c r="AI252" s="3">
        <f t="shared" ca="1" si="39"/>
        <v>0</v>
      </c>
    </row>
    <row r="253" spans="7:35" x14ac:dyDescent="0.3">
      <c r="G253" s="3">
        <f t="shared" ca="1" si="34"/>
        <v>35</v>
      </c>
      <c r="H253" s="97">
        <f t="shared" ca="1" si="36"/>
        <v>45325</v>
      </c>
      <c r="I253" s="121">
        <f ca="1">HLOOKUP($H$4,'Met Data'!$A$2:$F$368,G253,FALSE)</f>
        <v>18.841666666666601</v>
      </c>
      <c r="J253" s="121">
        <f ca="1">HLOOKUP($H$4,'Met Data'!$H$2:$M$368,G253,FALSE)*L253</f>
        <v>0.483333333333333</v>
      </c>
      <c r="K253" s="98">
        <f ca="1">HLOOKUP($H$4,'Met Data'!$O$2:$T$368,G253,FALSE)</f>
        <v>4.5373745966907704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45370</v>
      </c>
      <c r="Q253">
        <f ca="1"/>
        <v>76.229907614854767</v>
      </c>
      <c r="R253">
        <f ca="1"/>
        <v>0.485798977066281</v>
      </c>
      <c r="S253">
        <f ca="1"/>
        <v>0.11566751824643441</v>
      </c>
      <c r="T253">
        <f ca="1"/>
        <v>0.11862520267792177</v>
      </c>
      <c r="U253">
        <f ca="1"/>
        <v>0</v>
      </c>
      <c r="V253">
        <f ca="1"/>
        <v>9.5187238273173893</v>
      </c>
      <c r="W253">
        <f ca="1"/>
        <v>8.7078695753607196</v>
      </c>
      <c r="X253">
        <f ca="1"/>
        <v>0</v>
      </c>
      <c r="Y253">
        <f ca="1"/>
        <v>0.55202599505702876</v>
      </c>
      <c r="Z253">
        <f ca="1"/>
        <v>0</v>
      </c>
      <c r="AA253">
        <f ca="1"/>
        <v>0</v>
      </c>
      <c r="AB253">
        <f ca="1"/>
        <v>0.156333179203856</v>
      </c>
      <c r="AD253" s="2">
        <f t="shared" ca="1" si="32"/>
        <v>45370</v>
      </c>
      <c r="AE253">
        <f t="shared" ca="1" si="33"/>
        <v>0</v>
      </c>
      <c r="AG253" s="65">
        <f t="shared" ca="1" si="37"/>
        <v>76.715706591921048</v>
      </c>
      <c r="AH253" s="65">
        <f t="shared" ca="1" si="38"/>
        <v>76.715706591921048</v>
      </c>
      <c r="AI253" s="3">
        <f t="shared" ca="1" si="39"/>
        <v>0</v>
      </c>
    </row>
    <row r="254" spans="7:35" x14ac:dyDescent="0.3">
      <c r="G254" s="3">
        <f t="shared" ca="1" si="34"/>
        <v>36</v>
      </c>
      <c r="H254" s="97">
        <f t="shared" ca="1" si="36"/>
        <v>45326</v>
      </c>
      <c r="I254" s="121">
        <f ca="1">HLOOKUP($H$4,'Met Data'!$A$2:$F$368,G254,FALSE)</f>
        <v>18.441666666666599</v>
      </c>
      <c r="J254" s="121">
        <f ca="1">HLOOKUP($H$4,'Met Data'!$H$2:$M$368,G254,FALSE)*L254</f>
        <v>4.8</v>
      </c>
      <c r="K254" s="98">
        <f ca="1">HLOOKUP($H$4,'Met Data'!$O$2:$T$368,G254,FALSE)</f>
        <v>3.5125215918157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45371</v>
      </c>
      <c r="Q254">
        <f ca="1"/>
        <v>75.935328322882896</v>
      </c>
      <c r="R254">
        <f ca="1"/>
        <v>0.51908005743122998</v>
      </c>
      <c r="S254">
        <f ca="1"/>
        <v>0.10407202600118352</v>
      </c>
      <c r="T254">
        <f ca="1"/>
        <v>0.12042873945818133</v>
      </c>
      <c r="U254">
        <f ca="1"/>
        <v>0</v>
      </c>
      <c r="V254">
        <f ca="1"/>
        <v>10.0378038847486</v>
      </c>
      <c r="W254">
        <f ca="1"/>
        <v>9.18273170197374</v>
      </c>
      <c r="X254">
        <f ca="1"/>
        <v>0</v>
      </c>
      <c r="Y254">
        <f ca="1"/>
        <v>0.54746150921144354</v>
      </c>
      <c r="Z254">
        <f ca="1"/>
        <v>0</v>
      </c>
      <c r="AA254">
        <f ca="1"/>
        <v>0</v>
      </c>
      <c r="AB254">
        <f ca="1"/>
        <v>0.180818607393186</v>
      </c>
      <c r="AD254" s="2">
        <f t="shared" ca="1" si="32"/>
        <v>45371</v>
      </c>
      <c r="AE254">
        <f t="shared" ca="1" si="33"/>
        <v>0</v>
      </c>
      <c r="AG254" s="65">
        <f t="shared" ca="1" si="37"/>
        <v>76.454408380314121</v>
      </c>
      <c r="AH254" s="65">
        <f t="shared" ca="1" si="38"/>
        <v>76.454408380314121</v>
      </c>
      <c r="AI254" s="3">
        <f t="shared" ca="1" si="39"/>
        <v>0</v>
      </c>
    </row>
    <row r="255" spans="7:35" x14ac:dyDescent="0.3">
      <c r="G255" s="3">
        <f t="shared" ca="1" si="34"/>
        <v>37</v>
      </c>
      <c r="H255" s="97">
        <f t="shared" ca="1" si="36"/>
        <v>45327</v>
      </c>
      <c r="I255" s="121">
        <f ca="1">HLOOKUP($H$4,'Met Data'!$A$2:$F$368,G255,FALSE)</f>
        <v>17.975000000000001</v>
      </c>
      <c r="J255" s="121">
        <f ca="1">HLOOKUP($H$4,'Met Data'!$H$2:$M$368,G255,FALSE)*L255</f>
        <v>2.0166666666666599</v>
      </c>
      <c r="K255" s="98">
        <f ca="1">HLOOKUP($H$4,'Met Data'!$O$2:$T$368,G255,FALSE)</f>
        <v>3.7922889429532498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45372</v>
      </c>
      <c r="Q255">
        <f ca="1"/>
        <v>75.5995262336438</v>
      </c>
      <c r="R255">
        <f ca="1"/>
        <v>0.55237045493495496</v>
      </c>
      <c r="S255">
        <f ca="1"/>
        <v>9.4091476563157209E-2</v>
      </c>
      <c r="T255">
        <f ca="1"/>
        <v>0.1224768891326993</v>
      </c>
      <c r="U255">
        <f ca="1"/>
        <v>0</v>
      </c>
      <c r="V255">
        <f ca="1"/>
        <v>10.5901743396836</v>
      </c>
      <c r="W255">
        <f ca="1"/>
        <v>9.6880483774142405</v>
      </c>
      <c r="X255">
        <f ca="1"/>
        <v>0</v>
      </c>
      <c r="Y255">
        <f ca="1"/>
        <v>0.54854958583362634</v>
      </c>
      <c r="Z255">
        <f ca="1"/>
        <v>0</v>
      </c>
      <c r="AA255">
        <f ca="1"/>
        <v>0</v>
      </c>
      <c r="AB255">
        <f ca="1"/>
        <v>0.208535524034095</v>
      </c>
      <c r="AD255" s="2">
        <f t="shared" ca="1" si="32"/>
        <v>45372</v>
      </c>
      <c r="AE255">
        <f t="shared" ca="1" si="33"/>
        <v>0</v>
      </c>
      <c r="AG255" s="65">
        <f t="shared" ca="1" si="37"/>
        <v>76.151896688578745</v>
      </c>
      <c r="AH255" s="65">
        <f t="shared" ca="1" si="38"/>
        <v>76.151896688578759</v>
      </c>
      <c r="AI255" s="3">
        <f t="shared" ca="1" si="39"/>
        <v>0</v>
      </c>
    </row>
    <row r="256" spans="7:35" x14ac:dyDescent="0.3">
      <c r="G256" s="3">
        <f t="shared" ca="1" si="34"/>
        <v>38</v>
      </c>
      <c r="H256" s="97">
        <f t="shared" ca="1" si="36"/>
        <v>45328</v>
      </c>
      <c r="I256" s="121">
        <f ca="1">HLOOKUP($H$4,'Met Data'!$A$2:$F$368,G256,FALSE)</f>
        <v>17.383333333333301</v>
      </c>
      <c r="J256" s="121">
        <f ca="1">HLOOKUP($H$4,'Met Data'!$H$2:$M$368,G256,FALSE)*L256</f>
        <v>0.15</v>
      </c>
      <c r="K256" s="98">
        <f ca="1">HLOOKUP($H$4,'Met Data'!$O$2:$T$368,G256,FALSE)</f>
        <v>3.67022287265541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45373</v>
      </c>
      <c r="Q256">
        <f ca="1"/>
        <v>75.223693909995859</v>
      </c>
      <c r="R256">
        <f ca="1"/>
        <v>0.58518971768857497</v>
      </c>
      <c r="S256">
        <f ca="1"/>
        <v>8.5018604585675742E-2</v>
      </c>
      <c r="T256">
        <f ca="1"/>
        <v>0.12433878945495505</v>
      </c>
      <c r="U256">
        <f ca="1"/>
        <v>0</v>
      </c>
      <c r="V256">
        <f ca="1"/>
        <v>11.1753640573722</v>
      </c>
      <c r="W256">
        <f ca="1"/>
        <v>10.223388600632999</v>
      </c>
      <c r="X256">
        <f ca="1"/>
        <v>0</v>
      </c>
      <c r="Y256">
        <f ca="1"/>
        <v>0.55278118354957839</v>
      </c>
      <c r="Z256">
        <f ca="1"/>
        <v>0</v>
      </c>
      <c r="AA256">
        <f ca="1"/>
        <v>0</v>
      </c>
      <c r="AB256">
        <f ca="1"/>
        <v>0.23949366887940499</v>
      </c>
      <c r="AD256" s="2">
        <f t="shared" ca="1" si="32"/>
        <v>45373</v>
      </c>
      <c r="AE256">
        <f t="shared" ca="1" si="33"/>
        <v>0</v>
      </c>
      <c r="AG256" s="65">
        <f t="shared" ca="1" si="37"/>
        <v>75.808883627684423</v>
      </c>
      <c r="AH256" s="65">
        <f t="shared" ca="1" si="38"/>
        <v>75.808883627684438</v>
      </c>
      <c r="AI256" s="3">
        <f t="shared" ca="1" si="39"/>
        <v>0</v>
      </c>
    </row>
    <row r="257" spans="7:35" x14ac:dyDescent="0.3">
      <c r="G257" s="3">
        <f t="shared" ca="1" si="34"/>
        <v>39</v>
      </c>
      <c r="H257" s="97">
        <f t="shared" ca="1" si="36"/>
        <v>45329</v>
      </c>
      <c r="I257" s="121">
        <f ca="1">HLOOKUP($H$4,'Met Data'!$A$2:$F$368,G257,FALSE)</f>
        <v>17.0416666666666</v>
      </c>
      <c r="J257" s="121">
        <f ca="1">HLOOKUP($H$4,'Met Data'!$H$2:$M$368,G257,FALSE)*L257</f>
        <v>3.0166666666666599</v>
      </c>
      <c r="K257" s="98">
        <f ca="1">HLOOKUP($H$4,'Met Data'!$O$2:$T$368,G257,FALSE)</f>
        <v>3.8754357428809398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45374</v>
      </c>
      <c r="Q257">
        <f ca="1"/>
        <v>74.827066186785288</v>
      </c>
      <c r="R257">
        <f ca="1"/>
        <v>0.59428726169225099</v>
      </c>
      <c r="S257">
        <f ca="1"/>
        <v>7.5591110445734161E-2</v>
      </c>
      <c r="T257">
        <f ca="1"/>
        <v>0.12206842803593838</v>
      </c>
      <c r="U257">
        <f ca="1"/>
        <v>0</v>
      </c>
      <c r="V257">
        <f ca="1"/>
        <v>11.769651319064399</v>
      </c>
      <c r="W257">
        <f ca="1"/>
        <v>10.767051391884801</v>
      </c>
      <c r="X257">
        <f ca="1"/>
        <v>0</v>
      </c>
      <c r="Y257">
        <f ca="1"/>
        <v>0.572286759892497</v>
      </c>
      <c r="Z257">
        <f ca="1"/>
        <v>0</v>
      </c>
      <c r="AA257">
        <f ca="1"/>
        <v>0</v>
      </c>
      <c r="AB257">
        <f ca="1"/>
        <v>0.27227516886348302</v>
      </c>
      <c r="AD257" s="2">
        <f t="shared" ca="1" si="32"/>
        <v>45374</v>
      </c>
      <c r="AE257">
        <f t="shared" ca="1" si="33"/>
        <v>0</v>
      </c>
      <c r="AG257" s="65">
        <f t="shared" ca="1" si="37"/>
        <v>75.421353448477532</v>
      </c>
      <c r="AH257" s="65">
        <f t="shared" ca="1" si="38"/>
        <v>75.421353448477532</v>
      </c>
      <c r="AI257" s="3">
        <f t="shared" ca="1" si="39"/>
        <v>0</v>
      </c>
    </row>
    <row r="258" spans="7:35" x14ac:dyDescent="0.3">
      <c r="G258" s="3">
        <f t="shared" ca="1" si="34"/>
        <v>40</v>
      </c>
      <c r="H258" s="97">
        <f t="shared" ca="1" si="36"/>
        <v>45330</v>
      </c>
      <c r="I258" s="121">
        <f ca="1">HLOOKUP($H$4,'Met Data'!$A$2:$F$368,G258,FALSE)</f>
        <v>17.483333333333299</v>
      </c>
      <c r="J258" s="121">
        <f ca="1">HLOOKUP($H$4,'Met Data'!$H$2:$M$368,G258,FALSE)*L258</f>
        <v>2.69999999999999</v>
      </c>
      <c r="K258" s="98">
        <f ca="1">HLOOKUP($H$4,'Met Data'!$O$2:$T$368,G258,FALSE)</f>
        <v>3.8024866154372199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45375</v>
      </c>
      <c r="Q258">
        <f ca="1"/>
        <v>74.379335180962443</v>
      </c>
      <c r="R258">
        <f ca="1"/>
        <v>0.64879730756377396</v>
      </c>
      <c r="S258">
        <f ca="1"/>
        <v>7.1005664112241712E-2</v>
      </c>
      <c r="T258">
        <f ca="1"/>
        <v>0.13006063762869008</v>
      </c>
      <c r="U258">
        <f ca="1"/>
        <v>0</v>
      </c>
      <c r="V258">
        <f ca="1"/>
        <v>12.4184486266282</v>
      </c>
      <c r="W258">
        <f ca="1"/>
        <v>11.3605807806561</v>
      </c>
      <c r="X258">
        <f ca="1"/>
        <v>0</v>
      </c>
      <c r="Y258">
        <f ca="1"/>
        <v>0.58218209160154122</v>
      </c>
      <c r="Z258">
        <f ca="1"/>
        <v>0</v>
      </c>
      <c r="AA258">
        <f ca="1"/>
        <v>0</v>
      </c>
      <c r="AB258">
        <f ca="1"/>
        <v>0.30917147208706097</v>
      </c>
      <c r="AD258" s="2">
        <f t="shared" ca="1" si="32"/>
        <v>45375</v>
      </c>
      <c r="AE258">
        <f t="shared" ca="1" si="33"/>
        <v>0</v>
      </c>
      <c r="AG258" s="65">
        <f t="shared" ca="1" si="37"/>
        <v>75.028132488526211</v>
      </c>
      <c r="AH258" s="65">
        <f t="shared" ca="1" si="38"/>
        <v>75.028132488526211</v>
      </c>
      <c r="AI258" s="3">
        <f t="shared" ca="1" si="39"/>
        <v>0</v>
      </c>
    </row>
    <row r="259" spans="7:35" x14ac:dyDescent="0.3">
      <c r="G259" s="3">
        <f t="shared" ca="1" si="34"/>
        <v>41</v>
      </c>
      <c r="H259" s="97">
        <f t="shared" ca="1" si="36"/>
        <v>45331</v>
      </c>
      <c r="I259" s="121">
        <f ca="1">HLOOKUP($H$4,'Met Data'!$A$2:$F$368,G259,FALSE)</f>
        <v>17.5625</v>
      </c>
      <c r="J259" s="121">
        <f ca="1">HLOOKUP($H$4,'Met Data'!$H$2:$M$368,G259,FALSE)*L259</f>
        <v>0.51666666666666605</v>
      </c>
      <c r="K259" s="98">
        <f ca="1">HLOOKUP($H$4,'Met Data'!$O$2:$T$368,G259,FALSE)</f>
        <v>3.9226252937625699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45376</v>
      </c>
      <c r="Q259">
        <f ca="1"/>
        <v>73.890730649266416</v>
      </c>
      <c r="R259">
        <f ca="1"/>
        <v>0.68813969423728405</v>
      </c>
      <c r="S259">
        <f ca="1"/>
        <v>6.4996680456103753E-2</v>
      </c>
      <c r="T259">
        <f ca="1"/>
        <v>0.13453848208515307</v>
      </c>
      <c r="U259">
        <f ca="1"/>
        <v>0</v>
      </c>
      <c r="V259">
        <f ca="1"/>
        <v>13.1065883208655</v>
      </c>
      <c r="W259">
        <f ca="1"/>
        <v>11.9901011676066</v>
      </c>
      <c r="X259">
        <f ca="1"/>
        <v>0</v>
      </c>
      <c r="Y259">
        <f ca="1"/>
        <v>0.59881388626178511</v>
      </c>
      <c r="Z259">
        <f ca="1"/>
        <v>0</v>
      </c>
      <c r="AA259">
        <f ca="1"/>
        <v>0</v>
      </c>
      <c r="AB259">
        <f ca="1"/>
        <v>0.34903372880655498</v>
      </c>
      <c r="AD259" s="2">
        <f t="shared" ca="1" si="32"/>
        <v>45376</v>
      </c>
      <c r="AE259">
        <f t="shared" ca="1" si="33"/>
        <v>0</v>
      </c>
      <c r="AG259" s="65">
        <f t="shared" ca="1" si="37"/>
        <v>74.578870343503695</v>
      </c>
      <c r="AH259" s="65">
        <f t="shared" ca="1" si="38"/>
        <v>74.578870343503695</v>
      </c>
      <c r="AI259" s="3">
        <f t="shared" ca="1" si="39"/>
        <v>0</v>
      </c>
    </row>
    <row r="260" spans="7:35" x14ac:dyDescent="0.3">
      <c r="G260" s="3">
        <f t="shared" ca="1" si="34"/>
        <v>42</v>
      </c>
      <c r="H260" s="97">
        <f t="shared" ca="1" si="36"/>
        <v>45332</v>
      </c>
      <c r="I260" s="121">
        <f ca="1">HLOOKUP($H$4,'Met Data'!$A$2:$F$368,G260,FALSE)</f>
        <v>17.7083333333333</v>
      </c>
      <c r="J260" s="121">
        <f ca="1">HLOOKUP($H$4,'Met Data'!$H$2:$M$368,G260,FALSE)*L260</f>
        <v>2.7333333333333298</v>
      </c>
      <c r="K260" s="98">
        <f ca="1">HLOOKUP($H$4,'Met Data'!$O$2:$T$368,G260,FALSE)</f>
        <v>3.6312925833969301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45377</v>
      </c>
      <c r="Q260">
        <f ca="1"/>
        <v>73.350689640053417</v>
      </c>
      <c r="R260">
        <f ca="1"/>
        <v>0.73527254305827605</v>
      </c>
      <c r="S260">
        <f ca="1"/>
        <v>5.7909926099408461E-2</v>
      </c>
      <c r="T260">
        <f ca="1"/>
        <v>0.13732160774586</v>
      </c>
      <c r="U260">
        <f ca="1"/>
        <v>0</v>
      </c>
      <c r="V260">
        <f ca="1"/>
        <v>13.841860863923699</v>
      </c>
      <c r="W260">
        <f ca="1"/>
        <v>12.662739382922799</v>
      </c>
      <c r="X260">
        <f ca="1"/>
        <v>0</v>
      </c>
      <c r="Y260">
        <f ca="1"/>
        <v>0.5982287205211726</v>
      </c>
      <c r="Z260">
        <f ca="1"/>
        <v>0</v>
      </c>
      <c r="AA260">
        <f ca="1"/>
        <v>0</v>
      </c>
      <c r="AB260">
        <f ca="1"/>
        <v>0.39182102344733399</v>
      </c>
      <c r="AD260" s="2">
        <f t="shared" ca="1" si="32"/>
        <v>45377</v>
      </c>
      <c r="AE260">
        <f t="shared" ca="1" si="33"/>
        <v>0</v>
      </c>
      <c r="AG260" s="65">
        <f t="shared" ca="1" si="37"/>
        <v>74.08596218311169</v>
      </c>
      <c r="AH260" s="65">
        <f t="shared" ca="1" si="38"/>
        <v>74.08596218311169</v>
      </c>
      <c r="AI260" s="3">
        <f t="shared" ca="1" si="39"/>
        <v>0</v>
      </c>
    </row>
    <row r="261" spans="7:35" x14ac:dyDescent="0.3">
      <c r="G261" s="3">
        <f t="shared" ca="1" si="34"/>
        <v>43</v>
      </c>
      <c r="H261" s="97">
        <f t="shared" ca="1" si="36"/>
        <v>45333</v>
      </c>
      <c r="I261" s="121">
        <f ca="1">HLOOKUP($H$4,'Met Data'!$A$2:$F$368,G261,FALSE)</f>
        <v>17.654166666666601</v>
      </c>
      <c r="J261" s="121">
        <f ca="1">HLOOKUP($H$4,'Met Data'!$H$2:$M$368,G261,FALSE)*L261</f>
        <v>5.3166666666666602</v>
      </c>
      <c r="K261" s="98">
        <f ca="1">HLOOKUP($H$4,'Met Data'!$O$2:$T$368,G261,FALSE)</f>
        <v>3.7825096271499201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45378</v>
      </c>
      <c r="Q261">
        <f ca="1"/>
        <v>72.807439536672447</v>
      </c>
      <c r="R261">
        <f ca="1"/>
        <v>0.71289859523061105</v>
      </c>
      <c r="S261">
        <f ca="1"/>
        <v>4.6525476643176043E-2</v>
      </c>
      <c r="T261">
        <f ca="1"/>
        <v>0.12312301520647169</v>
      </c>
      <c r="U261">
        <f ca="1"/>
        <v>0</v>
      </c>
      <c r="V261">
        <f ca="1"/>
        <v>14.554759459154299</v>
      </c>
      <c r="W261">
        <f ca="1"/>
        <v>13.314909579300499</v>
      </c>
      <c r="X261">
        <f ca="1"/>
        <v>0</v>
      </c>
      <c r="Y261">
        <f ca="1"/>
        <v>0.59398442606871538</v>
      </c>
      <c r="Z261">
        <f ca="1"/>
        <v>0</v>
      </c>
      <c r="AA261">
        <f ca="1"/>
        <v>0</v>
      </c>
      <c r="AB261">
        <f ca="1"/>
        <v>0.43290362068527599</v>
      </c>
      <c r="AD261" s="2">
        <f t="shared" ca="1" si="32"/>
        <v>45378</v>
      </c>
      <c r="AE261">
        <f t="shared" ca="1" si="33"/>
        <v>0</v>
      </c>
      <c r="AG261" s="65">
        <f t="shared" ca="1" si="37"/>
        <v>73.520338131903074</v>
      </c>
      <c r="AH261" s="65">
        <f t="shared" ca="1" si="38"/>
        <v>73.52033813190306</v>
      </c>
      <c r="AI261" s="3">
        <f t="shared" ca="1" si="39"/>
        <v>0</v>
      </c>
    </row>
    <row r="262" spans="7:35" x14ac:dyDescent="0.3">
      <c r="G262" s="3">
        <f t="shared" ca="1" si="34"/>
        <v>44</v>
      </c>
      <c r="H262" s="97">
        <f t="shared" ca="1" si="36"/>
        <v>45334</v>
      </c>
      <c r="I262" s="121">
        <f ca="1">HLOOKUP($H$4,'Met Data'!$A$2:$F$368,G262,FALSE)</f>
        <v>18.245833333333302</v>
      </c>
      <c r="J262" s="121">
        <f ca="1">HLOOKUP($H$4,'Met Data'!$H$2:$M$368,G262,FALSE)*L262</f>
        <v>1.8</v>
      </c>
      <c r="K262" s="98">
        <f ca="1">HLOOKUP($H$4,'Met Data'!$O$2:$T$368,G262,FALSE)</f>
        <v>3.5345089397679601</v>
      </c>
      <c r="L262">
        <f t="shared" ref="L262:L325" ca="1" si="40">IF(H262&lt;$B$31,$J$3,$J$4)</f>
        <v>1</v>
      </c>
      <c r="N262" t="b">
        <f t="shared" ca="1" si="35"/>
        <v>0</v>
      </c>
      <c r="O262" t="b">
        <f t="shared" ref="O262:O325" ca="1" si="41">AND(IF(P262&gt;($P$2-1),TRUE,FALSE),IF(P262&lt;($P$3+1),TRUE,FALSE))</f>
        <v>0</v>
      </c>
      <c r="P262" s="2">
        <f ca="1"/>
        <v>45379</v>
      </c>
      <c r="Q262">
        <f ca="1"/>
        <v>72.211519118382512</v>
      </c>
      <c r="R262">
        <f ca="1"/>
        <v>0.76653325689975405</v>
      </c>
      <c r="S262">
        <f ca="1"/>
        <v>4.2599077473398611E-2</v>
      </c>
      <c r="T262">
        <f ca="1"/>
        <v>0.12801376113643204</v>
      </c>
      <c r="U262">
        <f ca="1"/>
        <v>0</v>
      </c>
      <c r="V262">
        <f ca="1"/>
        <v>15.321292716054099</v>
      </c>
      <c r="W262">
        <f ca="1"/>
        <v>14.0161455587606</v>
      </c>
      <c r="X262">
        <f ca="1"/>
        <v>0</v>
      </c>
      <c r="Y262">
        <f ca="1"/>
        <v>0.59803653427100234</v>
      </c>
      <c r="Z262">
        <f ca="1"/>
        <v>0</v>
      </c>
      <c r="AA262">
        <f ca="1"/>
        <v>0</v>
      </c>
      <c r="AB262">
        <f ca="1"/>
        <v>0.47604399095992</v>
      </c>
      <c r="AD262" s="2">
        <f t="shared" ref="AD262:AD325" ca="1" si="42">IFERROR(P262,$AD$4)</f>
        <v>45379</v>
      </c>
      <c r="AE262">
        <f t="shared" ref="AE262:AE325" ca="1" si="43">IFERROR(U262,0)</f>
        <v>0</v>
      </c>
      <c r="AG262" s="65">
        <f t="shared" ca="1" si="37"/>
        <v>72.978052375282275</v>
      </c>
      <c r="AH262" s="65">
        <f t="shared" ca="1" si="38"/>
        <v>72.97805237528226</v>
      </c>
      <c r="AI262" s="3">
        <f t="shared" ca="1" si="39"/>
        <v>0</v>
      </c>
    </row>
    <row r="263" spans="7:35" x14ac:dyDescent="0.3">
      <c r="G263" s="3">
        <f t="shared" ref="G263:G326" ca="1" si="44">H263-DATE(YEAR(H263),1,0)+1</f>
        <v>45</v>
      </c>
      <c r="H263" s="97">
        <f t="shared" ca="1" si="36"/>
        <v>45335</v>
      </c>
      <c r="I263" s="121">
        <f ca="1">HLOOKUP($H$4,'Met Data'!$A$2:$F$368,G263,FALSE)</f>
        <v>18.674999999999901</v>
      </c>
      <c r="J263" s="121">
        <f ca="1">HLOOKUP($H$4,'Met Data'!$H$2:$M$368,G263,FALSE)*L263</f>
        <v>0.44999999999999901</v>
      </c>
      <c r="K263" s="98">
        <f ca="1">HLOOKUP($H$4,'Met Data'!$O$2:$T$368,G263,FALSE)</f>
        <v>3.2860966338213999</v>
      </c>
      <c r="L263">
        <f t="shared" ca="1" si="40"/>
        <v>1</v>
      </c>
      <c r="N263" t="b">
        <f t="shared" ref="N263:N326" ca="1" si="45">IF(P263&lt;$P$3,TRUE,FALSE)</f>
        <v>0</v>
      </c>
      <c r="O263" t="b">
        <f t="shared" ca="1" si="41"/>
        <v>0</v>
      </c>
      <c r="P263" s="2">
        <f ca="1"/>
        <v>45380</v>
      </c>
      <c r="Q263">
        <f ca="1"/>
        <v>71.565840271402962</v>
      </c>
      <c r="R263">
        <f ca="1"/>
        <v>0.81445925225597204</v>
      </c>
      <c r="S263">
        <f ca="1"/>
        <v>3.819994497857012E-2</v>
      </c>
      <c r="T263">
        <f ca="1"/>
        <v>0.13058046029785078</v>
      </c>
      <c r="U263">
        <f ca="1"/>
        <v>0</v>
      </c>
      <c r="V263">
        <f ca="1"/>
        <v>16.1357519683101</v>
      </c>
      <c r="W263">
        <f ca="1"/>
        <v>14.761224948787399</v>
      </c>
      <c r="X263">
        <f ca="1"/>
        <v>0</v>
      </c>
      <c r="Y263">
        <f ca="1"/>
        <v>0.59961050168800645</v>
      </c>
      <c r="Z263">
        <f ca="1"/>
        <v>0</v>
      </c>
      <c r="AA263">
        <f ca="1"/>
        <v>0</v>
      </c>
      <c r="AB263">
        <f ca="1"/>
        <v>0.52014095066916599</v>
      </c>
      <c r="AD263" s="2">
        <f t="shared" ca="1" si="42"/>
        <v>45380</v>
      </c>
      <c r="AE263">
        <f t="shared" ca="1" si="43"/>
        <v>0</v>
      </c>
      <c r="AG263" s="65">
        <f t="shared" ca="1" si="37"/>
        <v>72.380299523658934</v>
      </c>
      <c r="AH263" s="65">
        <f t="shared" ca="1" si="38"/>
        <v>72.380299523658934</v>
      </c>
      <c r="AI263" s="3">
        <f t="shared" ca="1" si="39"/>
        <v>0</v>
      </c>
    </row>
    <row r="264" spans="7:35" x14ac:dyDescent="0.3">
      <c r="G264" s="3">
        <f t="shared" ca="1" si="44"/>
        <v>46</v>
      </c>
      <c r="H264" s="97">
        <f t="shared" ref="H264:H327" ca="1" si="46">H263+1</f>
        <v>45336</v>
      </c>
      <c r="I264" s="121">
        <f ca="1">HLOOKUP($H$4,'Met Data'!$A$2:$F$368,G264,FALSE)</f>
        <v>18.670833333333299</v>
      </c>
      <c r="J264" s="121">
        <f ca="1">HLOOKUP($H$4,'Met Data'!$H$2:$M$368,G264,FALSE)*L264</f>
        <v>1.13333333333333</v>
      </c>
      <c r="K264" s="98">
        <f ca="1">HLOOKUP($H$4,'Met Data'!$O$2:$T$368,G264,FALSE)</f>
        <v>3.8932908527116399</v>
      </c>
      <c r="L264">
        <f t="shared" ca="1" si="40"/>
        <v>1</v>
      </c>
      <c r="N264" t="b">
        <f t="shared" ca="1" si="45"/>
        <v>0</v>
      </c>
      <c r="O264" t="b">
        <f t="shared" ca="1" si="41"/>
        <v>0</v>
      </c>
      <c r="P264" s="2">
        <f ca="1"/>
        <v>45381</v>
      </c>
      <c r="Q264">
        <f ca="1"/>
        <v>70.897445951703403</v>
      </c>
      <c r="R264">
        <f ca="1"/>
        <v>0.82640988493248801</v>
      </c>
      <c r="S264">
        <f ca="1"/>
        <v>3.2606626848096933E-2</v>
      </c>
      <c r="T264">
        <f ca="1"/>
        <v>0.12540893838482778</v>
      </c>
      <c r="U264">
        <f ca="1"/>
        <v>0</v>
      </c>
      <c r="V264">
        <f ca="1"/>
        <v>16.962161853242598</v>
      </c>
      <c r="W264">
        <f ca="1"/>
        <v>15.517236954633001</v>
      </c>
      <c r="X264">
        <f ca="1"/>
        <v>0</v>
      </c>
      <c r="Y264">
        <f ca="1"/>
        <v>0.60001993053170966</v>
      </c>
      <c r="Z264">
        <f ca="1"/>
        <v>0</v>
      </c>
      <c r="AA264">
        <f ca="1"/>
        <v>0</v>
      </c>
      <c r="AB264">
        <f ca="1"/>
        <v>0.56257724303454204</v>
      </c>
      <c r="AD264" s="2">
        <f t="shared" ca="1" si="42"/>
        <v>45381</v>
      </c>
      <c r="AE264">
        <f t="shared" ca="1" si="43"/>
        <v>0</v>
      </c>
      <c r="AG264" s="65">
        <f t="shared" ca="1" si="37"/>
        <v>71.723855836635877</v>
      </c>
      <c r="AH264" s="65">
        <f t="shared" ca="1" si="38"/>
        <v>71.723855836635892</v>
      </c>
      <c r="AI264" s="3">
        <f t="shared" ca="1" si="39"/>
        <v>0</v>
      </c>
    </row>
    <row r="265" spans="7:35" x14ac:dyDescent="0.3">
      <c r="G265" s="3">
        <f t="shared" ca="1" si="44"/>
        <v>47</v>
      </c>
      <c r="H265" s="97">
        <f t="shared" ca="1" si="46"/>
        <v>45337</v>
      </c>
      <c r="I265" s="121">
        <f ca="1">HLOOKUP($H$4,'Met Data'!$A$2:$F$368,G265,FALSE)</f>
        <v>18.1666666666666</v>
      </c>
      <c r="J265" s="121">
        <f ca="1">HLOOKUP($H$4,'Met Data'!$H$2:$M$368,G265,FALSE)*L265</f>
        <v>1.7333333333333301</v>
      </c>
      <c r="K265" s="98">
        <f ca="1">HLOOKUP($H$4,'Met Data'!$O$2:$T$368,G265,FALSE)</f>
        <v>3.7918051722380999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45382</v>
      </c>
      <c r="Q265">
        <f ca="1"/>
        <v>70.196983769979596</v>
      </c>
      <c r="R265">
        <f ca="1"/>
        <v>0.85067425974310895</v>
      </c>
      <c r="S265">
        <f ca="1"/>
        <v>2.8133601959735355E-2</v>
      </c>
      <c r="T265">
        <f ca="1"/>
        <v>0.12207847605956769</v>
      </c>
      <c r="U265">
        <f ca="1"/>
        <v>0</v>
      </c>
      <c r="V265">
        <f ca="1"/>
        <v>17.8128361129857</v>
      </c>
      <c r="W265">
        <f ca="1"/>
        <v>16.295446370027602</v>
      </c>
      <c r="X265">
        <f ca="1"/>
        <v>0</v>
      </c>
      <c r="Y265">
        <f ca="1"/>
        <v>0.59488220509940903</v>
      </c>
      <c r="Z265">
        <f ca="1"/>
        <v>0</v>
      </c>
      <c r="AA265">
        <f ca="1"/>
        <v>0</v>
      </c>
      <c r="AB265">
        <f ca="1"/>
        <v>0.60348221082293496</v>
      </c>
      <c r="AD265" s="2">
        <f t="shared" ca="1" si="42"/>
        <v>45382</v>
      </c>
      <c r="AE265">
        <f t="shared" ca="1" si="43"/>
        <v>0</v>
      </c>
      <c r="AG265" s="65">
        <f t="shared" ca="1" si="37"/>
        <v>71.047658029722712</v>
      </c>
      <c r="AH265" s="65">
        <f t="shared" ca="1" si="38"/>
        <v>71.047658029722712</v>
      </c>
      <c r="AI265" s="3">
        <f t="shared" ca="1" si="39"/>
        <v>0</v>
      </c>
    </row>
    <row r="266" spans="7:35" x14ac:dyDescent="0.3">
      <c r="G266" s="3">
        <f t="shared" ca="1" si="44"/>
        <v>48</v>
      </c>
      <c r="H266" s="97">
        <f t="shared" ca="1" si="46"/>
        <v>45338</v>
      </c>
      <c r="I266" s="121">
        <f ca="1">HLOOKUP($H$4,'Met Data'!$A$2:$F$368,G266,FALSE)</f>
        <v>17.879166666666599</v>
      </c>
      <c r="J266" s="121">
        <f ca="1">HLOOKUP($H$4,'Met Data'!$H$2:$M$368,G266,FALSE)*L266</f>
        <v>0.73333333333333295</v>
      </c>
      <c r="K266" s="98">
        <f ca="1">HLOOKUP($H$4,'Met Data'!$O$2:$T$368,G266,FALSE)</f>
        <v>3.8813294167315999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45383</v>
      </c>
      <c r="Q266">
        <f ca="1"/>
        <v>69.478773868276221</v>
      </c>
      <c r="R266">
        <f ca="1"/>
        <v>0.856532825778064</v>
      </c>
      <c r="S266">
        <f ca="1"/>
        <v>2.357271703732481E-2</v>
      </c>
      <c r="T266">
        <f ca="1"/>
        <v>0.11475020703737228</v>
      </c>
      <c r="U266">
        <f ca="1"/>
        <v>0</v>
      </c>
      <c r="V266">
        <f ca="1"/>
        <v>18.6693689387637</v>
      </c>
      <c r="W266">
        <f ca="1"/>
        <v>17.0790152884246</v>
      </c>
      <c r="X266">
        <f ca="1"/>
        <v>0</v>
      </c>
      <c r="Y266">
        <f ca="1"/>
        <v>0.58275679815488879</v>
      </c>
      <c r="Z266">
        <f ca="1"/>
        <v>0</v>
      </c>
      <c r="AA266">
        <f ca="1"/>
        <v>0</v>
      </c>
      <c r="AB266">
        <f ca="1"/>
        <v>0.64161774179185205</v>
      </c>
      <c r="AD266" s="2">
        <f t="shared" ca="1" si="42"/>
        <v>45383</v>
      </c>
      <c r="AE266">
        <f t="shared" ca="1" si="43"/>
        <v>0</v>
      </c>
      <c r="AG266" s="65">
        <f t="shared" ca="1" si="37"/>
        <v>70.335306694054296</v>
      </c>
      <c r="AH266" s="65">
        <f t="shared" ca="1" si="38"/>
        <v>70.335306694054282</v>
      </c>
      <c r="AI266" s="3">
        <f t="shared" ca="1" si="39"/>
        <v>0</v>
      </c>
    </row>
    <row r="267" spans="7:35" x14ac:dyDescent="0.3">
      <c r="G267" s="3">
        <f t="shared" ca="1" si="44"/>
        <v>49</v>
      </c>
      <c r="H267" s="97">
        <f t="shared" ca="1" si="46"/>
        <v>45339</v>
      </c>
      <c r="I267" s="121">
        <f ca="1">HLOOKUP($H$4,'Met Data'!$A$2:$F$368,G267,FALSE)</f>
        <v>18.2083333333333</v>
      </c>
      <c r="J267" s="121">
        <f ca="1">HLOOKUP($H$4,'Met Data'!$H$2:$M$368,G267,FALSE)*L267</f>
        <v>2.8833333333333302</v>
      </c>
      <c r="K267" s="98">
        <f ca="1">HLOOKUP($H$4,'Met Data'!$O$2:$T$368,G267,FALSE)</f>
        <v>3.5062121478789399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45384</v>
      </c>
      <c r="Q267">
        <f ca="1"/>
        <v>68.678761098861088</v>
      </c>
      <c r="R267">
        <f ca="1"/>
        <v>0.950698932928564</v>
      </c>
      <c r="S267">
        <f ca="1"/>
        <v>2.3169507452834026E-2</v>
      </c>
      <c r="T267">
        <f ca="1"/>
        <v>0.12751665606058557</v>
      </c>
      <c r="U267">
        <f ca="1"/>
        <v>0</v>
      </c>
      <c r="V267">
        <f ca="1"/>
        <v>19.620067871692299</v>
      </c>
      <c r="W267">
        <f ca="1"/>
        <v>17.948728756696301</v>
      </c>
      <c r="X267">
        <f ca="1"/>
        <v>0</v>
      </c>
      <c r="Y267">
        <f ca="1"/>
        <v>0.60329963925997387</v>
      </c>
      <c r="Z267">
        <f ca="1"/>
        <v>0</v>
      </c>
      <c r="AA267">
        <f ca="1"/>
        <v>0</v>
      </c>
      <c r="AB267">
        <f ca="1"/>
        <v>0.68027802264271897</v>
      </c>
      <c r="AD267" s="2">
        <f t="shared" ca="1" si="42"/>
        <v>45384</v>
      </c>
      <c r="AE267">
        <f t="shared" ca="1" si="43"/>
        <v>0</v>
      </c>
      <c r="AG267" s="65">
        <f t="shared" ref="AG267:AG330" ca="1" si="47">Q266+S267+T267+U267</f>
        <v>69.629460031789648</v>
      </c>
      <c r="AH267" s="65">
        <f t="shared" ref="AH267:AH330" ca="1" si="48">Q267+R267+X267</f>
        <v>69.629460031789648</v>
      </c>
      <c r="AI267" s="3">
        <f t="shared" ref="AI267:AI330" ca="1" si="49">AH267-AG267</f>
        <v>0</v>
      </c>
    </row>
    <row r="268" spans="7:35" x14ac:dyDescent="0.3">
      <c r="G268" s="3">
        <f t="shared" ca="1" si="44"/>
        <v>50</v>
      </c>
      <c r="H268" s="97">
        <f t="shared" ca="1" si="46"/>
        <v>45340</v>
      </c>
      <c r="I268" s="121">
        <f ca="1">HLOOKUP($H$4,'Met Data'!$A$2:$F$368,G268,FALSE)</f>
        <v>18.529166666666601</v>
      </c>
      <c r="J268" s="121">
        <f ca="1">HLOOKUP($H$4,'Met Data'!$H$2:$M$368,G268,FALSE)*L268</f>
        <v>2.85</v>
      </c>
      <c r="K268" s="98">
        <f ca="1">HLOOKUP($H$4,'Met Data'!$O$2:$T$368,G268,FALSE)</f>
        <v>3.5342235016405201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45385</v>
      </c>
      <c r="Q268">
        <f ca="1"/>
        <v>67.852807781730064</v>
      </c>
      <c r="R268">
        <f ca="1"/>
        <v>0.97715503369018097</v>
      </c>
      <c r="S268">
        <f ca="1"/>
        <v>2.1128089222846026E-2</v>
      </c>
      <c r="T268">
        <f ca="1"/>
        <v>0.13007362733632269</v>
      </c>
      <c r="U268">
        <f ca="1"/>
        <v>0</v>
      </c>
      <c r="V268">
        <f ca="1"/>
        <v>20.597222905382502</v>
      </c>
      <c r="W268">
        <f ca="1"/>
        <v>18.8426446578869</v>
      </c>
      <c r="X268">
        <f ca="1"/>
        <v>0</v>
      </c>
      <c r="Y268">
        <f ca="1"/>
        <v>0.63364236107529992</v>
      </c>
      <c r="Z268">
        <f ca="1"/>
        <v>0</v>
      </c>
      <c r="AA268">
        <f ca="1"/>
        <v>0</v>
      </c>
      <c r="AB268">
        <f ca="1"/>
        <v>0.71605268199132699</v>
      </c>
      <c r="AD268" s="2">
        <f t="shared" ca="1" si="42"/>
        <v>45385</v>
      </c>
      <c r="AE268">
        <f t="shared" ca="1" si="43"/>
        <v>0</v>
      </c>
      <c r="AG268" s="65">
        <f t="shared" ca="1" si="47"/>
        <v>68.829962815420245</v>
      </c>
      <c r="AH268" s="65">
        <f t="shared" ca="1" si="48"/>
        <v>68.829962815420245</v>
      </c>
      <c r="AI268" s="3">
        <f t="shared" ca="1" si="49"/>
        <v>0</v>
      </c>
    </row>
    <row r="269" spans="7:35" x14ac:dyDescent="0.3">
      <c r="G269" s="3">
        <f t="shared" ca="1" si="44"/>
        <v>51</v>
      </c>
      <c r="H269" s="97">
        <f t="shared" ca="1" si="46"/>
        <v>45341</v>
      </c>
      <c r="I269" s="121">
        <f ca="1">HLOOKUP($H$4,'Met Data'!$A$2:$F$368,G269,FALSE)</f>
        <v>18.925000000000001</v>
      </c>
      <c r="J269" s="121">
        <f ca="1">HLOOKUP($H$4,'Met Data'!$H$2:$M$368,G269,FALSE)*L269</f>
        <v>3.86666666666666</v>
      </c>
      <c r="K269" s="98">
        <f ca="1">HLOOKUP($H$4,'Met Data'!$O$2:$T$368,G269,FALSE)</f>
        <v>3.6338116563958698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45386</v>
      </c>
      <c r="Q269">
        <f ca="1"/>
        <v>67.049113004829735</v>
      </c>
      <c r="R269">
        <f ca="1"/>
        <v>0.941695328148349</v>
      </c>
      <c r="S269">
        <f ca="1"/>
        <v>1.7590589054788018E-2</v>
      </c>
      <c r="T269">
        <f ca="1"/>
        <v>0.12040996219323527</v>
      </c>
      <c r="U269">
        <f ca="1"/>
        <v>0</v>
      </c>
      <c r="V269">
        <f ca="1"/>
        <v>21.538918233530801</v>
      </c>
      <c r="W269">
        <f ca="1"/>
        <v>19.704121495118901</v>
      </c>
      <c r="X269">
        <f ca="1"/>
        <v>0</v>
      </c>
      <c r="Y269">
        <f ca="1"/>
        <v>0.64934072563852085</v>
      </c>
      <c r="Z269">
        <f ca="1"/>
        <v>0</v>
      </c>
      <c r="AA269">
        <f ca="1"/>
        <v>0</v>
      </c>
      <c r="AB269">
        <f ca="1"/>
        <v>0.74689936092630804</v>
      </c>
      <c r="AD269" s="2">
        <f t="shared" ca="1" si="42"/>
        <v>45386</v>
      </c>
      <c r="AE269">
        <f t="shared" ca="1" si="43"/>
        <v>0</v>
      </c>
      <c r="AG269" s="65">
        <f t="shared" ca="1" si="47"/>
        <v>67.990808332978091</v>
      </c>
      <c r="AH269" s="65">
        <f t="shared" ca="1" si="48"/>
        <v>67.990808332978091</v>
      </c>
      <c r="AI269" s="3">
        <f t="shared" ca="1" si="49"/>
        <v>0</v>
      </c>
    </row>
    <row r="270" spans="7:35" x14ac:dyDescent="0.3">
      <c r="G270" s="3">
        <f t="shared" ca="1" si="44"/>
        <v>52</v>
      </c>
      <c r="H270" s="97">
        <f t="shared" ca="1" si="46"/>
        <v>45342</v>
      </c>
      <c r="I270" s="121">
        <f ca="1">HLOOKUP($H$4,'Met Data'!$A$2:$F$368,G270,FALSE)</f>
        <v>19.195833333333301</v>
      </c>
      <c r="J270" s="121">
        <f ca="1">HLOOKUP($H$4,'Met Data'!$H$2:$M$368,G270,FALSE)*L270</f>
        <v>1.18333333333333</v>
      </c>
      <c r="K270" s="98">
        <f ca="1">HLOOKUP($H$4,'Met Data'!$O$2:$T$368,G270,FALSE)</f>
        <v>3.7477053916930299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45387</v>
      </c>
      <c r="Q270">
        <f ca="1"/>
        <v>66.234436864729687</v>
      </c>
      <c r="R270">
        <f ca="1"/>
        <v>0.94365093431251501</v>
      </c>
      <c r="S270">
        <f ca="1"/>
        <v>1.4846011937442829E-2</v>
      </c>
      <c r="T270">
        <f ca="1"/>
        <v>0.11412878227501506</v>
      </c>
      <c r="U270">
        <f ca="1"/>
        <v>0</v>
      </c>
      <c r="V270">
        <f ca="1"/>
        <v>22.482569167843302</v>
      </c>
      <c r="W270">
        <f ca="1"/>
        <v>20.567387349841901</v>
      </c>
      <c r="X270">
        <f ca="1"/>
        <v>0</v>
      </c>
      <c r="Y270">
        <f ca="1"/>
        <v>0.64228203278644436</v>
      </c>
      <c r="Z270">
        <f ca="1"/>
        <v>0</v>
      </c>
      <c r="AA270">
        <f ca="1"/>
        <v>0</v>
      </c>
      <c r="AB270">
        <f ca="1"/>
        <v>0.77447407293278303</v>
      </c>
      <c r="AD270" s="2">
        <f t="shared" ca="1" si="42"/>
        <v>45387</v>
      </c>
      <c r="AE270">
        <f t="shared" ca="1" si="43"/>
        <v>0</v>
      </c>
      <c r="AG270" s="65">
        <f t="shared" ca="1" si="47"/>
        <v>67.178087799042189</v>
      </c>
      <c r="AH270" s="65">
        <f t="shared" ca="1" si="48"/>
        <v>67.178087799042203</v>
      </c>
      <c r="AI270" s="3">
        <f t="shared" ca="1" si="49"/>
        <v>0</v>
      </c>
    </row>
    <row r="271" spans="7:35" x14ac:dyDescent="0.3">
      <c r="G271" s="3">
        <f t="shared" ca="1" si="44"/>
        <v>53</v>
      </c>
      <c r="H271" s="97">
        <f t="shared" ca="1" si="46"/>
        <v>45343</v>
      </c>
      <c r="I271" s="121">
        <f ca="1">HLOOKUP($H$4,'Met Data'!$A$2:$F$368,G271,FALSE)</f>
        <v>18.945833333333301</v>
      </c>
      <c r="J271" s="121">
        <f ca="1">HLOOKUP($H$4,'Met Data'!$H$2:$M$368,G271,FALSE)*L271</f>
        <v>1.3333333333333299</v>
      </c>
      <c r="K271" s="98">
        <f ca="1">HLOOKUP($H$4,'Met Data'!$O$2:$T$368,G271,FALSE)</f>
        <v>3.7395681594102799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45388</v>
      </c>
      <c r="Q271">
        <f ca="1"/>
        <v>65.442602307166254</v>
      </c>
      <c r="R271">
        <f ca="1"/>
        <v>0.90774463681976403</v>
      </c>
      <c r="S271">
        <f ca="1"/>
        <v>1.2164629588603025E-2</v>
      </c>
      <c r="T271">
        <f ca="1"/>
        <v>0.10374544966772288</v>
      </c>
      <c r="U271">
        <f ca="1"/>
        <v>0</v>
      </c>
      <c r="V271">
        <f ca="1"/>
        <v>23.390313804663101</v>
      </c>
      <c r="W271">
        <f ca="1"/>
        <v>21.397805591673301</v>
      </c>
      <c r="X271">
        <f ca="1"/>
        <v>0</v>
      </c>
      <c r="Y271">
        <f ca="1"/>
        <v>0.63710059760620019</v>
      </c>
      <c r="Z271">
        <f ca="1"/>
        <v>0</v>
      </c>
      <c r="AA271">
        <f ca="1"/>
        <v>0</v>
      </c>
      <c r="AB271">
        <f ca="1"/>
        <v>0.79810224695391396</v>
      </c>
      <c r="AD271" s="2">
        <f t="shared" ca="1" si="42"/>
        <v>45388</v>
      </c>
      <c r="AE271">
        <f t="shared" ca="1" si="43"/>
        <v>0</v>
      </c>
      <c r="AG271" s="65">
        <f t="shared" ca="1" si="47"/>
        <v>66.350346943986011</v>
      </c>
      <c r="AH271" s="65">
        <f t="shared" ca="1" si="48"/>
        <v>66.350346943986011</v>
      </c>
      <c r="AI271" s="3">
        <f t="shared" ca="1" si="49"/>
        <v>0</v>
      </c>
    </row>
    <row r="272" spans="7:35" x14ac:dyDescent="0.3">
      <c r="G272" s="3">
        <f t="shared" ca="1" si="44"/>
        <v>54</v>
      </c>
      <c r="H272" s="97">
        <f t="shared" ca="1" si="46"/>
        <v>45344</v>
      </c>
      <c r="I272" s="121">
        <f ca="1">HLOOKUP($H$4,'Met Data'!$A$2:$F$368,G272,FALSE)</f>
        <v>18.912499999999898</v>
      </c>
      <c r="J272" s="121">
        <f ca="1">HLOOKUP($H$4,'Met Data'!$H$2:$M$368,G272,FALSE)*L272</f>
        <v>6.18333333333333</v>
      </c>
      <c r="K272" s="98">
        <f ca="1">HLOOKUP($H$4,'Met Data'!$O$2:$T$368,G272,FALSE)</f>
        <v>3.0629444033618198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45389</v>
      </c>
      <c r="Q272">
        <f ca="1"/>
        <v>64.584930543973144</v>
      </c>
      <c r="R272">
        <f ca="1"/>
        <v>0.98290425222611999</v>
      </c>
      <c r="S272">
        <f ca="1"/>
        <v>1.1909999491904369E-2</v>
      </c>
      <c r="T272">
        <f ca="1"/>
        <v>0.1133224895411067</v>
      </c>
      <c r="U272">
        <f ca="1"/>
        <v>0</v>
      </c>
      <c r="V272">
        <f ca="1"/>
        <v>24.373218056889201</v>
      </c>
      <c r="W272">
        <f ca="1"/>
        <v>22.296980963154201</v>
      </c>
      <c r="X272">
        <f ca="1"/>
        <v>0</v>
      </c>
      <c r="Y272">
        <f ca="1"/>
        <v>0.66367167897212187</v>
      </c>
      <c r="Z272">
        <f ca="1"/>
        <v>0</v>
      </c>
      <c r="AA272">
        <f ca="1"/>
        <v>0</v>
      </c>
      <c r="AB272">
        <f ca="1"/>
        <v>0.82078257997911996</v>
      </c>
      <c r="AD272" s="2">
        <f t="shared" ca="1" si="42"/>
        <v>45389</v>
      </c>
      <c r="AE272">
        <f t="shared" ca="1" si="43"/>
        <v>0</v>
      </c>
      <c r="AG272" s="65">
        <f t="shared" ca="1" si="47"/>
        <v>65.567834796199264</v>
      </c>
      <c r="AH272" s="65">
        <f t="shared" ca="1" si="48"/>
        <v>65.567834796199264</v>
      </c>
      <c r="AI272" s="3">
        <f t="shared" ca="1" si="49"/>
        <v>0</v>
      </c>
    </row>
    <row r="273" spans="7:35" x14ac:dyDescent="0.3">
      <c r="G273" s="3">
        <f t="shared" ca="1" si="44"/>
        <v>55</v>
      </c>
      <c r="H273" s="97">
        <f t="shared" ca="1" si="46"/>
        <v>45345</v>
      </c>
      <c r="I273" s="121">
        <f ca="1">HLOOKUP($H$4,'Met Data'!$A$2:$F$368,G273,FALSE)</f>
        <v>17.745833333333302</v>
      </c>
      <c r="J273" s="121">
        <f ca="1">HLOOKUP($H$4,'Met Data'!$H$2:$M$368,G273,FALSE)*L273</f>
        <v>0.7</v>
      </c>
      <c r="K273" s="98">
        <f ca="1">HLOOKUP($H$4,'Met Data'!$O$2:$T$368,G273,FALSE)</f>
        <v>3.7397228058893299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45390</v>
      </c>
      <c r="Q273">
        <f ca="1"/>
        <v>63.660263897431122</v>
      </c>
      <c r="R273">
        <f ca="1"/>
        <v>1.05806300401949</v>
      </c>
      <c r="S273">
        <f ca="1"/>
        <v>1.1357623936160103E-2</v>
      </c>
      <c r="T273">
        <f ca="1"/>
        <v>0.12203873354131539</v>
      </c>
      <c r="U273">
        <f ca="1"/>
        <v>0</v>
      </c>
      <c r="V273">
        <f ca="1"/>
        <v>25.431281060908699</v>
      </c>
      <c r="W273">
        <f ca="1"/>
        <v>23.264912674238701</v>
      </c>
      <c r="X273">
        <f ca="1"/>
        <v>0</v>
      </c>
      <c r="Y273">
        <f ca="1"/>
        <v>0.68491276727446537</v>
      </c>
      <c r="Z273">
        <f ca="1"/>
        <v>0</v>
      </c>
      <c r="AA273">
        <f ca="1"/>
        <v>0</v>
      </c>
      <c r="AB273">
        <f ca="1"/>
        <v>0.84218109816116105</v>
      </c>
      <c r="AD273" s="2">
        <f t="shared" ca="1" si="42"/>
        <v>45390</v>
      </c>
      <c r="AE273">
        <f t="shared" ca="1" si="43"/>
        <v>0</v>
      </c>
      <c r="AG273" s="65">
        <f t="shared" ca="1" si="47"/>
        <v>64.718326901450624</v>
      </c>
      <c r="AH273" s="65">
        <f t="shared" ca="1" si="48"/>
        <v>64.71832690145061</v>
      </c>
      <c r="AI273" s="3">
        <f t="shared" ca="1" si="49"/>
        <v>0</v>
      </c>
    </row>
    <row r="274" spans="7:35" x14ac:dyDescent="0.3">
      <c r="G274" s="3">
        <f t="shared" ca="1" si="44"/>
        <v>56</v>
      </c>
      <c r="H274" s="97">
        <f t="shared" ca="1" si="46"/>
        <v>45346</v>
      </c>
      <c r="I274" s="121">
        <f ca="1">HLOOKUP($H$4,'Met Data'!$A$2:$F$368,G274,FALSE)</f>
        <v>16.945833333333301</v>
      </c>
      <c r="J274" s="121">
        <f ca="1">HLOOKUP($H$4,'Met Data'!$H$2:$M$368,G274,FALSE)*L274</f>
        <v>1.5999999999999901</v>
      </c>
      <c r="K274" s="98">
        <f ca="1">HLOOKUP($H$4,'Met Data'!$O$2:$T$368,G274,FALSE)</f>
        <v>3.5683594386422701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45391</v>
      </c>
      <c r="Q274">
        <f ca="1"/>
        <v>62.690405112033773</v>
      </c>
      <c r="R274">
        <f ca="1"/>
        <v>1.10727067758116</v>
      </c>
      <c r="S274">
        <f ca="1"/>
        <v>1.0421788218132283E-2</v>
      </c>
      <c r="T274">
        <f ca="1"/>
        <v>0.12699010396566757</v>
      </c>
      <c r="U274">
        <f ca="1"/>
        <v>0</v>
      </c>
      <c r="V274">
        <f ca="1"/>
        <v>26.5385517384899</v>
      </c>
      <c r="W274">
        <f ca="1"/>
        <v>24.277860294100002</v>
      </c>
      <c r="X274">
        <f ca="1"/>
        <v>0</v>
      </c>
      <c r="Y274">
        <f ca="1"/>
        <v>0.70613229192163873</v>
      </c>
      <c r="Z274">
        <f ca="1"/>
        <v>0</v>
      </c>
      <c r="AA274">
        <f ca="1"/>
        <v>0</v>
      </c>
      <c r="AB274">
        <f ca="1"/>
        <v>0.86162999892013403</v>
      </c>
      <c r="AD274" s="2">
        <f t="shared" ca="1" si="42"/>
        <v>45391</v>
      </c>
      <c r="AE274">
        <f t="shared" ca="1" si="43"/>
        <v>0</v>
      </c>
      <c r="AG274" s="65">
        <f t="shared" ca="1" si="47"/>
        <v>63.797675789614921</v>
      </c>
      <c r="AH274" s="65">
        <f t="shared" ca="1" si="48"/>
        <v>63.797675789614935</v>
      </c>
      <c r="AI274" s="3">
        <f t="shared" ca="1" si="49"/>
        <v>0</v>
      </c>
    </row>
    <row r="275" spans="7:35" x14ac:dyDescent="0.3">
      <c r="G275" s="3">
        <f t="shared" ca="1" si="44"/>
        <v>57</v>
      </c>
      <c r="H275" s="97">
        <f t="shared" ca="1" si="46"/>
        <v>45347</v>
      </c>
      <c r="I275" s="121">
        <f ca="1">HLOOKUP($H$4,'Met Data'!$A$2:$F$368,G275,FALSE)</f>
        <v>17.495833333333302</v>
      </c>
      <c r="J275" s="121">
        <f ca="1">HLOOKUP($H$4,'Met Data'!$H$2:$M$368,G275,FALSE)*L275</f>
        <v>0.86666666666666603</v>
      </c>
      <c r="K275" s="98">
        <f ca="1">HLOOKUP($H$4,'Met Data'!$O$2:$T$368,G275,FALSE)</f>
        <v>3.5556810366886502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45392</v>
      </c>
      <c r="Q275">
        <f ca="1"/>
        <v>61.696944606240407</v>
      </c>
      <c r="R275">
        <f ca="1"/>
        <v>1.1262734066150599</v>
      </c>
      <c r="S275">
        <f ca="1"/>
        <v>8.9465489072361945E-3</v>
      </c>
      <c r="T275">
        <f ca="1"/>
        <v>0.12386635191446579</v>
      </c>
      <c r="U275">
        <f ca="1"/>
        <v>0</v>
      </c>
      <c r="V275">
        <f ca="1"/>
        <v>27.664825145104899</v>
      </c>
      <c r="W275">
        <f ca="1"/>
        <v>25.3081918920034</v>
      </c>
      <c r="X275">
        <f ca="1"/>
        <v>0</v>
      </c>
      <c r="Y275">
        <f ca="1"/>
        <v>0.70407690558147373</v>
      </c>
      <c r="Z275">
        <f ca="1"/>
        <v>0</v>
      </c>
      <c r="AA275">
        <f ca="1"/>
        <v>0</v>
      </c>
      <c r="AB275">
        <f ca="1"/>
        <v>0.87872979008000596</v>
      </c>
      <c r="AD275" s="2">
        <f t="shared" ca="1" si="42"/>
        <v>45392</v>
      </c>
      <c r="AE275">
        <f t="shared" ca="1" si="43"/>
        <v>0</v>
      </c>
      <c r="AG275" s="65">
        <f t="shared" ca="1" si="47"/>
        <v>62.823218012855477</v>
      </c>
      <c r="AH275" s="65">
        <f t="shared" ca="1" si="48"/>
        <v>62.82321801285547</v>
      </c>
      <c r="AI275" s="3">
        <f t="shared" ca="1" si="49"/>
        <v>0</v>
      </c>
    </row>
    <row r="276" spans="7:35" x14ac:dyDescent="0.3">
      <c r="G276" s="3">
        <f t="shared" ca="1" si="44"/>
        <v>58</v>
      </c>
      <c r="H276" s="97">
        <f t="shared" ca="1" si="46"/>
        <v>45348</v>
      </c>
      <c r="I276" s="121">
        <f ca="1">HLOOKUP($H$4,'Met Data'!$A$2:$F$368,G276,FALSE)</f>
        <v>16.954166666666602</v>
      </c>
      <c r="J276" s="121">
        <f ca="1">HLOOKUP($H$4,'Met Data'!$H$2:$M$368,G276,FALSE)*L276</f>
        <v>0.93333333333333302</v>
      </c>
      <c r="K276" s="98">
        <f ca="1">HLOOKUP($H$4,'Met Data'!$O$2:$T$368,G276,FALSE)</f>
        <v>3.6102637976598602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45393</v>
      </c>
      <c r="Q276">
        <f ca="1"/>
        <v>60.602430388326113</v>
      </c>
      <c r="R276">
        <f ca="1"/>
        <v>1.2393745298152301</v>
      </c>
      <c r="S276">
        <f ca="1"/>
        <v>8.5488971062750631E-3</v>
      </c>
      <c r="T276">
        <f ca="1"/>
        <v>0.1363114147946633</v>
      </c>
      <c r="U276">
        <f ca="1"/>
        <v>0</v>
      </c>
      <c r="V276">
        <f ca="1"/>
        <v>28.9041996749202</v>
      </c>
      <c r="W276">
        <f ca="1"/>
        <v>26.441990072982499</v>
      </c>
      <c r="X276">
        <f ca="1"/>
        <v>0</v>
      </c>
      <c r="Y276">
        <f ca="1"/>
        <v>0.72031495222159836</v>
      </c>
      <c r="Z276">
        <f ca="1"/>
        <v>0</v>
      </c>
      <c r="AA276">
        <f ca="1"/>
        <v>0</v>
      </c>
      <c r="AB276">
        <f ca="1"/>
        <v>0.89486596609667401</v>
      </c>
      <c r="AD276" s="2">
        <f t="shared" ca="1" si="42"/>
        <v>45393</v>
      </c>
      <c r="AE276">
        <f t="shared" ca="1" si="43"/>
        <v>0</v>
      </c>
      <c r="AG276" s="65">
        <f t="shared" ca="1" si="47"/>
        <v>61.841804918141342</v>
      </c>
      <c r="AH276" s="65">
        <f t="shared" ca="1" si="48"/>
        <v>61.841804918141342</v>
      </c>
      <c r="AI276" s="3">
        <f t="shared" ca="1" si="49"/>
        <v>0</v>
      </c>
    </row>
    <row r="277" spans="7:35" x14ac:dyDescent="0.3">
      <c r="G277" s="3">
        <f t="shared" ca="1" si="44"/>
        <v>59</v>
      </c>
      <c r="H277" s="97">
        <f t="shared" ca="1" si="46"/>
        <v>45349</v>
      </c>
      <c r="I277" s="121">
        <f ca="1">HLOOKUP($H$4,'Met Data'!$A$2:$F$368,G277,FALSE)</f>
        <v>16.829166666666602</v>
      </c>
      <c r="J277" s="121">
        <f ca="1">HLOOKUP($H$4,'Met Data'!$H$2:$M$368,G277,FALSE)*L277</f>
        <v>0.41666666666666602</v>
      </c>
      <c r="K277" s="98">
        <f ca="1">HLOOKUP($H$4,'Met Data'!$O$2:$T$368,G277,FALSE)</f>
        <v>3.6752740997587301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45394</v>
      </c>
      <c r="Q277">
        <f ca="1"/>
        <v>59.50271906702956</v>
      </c>
      <c r="R277">
        <f ca="1"/>
        <v>1.24218149378167</v>
      </c>
      <c r="S277">
        <f ca="1"/>
        <v>7.4254079612131822E-3</v>
      </c>
      <c r="T277">
        <f ca="1"/>
        <v>0.13504476452390668</v>
      </c>
      <c r="U277">
        <f ca="1"/>
        <v>0</v>
      </c>
      <c r="V277">
        <f ca="1"/>
        <v>30.146381168701801</v>
      </c>
      <c r="W277">
        <f ca="1"/>
        <v>27.578356106182799</v>
      </c>
      <c r="X277">
        <f ca="1"/>
        <v>0</v>
      </c>
      <c r="Y277">
        <f ca="1"/>
        <v>0.74417239381081335</v>
      </c>
      <c r="Z277">
        <f ca="1"/>
        <v>0</v>
      </c>
      <c r="AA277">
        <f ca="1"/>
        <v>0</v>
      </c>
      <c r="AB277">
        <f ca="1"/>
        <v>0.90864495438495496</v>
      </c>
      <c r="AD277" s="2">
        <f t="shared" ca="1" si="42"/>
        <v>45394</v>
      </c>
      <c r="AE277">
        <f t="shared" ca="1" si="43"/>
        <v>0</v>
      </c>
      <c r="AG277" s="65">
        <f t="shared" ca="1" si="47"/>
        <v>60.744900560811232</v>
      </c>
      <c r="AH277" s="65">
        <f t="shared" ca="1" si="48"/>
        <v>60.744900560811232</v>
      </c>
      <c r="AI277" s="3">
        <f t="shared" ca="1" si="49"/>
        <v>0</v>
      </c>
    </row>
    <row r="278" spans="7:35" x14ac:dyDescent="0.3">
      <c r="G278" s="3">
        <f t="shared" ca="1" si="44"/>
        <v>60</v>
      </c>
      <c r="H278" s="97">
        <f t="shared" ca="1" si="46"/>
        <v>45350</v>
      </c>
      <c r="I278" s="121">
        <f ca="1">HLOOKUP($H$4,'Met Data'!$A$2:$F$368,G278,FALSE)</f>
        <v>17.512499999999999</v>
      </c>
      <c r="J278" s="121">
        <f ca="1">HLOOKUP($H$4,'Met Data'!$H$2:$M$368,G278,FALSE)*L278</f>
        <v>0.38333333333333303</v>
      </c>
      <c r="K278" s="98">
        <f ca="1">HLOOKUP($H$4,'Met Data'!$O$2:$T$368,G278,FALSE)</f>
        <v>3.6973328494211302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45395</v>
      </c>
      <c r="Q278">
        <f ca="1"/>
        <v>58.453906841224097</v>
      </c>
      <c r="R278">
        <f ca="1"/>
        <v>1.1809931963015501</v>
      </c>
      <c r="S278">
        <f ca="1"/>
        <v>6.1262020304399013E-3</v>
      </c>
      <c r="T278">
        <f ca="1"/>
        <v>0.12605476846564967</v>
      </c>
      <c r="U278">
        <f ca="1"/>
        <v>0</v>
      </c>
      <c r="V278">
        <f ca="1"/>
        <v>31.327374365003401</v>
      </c>
      <c r="W278">
        <f ca="1"/>
        <v>28.658746178354999</v>
      </c>
      <c r="X278">
        <f ca="1"/>
        <v>0</v>
      </c>
      <c r="Y278">
        <f ca="1"/>
        <v>0.76782007603575331</v>
      </c>
      <c r="Z278">
        <f ca="1"/>
        <v>0</v>
      </c>
      <c r="AA278">
        <f ca="1"/>
        <v>0</v>
      </c>
      <c r="AB278">
        <f ca="1"/>
        <v>0.91986664309919997</v>
      </c>
      <c r="AD278" s="2">
        <f t="shared" ca="1" si="42"/>
        <v>45395</v>
      </c>
      <c r="AE278">
        <f t="shared" ca="1" si="43"/>
        <v>0</v>
      </c>
      <c r="AG278" s="65">
        <f t="shared" ca="1" si="47"/>
        <v>59.634900037525647</v>
      </c>
      <c r="AH278" s="65">
        <f t="shared" ca="1" si="48"/>
        <v>59.634900037525647</v>
      </c>
      <c r="AI278" s="3">
        <f t="shared" ca="1" si="49"/>
        <v>0</v>
      </c>
    </row>
    <row r="279" spans="7:35" x14ac:dyDescent="0.3">
      <c r="G279" s="3">
        <f t="shared" ca="1" si="44"/>
        <v>61</v>
      </c>
      <c r="H279" s="97">
        <f t="shared" ca="1" si="46"/>
        <v>45351</v>
      </c>
      <c r="I279" s="121">
        <f ca="1">HLOOKUP($H$4,'Met Data'!$A$2:$F$368,G279,FALSE)</f>
        <v>17.1166666666666</v>
      </c>
      <c r="J279" s="121">
        <f ca="1">HLOOKUP($H$4,'Met Data'!$H$2:$M$368,G279,FALSE)*L279</f>
        <v>2.3166666666666602</v>
      </c>
      <c r="K279" s="98">
        <f ca="1">HLOOKUP($H$4,'Met Data'!$O$2:$T$368,G279,FALSE)</f>
        <v>3.5365052642272401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45396</v>
      </c>
      <c r="Q279">
        <f ca="1"/>
        <v>57.34382620109119</v>
      </c>
      <c r="R279">
        <f ca="1"/>
        <v>1.2429934015905499</v>
      </c>
      <c r="S279">
        <f ca="1"/>
        <v>5.405973727735925E-3</v>
      </c>
      <c r="T279">
        <f ca="1"/>
        <v>0.12750678772991086</v>
      </c>
      <c r="U279">
        <f ca="1"/>
        <v>0</v>
      </c>
      <c r="V279">
        <f ca="1"/>
        <v>32.570367766593897</v>
      </c>
      <c r="W279">
        <f ca="1"/>
        <v>29.795854956847101</v>
      </c>
      <c r="X279">
        <f ca="1"/>
        <v>0</v>
      </c>
      <c r="Y279">
        <f ca="1"/>
        <v>0.75839189531006557</v>
      </c>
      <c r="Z279">
        <f ca="1"/>
        <v>0</v>
      </c>
      <c r="AA279">
        <f ca="1"/>
        <v>0</v>
      </c>
      <c r="AB279">
        <f ca="1"/>
        <v>0.93000661628408898</v>
      </c>
      <c r="AD279" s="2">
        <f t="shared" ca="1" si="42"/>
        <v>45396</v>
      </c>
      <c r="AE279">
        <f t="shared" ca="1" si="43"/>
        <v>0</v>
      </c>
      <c r="AG279" s="65">
        <f t="shared" ca="1" si="47"/>
        <v>58.586819602681743</v>
      </c>
      <c r="AH279" s="65">
        <f t="shared" ca="1" si="48"/>
        <v>58.586819602681743</v>
      </c>
      <c r="AI279" s="3">
        <f t="shared" ca="1" si="49"/>
        <v>0</v>
      </c>
    </row>
    <row r="280" spans="7:35" x14ac:dyDescent="0.3">
      <c r="G280" s="3">
        <f t="shared" ca="1" si="44"/>
        <v>62</v>
      </c>
      <c r="H280" s="97">
        <f t="shared" ca="1" si="46"/>
        <v>45352</v>
      </c>
      <c r="I280" s="121">
        <f ca="1">HLOOKUP($H$4,'Met Data'!$A$2:$F$368,G280,FALSE)</f>
        <v>17.037500000000001</v>
      </c>
      <c r="J280" s="121">
        <f ca="1">HLOOKUP($H$4,'Met Data'!$H$2:$M$368,G280,FALSE)*L280</f>
        <v>2.18333333333333</v>
      </c>
      <c r="K280" s="98">
        <f ca="1">HLOOKUP($H$4,'Met Data'!$O$2:$T$368,G280,FALSE)</f>
        <v>3.0680063753167199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45397</v>
      </c>
      <c r="Q280">
        <f ca="1"/>
        <v>56.191448476581314</v>
      </c>
      <c r="R280">
        <f ca="1"/>
        <v>1.2951360011333499</v>
      </c>
      <c r="S280">
        <f ca="1"/>
        <v>5.0872257139216353E-3</v>
      </c>
      <c r="T280">
        <f ca="1"/>
        <v>0.13767105090954337</v>
      </c>
      <c r="U280">
        <f ca="1"/>
        <v>0</v>
      </c>
      <c r="V280">
        <f ca="1"/>
        <v>33.865503767727297</v>
      </c>
      <c r="W280">
        <f ca="1"/>
        <v>30.980664557883902</v>
      </c>
      <c r="X280">
        <f ca="1"/>
        <v>0</v>
      </c>
      <c r="Y280">
        <f ca="1"/>
        <v>0.80769808922104758</v>
      </c>
      <c r="Z280">
        <f ca="1"/>
        <v>0</v>
      </c>
      <c r="AA280">
        <f ca="1"/>
        <v>0</v>
      </c>
      <c r="AB280">
        <f ca="1"/>
        <v>0.93903478907457505</v>
      </c>
      <c r="AD280" s="2">
        <f t="shared" ca="1" si="42"/>
        <v>45397</v>
      </c>
      <c r="AE280">
        <f t="shared" ca="1" si="43"/>
        <v>0</v>
      </c>
      <c r="AG280" s="65">
        <f t="shared" ca="1" si="47"/>
        <v>57.486584477714658</v>
      </c>
      <c r="AH280" s="65">
        <f t="shared" ca="1" si="48"/>
        <v>57.486584477714665</v>
      </c>
      <c r="AI280" s="3">
        <f t="shared" ca="1" si="49"/>
        <v>0</v>
      </c>
    </row>
    <row r="281" spans="7:35" x14ac:dyDescent="0.3">
      <c r="G281" s="3">
        <f t="shared" ca="1" si="44"/>
        <v>63</v>
      </c>
      <c r="H281" s="97">
        <f t="shared" ca="1" si="46"/>
        <v>45353</v>
      </c>
      <c r="I281" s="121">
        <f ca="1">HLOOKUP($H$4,'Met Data'!$A$2:$F$368,G281,FALSE)</f>
        <v>17.204166666666602</v>
      </c>
      <c r="J281" s="121">
        <f ca="1">HLOOKUP($H$4,'Met Data'!$H$2:$M$368,G281,FALSE)*L281</f>
        <v>0.61666666666666603</v>
      </c>
      <c r="K281" s="98">
        <f ca="1">HLOOKUP($H$4,'Met Data'!$O$2:$T$368,G281,FALSE)</f>
        <v>3.2161744467378801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45398</v>
      </c>
      <c r="Q281">
        <f ca="1"/>
        <v>55.025263139058623</v>
      </c>
      <c r="R281">
        <f ca="1"/>
        <v>1.30791403268562</v>
      </c>
      <c r="S281">
        <f ca="1"/>
        <v>4.4013429848009438E-3</v>
      </c>
      <c r="T281">
        <f ca="1"/>
        <v>0.13732735217813677</v>
      </c>
      <c r="U281">
        <f ca="1"/>
        <v>0</v>
      </c>
      <c r="V281">
        <f ca="1"/>
        <v>35.173417800412899</v>
      </c>
      <c r="W281">
        <f ca="1"/>
        <v>32.177163691488801</v>
      </c>
      <c r="X281">
        <f ca="1"/>
        <v>0</v>
      </c>
      <c r="Y281">
        <f ca="1"/>
        <v>0.82432369853447907</v>
      </c>
      <c r="Z281">
        <f ca="1"/>
        <v>0</v>
      </c>
      <c r="AA281">
        <f ca="1"/>
        <v>0</v>
      </c>
      <c r="AB281">
        <f ca="1"/>
        <v>0.94681584870000701</v>
      </c>
      <c r="AD281" s="2">
        <f t="shared" ca="1" si="42"/>
        <v>45398</v>
      </c>
      <c r="AE281">
        <f t="shared" ca="1" si="43"/>
        <v>0</v>
      </c>
      <c r="AG281" s="65">
        <f t="shared" ca="1" si="47"/>
        <v>56.333177171744254</v>
      </c>
      <c r="AH281" s="65">
        <f t="shared" ca="1" si="48"/>
        <v>56.333177171744246</v>
      </c>
      <c r="AI281" s="3">
        <f t="shared" ca="1" si="49"/>
        <v>0</v>
      </c>
    </row>
    <row r="282" spans="7:35" x14ac:dyDescent="0.3">
      <c r="G282" s="3">
        <f t="shared" ca="1" si="44"/>
        <v>64</v>
      </c>
      <c r="H282" s="97">
        <f t="shared" ca="1" si="46"/>
        <v>45354</v>
      </c>
      <c r="I282" s="121">
        <f ca="1">HLOOKUP($H$4,'Met Data'!$A$2:$F$368,G282,FALSE)</f>
        <v>16.720833333333299</v>
      </c>
      <c r="J282" s="121">
        <f ca="1">HLOOKUP($H$4,'Met Data'!$H$2:$M$368,G282,FALSE)*L282</f>
        <v>2.93333333333333</v>
      </c>
      <c r="K282" s="98">
        <f ca="1">HLOOKUP($H$4,'Met Data'!$O$2:$T$368,G282,FALSE)</f>
        <v>2.8476580172568502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45399</v>
      </c>
      <c r="Q282">
        <f ca="1"/>
        <v>53.817367989641951</v>
      </c>
      <c r="R282">
        <f ca="1"/>
        <v>1.3507442288751299</v>
      </c>
      <c r="S282">
        <f ca="1"/>
        <v>3.8494427124860162E-3</v>
      </c>
      <c r="T282">
        <f ca="1"/>
        <v>0.13899963674596313</v>
      </c>
      <c r="U282">
        <f ca="1"/>
        <v>0</v>
      </c>
      <c r="V282">
        <f ca="1"/>
        <v>36.524162029288</v>
      </c>
      <c r="W282">
        <f ca="1"/>
        <v>33.412844523089397</v>
      </c>
      <c r="X282">
        <f ca="1"/>
        <v>0</v>
      </c>
      <c r="Y282">
        <f ca="1"/>
        <v>0.83088444238440762</v>
      </c>
      <c r="Z282">
        <f ca="1"/>
        <v>0</v>
      </c>
      <c r="AA282">
        <f ca="1"/>
        <v>0</v>
      </c>
      <c r="AB282">
        <f ca="1"/>
        <v>0.95367236215168205</v>
      </c>
      <c r="AD282" s="2">
        <f t="shared" ca="1" si="42"/>
        <v>45399</v>
      </c>
      <c r="AE282">
        <f t="shared" ca="1" si="43"/>
        <v>0</v>
      </c>
      <c r="AG282" s="65">
        <f t="shared" ca="1" si="47"/>
        <v>55.168112218517074</v>
      </c>
      <c r="AH282" s="65">
        <f t="shared" ca="1" si="48"/>
        <v>55.168112218517081</v>
      </c>
      <c r="AI282" s="3">
        <f t="shared" ca="1" si="49"/>
        <v>0</v>
      </c>
    </row>
    <row r="283" spans="7:35" x14ac:dyDescent="0.3">
      <c r="G283" s="3">
        <f t="shared" ca="1" si="44"/>
        <v>65</v>
      </c>
      <c r="H283" s="97">
        <f t="shared" ca="1" si="46"/>
        <v>45355</v>
      </c>
      <c r="I283" s="121">
        <f ca="1">HLOOKUP($H$4,'Met Data'!$A$2:$F$368,G283,FALSE)</f>
        <v>17.05</v>
      </c>
      <c r="J283" s="121">
        <f ca="1">HLOOKUP($H$4,'Met Data'!$H$2:$M$368,G283,FALSE)*L283</f>
        <v>3.5</v>
      </c>
      <c r="K283" s="98">
        <f ca="1">HLOOKUP($H$4,'Met Data'!$O$2:$T$368,G283,FALSE)</f>
        <v>3.0856400612975601</v>
      </c>
      <c r="L283">
        <f t="shared" ca="1" si="40"/>
        <v>1</v>
      </c>
      <c r="N283" t="b">
        <f t="shared" ca="1" si="45"/>
        <v>0</v>
      </c>
      <c r="O283" t="b">
        <f t="shared" ca="1" si="41"/>
        <v>0</v>
      </c>
      <c r="P283" s="2">
        <f ca="1"/>
        <v>45400</v>
      </c>
      <c r="Q283">
        <f ca="1"/>
        <v>52.636721288887543</v>
      </c>
      <c r="R283">
        <f ca="1"/>
        <v>1.3139590116444</v>
      </c>
      <c r="S283">
        <f ca="1"/>
        <v>3.1421953049827604E-3</v>
      </c>
      <c r="T283">
        <f ca="1"/>
        <v>0.13017011558501893</v>
      </c>
      <c r="U283">
        <f ca="1"/>
        <v>0</v>
      </c>
      <c r="V283">
        <f ca="1"/>
        <v>37.8381210409324</v>
      </c>
      <c r="W283">
        <f ca="1"/>
        <v>34.614873693001201</v>
      </c>
      <c r="X283">
        <f ca="1"/>
        <v>0</v>
      </c>
      <c r="Y283">
        <f ca="1"/>
        <v>0.83012005564195734</v>
      </c>
      <c r="Z283">
        <f ca="1"/>
        <v>0</v>
      </c>
      <c r="AA283">
        <f ca="1"/>
        <v>0</v>
      </c>
      <c r="AB283">
        <f ca="1"/>
        <v>0.95937860152673005</v>
      </c>
      <c r="AD283" s="2">
        <f t="shared" ca="1" si="42"/>
        <v>45400</v>
      </c>
      <c r="AE283">
        <f t="shared" ca="1" si="43"/>
        <v>0</v>
      </c>
      <c r="AG283" s="65">
        <f t="shared" ca="1" si="47"/>
        <v>53.95068030053195</v>
      </c>
      <c r="AH283" s="65">
        <f t="shared" ca="1" si="48"/>
        <v>53.950680300531943</v>
      </c>
      <c r="AI283" s="3">
        <f t="shared" ca="1" si="49"/>
        <v>0</v>
      </c>
    </row>
    <row r="284" spans="7:35" x14ac:dyDescent="0.3">
      <c r="G284" s="3">
        <f t="shared" ca="1" si="44"/>
        <v>66</v>
      </c>
      <c r="H284" s="97">
        <f t="shared" ca="1" si="46"/>
        <v>45356</v>
      </c>
      <c r="I284" s="121">
        <f ca="1">HLOOKUP($H$4,'Met Data'!$A$2:$F$368,G284,FALSE)</f>
        <v>16.5625</v>
      </c>
      <c r="J284" s="121">
        <f ca="1">HLOOKUP($H$4,'Met Data'!$H$2:$M$368,G284,FALSE)*L284</f>
        <v>1.9166666666666601</v>
      </c>
      <c r="K284" s="98">
        <f ca="1">HLOOKUP($H$4,'Met Data'!$O$2:$T$368,G284,FALSE)</f>
        <v>2.4477007585282702</v>
      </c>
      <c r="L284">
        <f t="shared" ca="1" si="40"/>
        <v>1</v>
      </c>
      <c r="N284" t="b">
        <f t="shared" ca="1" si="45"/>
        <v>0</v>
      </c>
      <c r="O284" t="b">
        <f t="shared" ca="1" si="41"/>
        <v>0</v>
      </c>
      <c r="P284" s="2">
        <f ca="1"/>
        <v>45401</v>
      </c>
      <c r="Q284">
        <f ca="1"/>
        <v>51.294188210373903</v>
      </c>
      <c r="R284">
        <f ca="1"/>
        <v>1.49095044201098</v>
      </c>
      <c r="S284">
        <f ca="1"/>
        <v>3.0046618969702672E-3</v>
      </c>
      <c r="T284">
        <f ca="1"/>
        <v>0.14541270160036945</v>
      </c>
      <c r="U284">
        <f ca="1"/>
        <v>0</v>
      </c>
      <c r="V284">
        <f ca="1"/>
        <v>39.329071482943398</v>
      </c>
      <c r="W284">
        <f ca="1"/>
        <v>35.9788172455075</v>
      </c>
      <c r="X284">
        <f ca="1"/>
        <v>0</v>
      </c>
      <c r="Y284">
        <f ca="1"/>
        <v>0.82573099394446936</v>
      </c>
      <c r="Z284">
        <f ca="1"/>
        <v>0</v>
      </c>
      <c r="AA284">
        <f ca="1"/>
        <v>0</v>
      </c>
      <c r="AB284">
        <f ca="1"/>
        <v>0.96489381803234198</v>
      </c>
      <c r="AD284" s="2">
        <f t="shared" ca="1" si="42"/>
        <v>45401</v>
      </c>
      <c r="AE284">
        <f t="shared" ca="1" si="43"/>
        <v>0</v>
      </c>
      <c r="AG284" s="65">
        <f t="shared" ca="1" si="47"/>
        <v>52.785138652384887</v>
      </c>
      <c r="AH284" s="65">
        <f t="shared" ca="1" si="48"/>
        <v>52.78513865238488</v>
      </c>
      <c r="AI284" s="3">
        <f t="shared" ca="1" si="49"/>
        <v>0</v>
      </c>
    </row>
    <row r="285" spans="7:35" x14ac:dyDescent="0.3">
      <c r="G285" s="3">
        <f t="shared" ca="1" si="44"/>
        <v>67</v>
      </c>
      <c r="H285" s="97">
        <f t="shared" ca="1" si="46"/>
        <v>45357</v>
      </c>
      <c r="I285" s="121">
        <f ca="1">HLOOKUP($H$4,'Met Data'!$A$2:$F$368,G285,FALSE)</f>
        <v>16.349999999999898</v>
      </c>
      <c r="J285" s="121">
        <f ca="1">HLOOKUP($H$4,'Met Data'!$H$2:$M$368,G285,FALSE)*L285</f>
        <v>5.4</v>
      </c>
      <c r="K285" s="98">
        <f ca="1">HLOOKUP($H$4,'Met Data'!$O$2:$T$368,G285,FALSE)</f>
        <v>3.2051572713162999</v>
      </c>
      <c r="L285">
        <f t="shared" ca="1" si="40"/>
        <v>1</v>
      </c>
      <c r="N285" t="b">
        <f t="shared" ca="1" si="45"/>
        <v>0</v>
      </c>
      <c r="O285" t="b">
        <f t="shared" ca="1" si="41"/>
        <v>0</v>
      </c>
      <c r="P285" s="2">
        <f ca="1"/>
        <v>45402</v>
      </c>
      <c r="Q285">
        <f ca="1"/>
        <v>49.910437751592212</v>
      </c>
      <c r="R285">
        <f ca="1"/>
        <v>1.5325066009733099</v>
      </c>
      <c r="S285">
        <f ca="1"/>
        <v>2.5920134737501014E-3</v>
      </c>
      <c r="T285">
        <f ca="1"/>
        <v>0.14616412871786666</v>
      </c>
      <c r="U285">
        <f ca="1"/>
        <v>0</v>
      </c>
      <c r="V285">
        <f ca="1"/>
        <v>40.861578083916697</v>
      </c>
      <c r="W285">
        <f ca="1"/>
        <v>37.380776987879401</v>
      </c>
      <c r="X285">
        <f ca="1"/>
        <v>0</v>
      </c>
      <c r="Y285">
        <f ca="1"/>
        <v>0.83053180806448001</v>
      </c>
      <c r="Z285">
        <f ca="1"/>
        <v>0</v>
      </c>
      <c r="AA285">
        <f ca="1"/>
        <v>0</v>
      </c>
      <c r="AB285">
        <f ca="1"/>
        <v>0.96967998847191805</v>
      </c>
      <c r="AD285" s="2">
        <f t="shared" ca="1" si="42"/>
        <v>45402</v>
      </c>
      <c r="AE285">
        <f t="shared" ca="1" si="43"/>
        <v>0</v>
      </c>
      <c r="AG285" s="65">
        <f t="shared" ca="1" si="47"/>
        <v>51.442944352565519</v>
      </c>
      <c r="AH285" s="65">
        <f t="shared" ca="1" si="48"/>
        <v>51.442944352565519</v>
      </c>
      <c r="AI285" s="3">
        <f t="shared" ca="1" si="49"/>
        <v>0</v>
      </c>
    </row>
    <row r="286" spans="7:35" x14ac:dyDescent="0.3">
      <c r="G286" s="3">
        <f t="shared" ca="1" si="44"/>
        <v>68</v>
      </c>
      <c r="H286" s="97">
        <f t="shared" ca="1" si="46"/>
        <v>45358</v>
      </c>
      <c r="I286" s="121">
        <f ca="1">HLOOKUP($H$4,'Met Data'!$A$2:$F$368,G286,FALSE)</f>
        <v>16.404166666666601</v>
      </c>
      <c r="J286" s="121">
        <f ca="1">HLOOKUP($H$4,'Met Data'!$H$2:$M$368,G286,FALSE)*L286</f>
        <v>1.7666666666666599</v>
      </c>
      <c r="K286" s="98">
        <f ca="1">HLOOKUP($H$4,'Met Data'!$O$2:$T$368,G286,FALSE)</f>
        <v>3.3473688975414899</v>
      </c>
      <c r="L286">
        <f t="shared" ca="1" si="40"/>
        <v>1</v>
      </c>
      <c r="N286" t="b">
        <f t="shared" ca="1" si="45"/>
        <v>0</v>
      </c>
      <c r="O286" t="b">
        <f t="shared" ca="1" si="41"/>
        <v>0</v>
      </c>
      <c r="P286" s="2">
        <f ca="1"/>
        <v>45403</v>
      </c>
      <c r="Q286">
        <f ca="1"/>
        <v>48.549693546870458</v>
      </c>
      <c r="R286">
        <f ca="1"/>
        <v>1.4994243679797099</v>
      </c>
      <c r="S286">
        <f ca="1"/>
        <v>2.0987506248025894E-3</v>
      </c>
      <c r="T286">
        <f ca="1"/>
        <v>0.13658141263314566</v>
      </c>
      <c r="U286">
        <f ca="1"/>
        <v>0</v>
      </c>
      <c r="V286">
        <f ca="1"/>
        <v>42.361002451896397</v>
      </c>
      <c r="W286">
        <f ca="1"/>
        <v>38.752472613401601</v>
      </c>
      <c r="X286">
        <f ca="1"/>
        <v>0</v>
      </c>
      <c r="Y286">
        <f ca="1"/>
        <v>0.82318905632513806</v>
      </c>
      <c r="Z286">
        <f ca="1"/>
        <v>0</v>
      </c>
      <c r="AA286">
        <f ca="1"/>
        <v>0</v>
      </c>
      <c r="AB286">
        <f ca="1"/>
        <v>0.97364700060746501</v>
      </c>
      <c r="AD286" s="2">
        <f t="shared" ca="1" si="42"/>
        <v>45403</v>
      </c>
      <c r="AE286">
        <f t="shared" ca="1" si="43"/>
        <v>0</v>
      </c>
      <c r="AG286" s="65">
        <f t="shared" ca="1" si="47"/>
        <v>50.049117914850164</v>
      </c>
      <c r="AH286" s="65">
        <f t="shared" ca="1" si="48"/>
        <v>50.049117914850164</v>
      </c>
      <c r="AI286" s="3">
        <f t="shared" ca="1" si="49"/>
        <v>0</v>
      </c>
    </row>
    <row r="287" spans="7:35" x14ac:dyDescent="0.3">
      <c r="G287" s="3">
        <f t="shared" ca="1" si="44"/>
        <v>69</v>
      </c>
      <c r="H287" s="97">
        <f t="shared" ca="1" si="46"/>
        <v>45359</v>
      </c>
      <c r="I287" s="121">
        <f ca="1">HLOOKUP($H$4,'Met Data'!$A$2:$F$368,G287,FALSE)</f>
        <v>16.174999999999901</v>
      </c>
      <c r="J287" s="121">
        <f ca="1">HLOOKUP($H$4,'Met Data'!$H$2:$M$368,G287,FALSE)*L287</f>
        <v>0.54999999999999905</v>
      </c>
      <c r="K287" s="98">
        <f ca="1">HLOOKUP($H$4,'Met Data'!$O$2:$T$368,G287,FALSE)</f>
        <v>3.3552920602916099</v>
      </c>
      <c r="L287">
        <f t="shared" ca="1" si="40"/>
        <v>1</v>
      </c>
      <c r="N287" t="b">
        <f t="shared" ca="1" si="45"/>
        <v>0</v>
      </c>
      <c r="O287" t="b">
        <f t="shared" ca="1" si="41"/>
        <v>0</v>
      </c>
      <c r="P287" s="2">
        <f ca="1"/>
        <v>45404</v>
      </c>
      <c r="Q287">
        <f ca="1"/>
        <v>47.115366380559237</v>
      </c>
      <c r="R287">
        <f ca="1"/>
        <v>1.5744804402684001</v>
      </c>
      <c r="S287">
        <f ca="1"/>
        <v>1.8336188478925836E-3</v>
      </c>
      <c r="T287">
        <f ca="1"/>
        <v>0.13831965510927469</v>
      </c>
      <c r="U287">
        <f ca="1"/>
        <v>0</v>
      </c>
      <c r="V287">
        <f ca="1"/>
        <v>43.935482892164799</v>
      </c>
      <c r="W287">
        <f ca="1"/>
        <v>40.192830645795198</v>
      </c>
      <c r="X287">
        <f ca="1"/>
        <v>0</v>
      </c>
      <c r="Y287">
        <f ca="1"/>
        <v>0.81186291577045988</v>
      </c>
      <c r="Z287">
        <f ca="1"/>
        <v>0</v>
      </c>
      <c r="AA287">
        <f ca="1"/>
        <v>0</v>
      </c>
      <c r="AB287">
        <f ca="1"/>
        <v>0.97718229439538096</v>
      </c>
      <c r="AD287" s="2">
        <f t="shared" ca="1" si="42"/>
        <v>45404</v>
      </c>
      <c r="AE287">
        <f t="shared" ca="1" si="43"/>
        <v>0</v>
      </c>
      <c r="AG287" s="65">
        <f t="shared" ca="1" si="47"/>
        <v>48.689846820827626</v>
      </c>
      <c r="AH287" s="65">
        <f t="shared" ca="1" si="48"/>
        <v>48.68984682082764</v>
      </c>
      <c r="AI287" s="3">
        <f t="shared" ca="1" si="49"/>
        <v>0</v>
      </c>
    </row>
    <row r="288" spans="7:35" x14ac:dyDescent="0.3">
      <c r="G288" s="3">
        <f t="shared" ca="1" si="44"/>
        <v>70</v>
      </c>
      <c r="H288" s="97">
        <f t="shared" ca="1" si="46"/>
        <v>45360</v>
      </c>
      <c r="I288" s="121">
        <f ca="1">HLOOKUP($H$4,'Met Data'!$A$2:$F$368,G288,FALSE)</f>
        <v>16.625</v>
      </c>
      <c r="J288" s="121">
        <f ca="1">HLOOKUP($H$4,'Met Data'!$H$2:$M$368,G288,FALSE)*L288</f>
        <v>2.0666666666666602</v>
      </c>
      <c r="K288" s="98">
        <f ca="1">HLOOKUP($H$4,'Met Data'!$O$2:$T$368,G288,FALSE)</f>
        <v>3.2920876744510998</v>
      </c>
      <c r="L288">
        <f t="shared" ca="1" si="40"/>
        <v>1</v>
      </c>
      <c r="N288" t="b">
        <f t="shared" ca="1" si="45"/>
        <v>0</v>
      </c>
      <c r="O288" t="b">
        <f t="shared" ca="1" si="41"/>
        <v>0</v>
      </c>
      <c r="P288" s="2">
        <f ca="1"/>
        <v>45405</v>
      </c>
      <c r="Q288">
        <f ca="1"/>
        <v>45.546294517049546</v>
      </c>
      <c r="R288">
        <f ca="1"/>
        <v>1.7217137727313001</v>
      </c>
      <c r="S288">
        <f ca="1"/>
        <v>1.7052811703593175E-3</v>
      </c>
      <c r="T288">
        <f ca="1"/>
        <v>0.1509366280512488</v>
      </c>
      <c r="U288">
        <f ca="1"/>
        <v>0</v>
      </c>
      <c r="V288">
        <f ca="1"/>
        <v>45.657196664896098</v>
      </c>
      <c r="W288">
        <f ca="1"/>
        <v>41.767879911960499</v>
      </c>
      <c r="X288">
        <f ca="1"/>
        <v>0</v>
      </c>
      <c r="Y288">
        <f ca="1"/>
        <v>0.81989369330157613</v>
      </c>
      <c r="Z288">
        <f ca="1"/>
        <v>0</v>
      </c>
      <c r="AA288">
        <f ca="1"/>
        <v>0</v>
      </c>
      <c r="AB288">
        <f ca="1"/>
        <v>0.98043870650590004</v>
      </c>
      <c r="AD288" s="2">
        <f t="shared" ca="1" si="42"/>
        <v>45405</v>
      </c>
      <c r="AE288">
        <f t="shared" ca="1" si="43"/>
        <v>0</v>
      </c>
      <c r="AG288" s="65">
        <f t="shared" ca="1" si="47"/>
        <v>47.268008289780845</v>
      </c>
      <c r="AH288" s="65">
        <f t="shared" ca="1" si="48"/>
        <v>47.268008289780845</v>
      </c>
      <c r="AI288" s="3">
        <f t="shared" ca="1" si="49"/>
        <v>0</v>
      </c>
    </row>
    <row r="289" spans="7:35" x14ac:dyDescent="0.3">
      <c r="G289" s="3">
        <f t="shared" ca="1" si="44"/>
        <v>71</v>
      </c>
      <c r="H289" s="97">
        <f t="shared" ca="1" si="46"/>
        <v>45361</v>
      </c>
      <c r="I289" s="121">
        <f ca="1">HLOOKUP($H$4,'Met Data'!$A$2:$F$368,G289,FALSE)</f>
        <v>16.266666666666602</v>
      </c>
      <c r="J289" s="121">
        <f ca="1">HLOOKUP($H$4,'Met Data'!$H$2:$M$368,G289,FALSE)*L289</f>
        <v>3.44999999999999</v>
      </c>
      <c r="K289" s="98">
        <f ca="1">HLOOKUP($H$4,'Met Data'!$O$2:$T$368,G289,FALSE)</f>
        <v>2.5592177640993499</v>
      </c>
      <c r="L289">
        <f t="shared" ca="1" si="40"/>
        <v>1</v>
      </c>
      <c r="N289" t="b">
        <f t="shared" ca="1" si="45"/>
        <v>0</v>
      </c>
      <c r="O289" t="b">
        <f t="shared" ca="1" si="41"/>
        <v>0</v>
      </c>
      <c r="P289" s="2">
        <f ca="1"/>
        <v>45406</v>
      </c>
      <c r="Q289">
        <f ca="1"/>
        <v>43.984881777696216</v>
      </c>
      <c r="R289">
        <f ca="1"/>
        <v>1.71840687110722</v>
      </c>
      <c r="S289">
        <f ca="1"/>
        <v>1.5022335150141127E-3</v>
      </c>
      <c r="T289">
        <f ca="1"/>
        <v>0.15549189823887521</v>
      </c>
      <c r="U289">
        <f ca="1"/>
        <v>0</v>
      </c>
      <c r="V289">
        <f ca="1"/>
        <v>47.375603536003403</v>
      </c>
      <c r="W289">
        <f ca="1"/>
        <v>43.339903975528998</v>
      </c>
      <c r="X289">
        <f ca="1"/>
        <v>0</v>
      </c>
      <c r="Y289">
        <f ca="1"/>
        <v>0.86927340850771129</v>
      </c>
      <c r="Z289">
        <f ca="1"/>
        <v>0</v>
      </c>
      <c r="AA289">
        <f ca="1"/>
        <v>0</v>
      </c>
      <c r="AB289">
        <f ca="1"/>
        <v>0.98316750657933805</v>
      </c>
      <c r="AD289" s="2">
        <f t="shared" ca="1" si="42"/>
        <v>45406</v>
      </c>
      <c r="AE289">
        <f t="shared" ca="1" si="43"/>
        <v>0</v>
      </c>
      <c r="AG289" s="65">
        <f t="shared" ca="1" si="47"/>
        <v>45.703288648803436</v>
      </c>
      <c r="AH289" s="65">
        <f t="shared" ca="1" si="48"/>
        <v>45.703288648803436</v>
      </c>
      <c r="AI289" s="3">
        <f t="shared" ca="1" si="49"/>
        <v>0</v>
      </c>
    </row>
    <row r="290" spans="7:35" x14ac:dyDescent="0.3">
      <c r="G290" s="3">
        <f t="shared" ca="1" si="44"/>
        <v>72</v>
      </c>
      <c r="H290" s="97">
        <f t="shared" ca="1" si="46"/>
        <v>45362</v>
      </c>
      <c r="I290" s="121">
        <f ca="1">HLOOKUP($H$4,'Met Data'!$A$2:$F$368,G290,FALSE)</f>
        <v>16.404166666666601</v>
      </c>
      <c r="J290" s="121">
        <f ca="1">HLOOKUP($H$4,'Met Data'!$H$2:$M$368,G290,FALSE)*L290</f>
        <v>1.5833333333333299</v>
      </c>
      <c r="K290" s="98">
        <f ca="1">HLOOKUP($H$4,'Met Data'!$O$2:$T$368,G290,FALSE)</f>
        <v>2.85115032224514</v>
      </c>
      <c r="L290">
        <f t="shared" ca="1" si="40"/>
        <v>1</v>
      </c>
      <c r="N290" t="b">
        <f t="shared" ca="1" si="45"/>
        <v>0</v>
      </c>
      <c r="O290" t="b">
        <f t="shared" ca="1" si="41"/>
        <v>0</v>
      </c>
      <c r="P290" s="2">
        <f ca="1"/>
        <v>45407</v>
      </c>
      <c r="Q290">
        <f ca="1"/>
        <v>42.432344099786619</v>
      </c>
      <c r="R290">
        <f ca="1"/>
        <v>1.7017774047663301</v>
      </c>
      <c r="S290">
        <f ca="1"/>
        <v>1.2245117175816585E-3</v>
      </c>
      <c r="T290">
        <f ca="1"/>
        <v>0.14801521513915725</v>
      </c>
      <c r="U290">
        <f ca="1"/>
        <v>0</v>
      </c>
      <c r="V290">
        <f ca="1"/>
        <v>49.0773809407697</v>
      </c>
      <c r="W290">
        <f ca="1"/>
        <v>44.896715156926298</v>
      </c>
      <c r="X290">
        <f ca="1"/>
        <v>0</v>
      </c>
      <c r="Y290">
        <f ca="1"/>
        <v>0.862659363020018</v>
      </c>
      <c r="Z290">
        <f ca="1"/>
        <v>0</v>
      </c>
      <c r="AA290">
        <f ca="1"/>
        <v>0</v>
      </c>
      <c r="AB290">
        <f ca="1"/>
        <v>0.98544850907201498</v>
      </c>
      <c r="AD290" s="2">
        <f t="shared" ca="1" si="42"/>
        <v>45407</v>
      </c>
      <c r="AE290">
        <f t="shared" ca="1" si="43"/>
        <v>0</v>
      </c>
      <c r="AG290" s="65">
        <f t="shared" ca="1" si="47"/>
        <v>44.134121504552958</v>
      </c>
      <c r="AH290" s="65">
        <f t="shared" ca="1" si="48"/>
        <v>44.134121504552951</v>
      </c>
      <c r="AI290" s="3">
        <f t="shared" ca="1" si="49"/>
        <v>0</v>
      </c>
    </row>
    <row r="291" spans="7:35" x14ac:dyDescent="0.3">
      <c r="G291" s="3">
        <f t="shared" ca="1" si="44"/>
        <v>73</v>
      </c>
      <c r="H291" s="97">
        <f t="shared" ca="1" si="46"/>
        <v>45363</v>
      </c>
      <c r="I291" s="121">
        <f ca="1">HLOOKUP($H$4,'Met Data'!$A$2:$F$368,G291,FALSE)</f>
        <v>15.324999999999999</v>
      </c>
      <c r="J291" s="121">
        <f ca="1">HLOOKUP($H$4,'Met Data'!$H$2:$M$368,G291,FALSE)*L291</f>
        <v>1.38333333333333</v>
      </c>
      <c r="K291" s="98">
        <f ca="1">HLOOKUP($H$4,'Met Data'!$O$2:$T$368,G291,FALSE)</f>
        <v>2.7545575054438101</v>
      </c>
      <c r="L291">
        <f t="shared" ca="1" si="40"/>
        <v>1</v>
      </c>
      <c r="N291" t="b">
        <f t="shared" ca="1" si="45"/>
        <v>0</v>
      </c>
      <c r="O291" t="b">
        <f t="shared" ca="1" si="41"/>
        <v>0</v>
      </c>
      <c r="P291" s="2">
        <f ca="1"/>
        <v>45408</v>
      </c>
      <c r="Q291">
        <f ca="1"/>
        <v>40.747330239321826</v>
      </c>
      <c r="R291">
        <f ca="1"/>
        <v>1.8506382410367499</v>
      </c>
      <c r="S291">
        <f ca="1"/>
        <v>1.1454338705138151E-3</v>
      </c>
      <c r="T291">
        <f ca="1"/>
        <v>0.16447894670145069</v>
      </c>
      <c r="U291">
        <f ca="1"/>
        <v>0</v>
      </c>
      <c r="V291">
        <f ca="1"/>
        <v>50.928019181806398</v>
      </c>
      <c r="W291">
        <f ca="1"/>
        <v>46.589706436689603</v>
      </c>
      <c r="X291">
        <f ca="1"/>
        <v>0</v>
      </c>
      <c r="Y291">
        <f ca="1"/>
        <v>0.88777809249305972</v>
      </c>
      <c r="Z291">
        <f ca="1"/>
        <v>0</v>
      </c>
      <c r="AA291">
        <f ca="1"/>
        <v>0</v>
      </c>
      <c r="AB291">
        <f ca="1"/>
        <v>0.98753812907991101</v>
      </c>
      <c r="AD291" s="2">
        <f t="shared" ca="1" si="42"/>
        <v>45408</v>
      </c>
      <c r="AE291">
        <f t="shared" ca="1" si="43"/>
        <v>0</v>
      </c>
      <c r="AG291" s="65">
        <f t="shared" ca="1" si="47"/>
        <v>42.597968480358581</v>
      </c>
      <c r="AH291" s="65">
        <f t="shared" ca="1" si="48"/>
        <v>42.597968480358574</v>
      </c>
      <c r="AI291" s="3">
        <f t="shared" ca="1" si="49"/>
        <v>0</v>
      </c>
    </row>
    <row r="292" spans="7:35" x14ac:dyDescent="0.3">
      <c r="G292" s="3">
        <f t="shared" ca="1" si="44"/>
        <v>74</v>
      </c>
      <c r="H292" s="97">
        <f t="shared" ca="1" si="46"/>
        <v>45364</v>
      </c>
      <c r="I292" s="121">
        <f ca="1">HLOOKUP($H$4,'Met Data'!$A$2:$F$368,G292,FALSE)</f>
        <v>15.8333333333333</v>
      </c>
      <c r="J292" s="121">
        <f ca="1">HLOOKUP($H$4,'Met Data'!$H$2:$M$368,G292,FALSE)*L292</f>
        <v>0.483333333333333</v>
      </c>
      <c r="K292" s="98">
        <f ca="1">HLOOKUP($H$4,'Met Data'!$O$2:$T$368,G292,FALSE)</f>
        <v>2.9925841251346701</v>
      </c>
      <c r="L292">
        <f t="shared" ca="1" si="40"/>
        <v>1</v>
      </c>
      <c r="N292" t="b">
        <f t="shared" ca="1" si="45"/>
        <v>0</v>
      </c>
      <c r="O292" t="b">
        <f t="shared" ca="1" si="41"/>
        <v>0</v>
      </c>
      <c r="P292" s="2">
        <f ca="1"/>
        <v>45409</v>
      </c>
      <c r="Q292">
        <f ca="1"/>
        <v>39.106326459604048</v>
      </c>
      <c r="R292">
        <f ca="1"/>
        <v>1.8042261277862901</v>
      </c>
      <c r="S292">
        <f ca="1"/>
        <v>9.5635078899227008E-4</v>
      </c>
      <c r="T292">
        <f ca="1"/>
        <v>0.1622659972795249</v>
      </c>
      <c r="U292">
        <f ca="1"/>
        <v>0</v>
      </c>
      <c r="V292">
        <f ca="1"/>
        <v>52.732245309592699</v>
      </c>
      <c r="W292">
        <f ca="1"/>
        <v>48.240239227664397</v>
      </c>
      <c r="X292">
        <f ca="1"/>
        <v>0</v>
      </c>
      <c r="Y292">
        <f ca="1"/>
        <v>0.92340038943847347</v>
      </c>
      <c r="Z292">
        <f ca="1"/>
        <v>0</v>
      </c>
      <c r="AA292">
        <f ca="1"/>
        <v>0</v>
      </c>
      <c r="AB292">
        <f ca="1"/>
        <v>0.98925272720296897</v>
      </c>
      <c r="AD292" s="2">
        <f t="shared" ca="1" si="42"/>
        <v>45409</v>
      </c>
      <c r="AE292">
        <f t="shared" ca="1" si="43"/>
        <v>0</v>
      </c>
      <c r="AG292" s="65">
        <f t="shared" ca="1" si="47"/>
        <v>40.910552587390342</v>
      </c>
      <c r="AH292" s="65">
        <f t="shared" ca="1" si="48"/>
        <v>40.910552587390342</v>
      </c>
      <c r="AI292" s="3">
        <f t="shared" ca="1" si="49"/>
        <v>0</v>
      </c>
    </row>
    <row r="293" spans="7:35" x14ac:dyDescent="0.3">
      <c r="G293" s="3">
        <f t="shared" ca="1" si="44"/>
        <v>75</v>
      </c>
      <c r="H293" s="97">
        <f t="shared" ca="1" si="46"/>
        <v>45365</v>
      </c>
      <c r="I293" s="121">
        <f ca="1">HLOOKUP($H$4,'Met Data'!$A$2:$F$368,G293,FALSE)</f>
        <v>16.966666666666601</v>
      </c>
      <c r="J293" s="121">
        <f ca="1">HLOOKUP($H$4,'Met Data'!$H$2:$M$368,G293,FALSE)*L293</f>
        <v>0.31666666666666599</v>
      </c>
      <c r="K293" s="98">
        <f ca="1">HLOOKUP($H$4,'Met Data'!$O$2:$T$368,G293,FALSE)</f>
        <v>2.9125814341448</v>
      </c>
      <c r="L293">
        <f t="shared" ca="1" si="40"/>
        <v>1</v>
      </c>
      <c r="N293" t="b">
        <f t="shared" ca="1" si="45"/>
        <v>0</v>
      </c>
      <c r="O293" t="b">
        <f t="shared" ca="1" si="41"/>
        <v>0</v>
      </c>
      <c r="P293" s="2">
        <f ca="1"/>
        <v>45410</v>
      </c>
      <c r="Q293">
        <f ca="1"/>
        <v>37.463895862801337</v>
      </c>
      <c r="R293">
        <f ca="1"/>
        <v>1.80713000290051</v>
      </c>
      <c r="S293">
        <f ca="1"/>
        <v>8.1398864969516916E-4</v>
      </c>
      <c r="T293">
        <f ca="1"/>
        <v>0.1638854174480989</v>
      </c>
      <c r="U293">
        <f ca="1"/>
        <v>0</v>
      </c>
      <c r="V293">
        <f ca="1"/>
        <v>54.539375312493199</v>
      </c>
      <c r="W293">
        <f ca="1"/>
        <v>49.893428526614201</v>
      </c>
      <c r="X293">
        <f ca="1"/>
        <v>0</v>
      </c>
      <c r="Y293">
        <f ca="1"/>
        <v>0.94987216794361229</v>
      </c>
      <c r="Z293">
        <f ca="1"/>
        <v>0</v>
      </c>
      <c r="AA293">
        <f ca="1"/>
        <v>0</v>
      </c>
      <c r="AB293">
        <f ca="1"/>
        <v>0.99070712935236904</v>
      </c>
      <c r="AD293" s="2">
        <f t="shared" ca="1" si="42"/>
        <v>45410</v>
      </c>
      <c r="AE293">
        <f t="shared" ca="1" si="43"/>
        <v>0</v>
      </c>
      <c r="AG293" s="65">
        <f t="shared" ca="1" si="47"/>
        <v>39.271025865701844</v>
      </c>
      <c r="AH293" s="65">
        <f t="shared" ca="1" si="48"/>
        <v>39.271025865701844</v>
      </c>
      <c r="AI293" s="3">
        <f t="shared" ca="1" si="49"/>
        <v>0</v>
      </c>
    </row>
    <row r="294" spans="7:35" x14ac:dyDescent="0.3">
      <c r="G294" s="3">
        <f t="shared" ca="1" si="44"/>
        <v>76</v>
      </c>
      <c r="H294" s="97">
        <f t="shared" ca="1" si="46"/>
        <v>45366</v>
      </c>
      <c r="I294" s="121">
        <f ca="1">HLOOKUP($H$4,'Met Data'!$A$2:$F$368,G294,FALSE)</f>
        <v>17.766666666666602</v>
      </c>
      <c r="J294" s="121">
        <f ca="1">HLOOKUP($H$4,'Met Data'!$H$2:$M$368,G294,FALSE)*L294</f>
        <v>2.25</v>
      </c>
      <c r="K294" s="98">
        <f ca="1">HLOOKUP($H$4,'Met Data'!$O$2:$T$368,G294,FALSE)</f>
        <v>2.3685635659939601</v>
      </c>
      <c r="L294">
        <f t="shared" ca="1" si="40"/>
        <v>1</v>
      </c>
      <c r="N294" t="b">
        <f t="shared" ca="1" si="45"/>
        <v>0</v>
      </c>
      <c r="O294" t="b">
        <f t="shared" ca="1" si="41"/>
        <v>0</v>
      </c>
      <c r="P294" s="2">
        <f ca="1"/>
        <v>45411</v>
      </c>
      <c r="Q294">
        <f ca="1"/>
        <v>35.810205014162861</v>
      </c>
      <c r="R294">
        <f ca="1"/>
        <v>1.8177450352585001</v>
      </c>
      <c r="S294">
        <f ca="1"/>
        <v>6.9863069735670959E-4</v>
      </c>
      <c r="T294">
        <f ca="1"/>
        <v>0.16335555592265455</v>
      </c>
      <c r="U294">
        <f ca="1"/>
        <v>0</v>
      </c>
      <c r="V294">
        <f ca="1"/>
        <v>56.357120347751703</v>
      </c>
      <c r="W294">
        <f ca="1"/>
        <v>51.5563286144247</v>
      </c>
      <c r="X294">
        <f ca="1"/>
        <v>0</v>
      </c>
      <c r="Y294">
        <f ca="1"/>
        <v>0.98151919085512407</v>
      </c>
      <c r="Z294">
        <f ca="1"/>
        <v>0</v>
      </c>
      <c r="AA294">
        <f ca="1"/>
        <v>0</v>
      </c>
      <c r="AB294">
        <f ca="1"/>
        <v>0.99195008064457602</v>
      </c>
      <c r="AD294" s="2">
        <f t="shared" ca="1" si="42"/>
        <v>45411</v>
      </c>
      <c r="AE294">
        <f t="shared" ca="1" si="43"/>
        <v>0</v>
      </c>
      <c r="AG294" s="65">
        <f t="shared" ca="1" si="47"/>
        <v>37.627950049421351</v>
      </c>
      <c r="AH294" s="65">
        <f t="shared" ca="1" si="48"/>
        <v>37.627950049421358</v>
      </c>
      <c r="AI294" s="3">
        <f t="shared" ca="1" si="49"/>
        <v>0</v>
      </c>
    </row>
    <row r="295" spans="7:35" x14ac:dyDescent="0.3">
      <c r="G295" s="3">
        <f t="shared" ca="1" si="44"/>
        <v>77</v>
      </c>
      <c r="H295" s="97">
        <f t="shared" ca="1" si="46"/>
        <v>45367</v>
      </c>
      <c r="I295" s="121">
        <f ca="1">HLOOKUP($H$4,'Met Data'!$A$2:$F$368,G295,FALSE)</f>
        <v>16.100000000000001</v>
      </c>
      <c r="J295" s="121">
        <f ca="1">HLOOKUP($H$4,'Met Data'!$H$2:$M$368,G295,FALSE)*L295</f>
        <v>1.4</v>
      </c>
      <c r="K295" s="98">
        <f ca="1">HLOOKUP($H$4,'Met Data'!$O$2:$T$368,G295,FALSE)</f>
        <v>2.7759280674014901</v>
      </c>
      <c r="L295">
        <f t="shared" ca="1" si="40"/>
        <v>1</v>
      </c>
      <c r="N295" t="b">
        <f t="shared" ca="1" si="45"/>
        <v>0</v>
      </c>
      <c r="O295" t="b">
        <f t="shared" ca="1" si="41"/>
        <v>0</v>
      </c>
      <c r="P295" s="2">
        <f ca="1"/>
        <v>45412</v>
      </c>
      <c r="Q295">
        <f ca="1"/>
        <v>34.339210250454983</v>
      </c>
      <c r="R295">
        <f ca="1"/>
        <v>1.61106224601576</v>
      </c>
      <c r="S295">
        <f ca="1"/>
        <v>5.0442037243903675E-4</v>
      </c>
      <c r="T295">
        <f ca="1"/>
        <v>0.13956306193545015</v>
      </c>
      <c r="U295">
        <f ca="1"/>
        <v>0</v>
      </c>
      <c r="V295">
        <f ca="1"/>
        <v>57.968182593767501</v>
      </c>
      <c r="W295">
        <f ca="1"/>
        <v>53.030152224668797</v>
      </c>
      <c r="X295">
        <f ca="1"/>
        <v>0</v>
      </c>
      <c r="Y295">
        <f ca="1"/>
        <v>0.96961786400853567</v>
      </c>
      <c r="Z295">
        <f ca="1"/>
        <v>0</v>
      </c>
      <c r="AA295">
        <f ca="1"/>
        <v>0</v>
      </c>
      <c r="AB295">
        <f ca="1"/>
        <v>0.99289723121182905</v>
      </c>
      <c r="AD295" s="2">
        <f t="shared" ca="1" si="42"/>
        <v>45412</v>
      </c>
      <c r="AE295">
        <f t="shared" ca="1" si="43"/>
        <v>0</v>
      </c>
      <c r="AG295" s="65">
        <f t="shared" ca="1" si="47"/>
        <v>35.950272496470745</v>
      </c>
      <c r="AH295" s="65">
        <f t="shared" ca="1" si="48"/>
        <v>35.950272496470745</v>
      </c>
      <c r="AI295" s="3">
        <f t="shared" ca="1" si="49"/>
        <v>0</v>
      </c>
    </row>
    <row r="296" spans="7:35" x14ac:dyDescent="0.3">
      <c r="G296" s="3">
        <f t="shared" ca="1" si="44"/>
        <v>78</v>
      </c>
      <c r="H296" s="97">
        <f t="shared" ca="1" si="46"/>
        <v>45368</v>
      </c>
      <c r="I296" s="121">
        <f ca="1">HLOOKUP($H$4,'Met Data'!$A$2:$F$368,G296,FALSE)</f>
        <v>15.379166666666601</v>
      </c>
      <c r="J296" s="121">
        <f ca="1">HLOOKUP($H$4,'Met Data'!$H$2:$M$368,G296,FALSE)*L296</f>
        <v>3.68333333333333</v>
      </c>
      <c r="K296" s="98">
        <f ca="1">HLOOKUP($H$4,'Met Data'!$O$2:$T$368,G296,FALSE)</f>
        <v>2.7162290778951999</v>
      </c>
      <c r="L296">
        <f t="shared" ca="1" si="40"/>
        <v>1</v>
      </c>
      <c r="N296" t="b">
        <f t="shared" ca="1" si="45"/>
        <v>0</v>
      </c>
      <c r="O296" t="b">
        <f t="shared" ca="1" si="41"/>
        <v>0</v>
      </c>
      <c r="P296" s="2">
        <f ca="1"/>
        <v>45413</v>
      </c>
      <c r="Q296">
        <f ca="1"/>
        <v>32.846055952201596</v>
      </c>
      <c r="R296">
        <f ca="1"/>
        <v>1.63244828879312</v>
      </c>
      <c r="S296">
        <f ca="1"/>
        <v>4.2871918021608439E-4</v>
      </c>
      <c r="T296">
        <f ca="1"/>
        <v>0.13886527135950796</v>
      </c>
      <c r="U296">
        <f ca="1"/>
        <v>0</v>
      </c>
      <c r="V296">
        <f ca="1"/>
        <v>59.600630882560601</v>
      </c>
      <c r="W296">
        <f ca="1"/>
        <v>54.523540103675799</v>
      </c>
      <c r="X296">
        <f ca="1"/>
        <v>0</v>
      </c>
      <c r="Y296">
        <f ca="1"/>
        <v>0.95868445416432424</v>
      </c>
      <c r="Z296">
        <f ca="1"/>
        <v>0</v>
      </c>
      <c r="AA296">
        <f ca="1"/>
        <v>0</v>
      </c>
      <c r="AB296">
        <f ca="1"/>
        <v>0.99373171631092805</v>
      </c>
      <c r="AD296" s="2">
        <f t="shared" ca="1" si="42"/>
        <v>45413</v>
      </c>
      <c r="AE296">
        <f t="shared" ca="1" si="43"/>
        <v>0</v>
      </c>
      <c r="AG296" s="65">
        <f t="shared" ca="1" si="47"/>
        <v>34.478504240994702</v>
      </c>
      <c r="AH296" s="65">
        <f t="shared" ca="1" si="48"/>
        <v>34.478504240994717</v>
      </c>
      <c r="AI296" s="3">
        <f t="shared" ca="1" si="49"/>
        <v>0</v>
      </c>
    </row>
    <row r="297" spans="7:35" x14ac:dyDescent="0.3">
      <c r="G297" s="3">
        <f t="shared" ca="1" si="44"/>
        <v>79</v>
      </c>
      <c r="H297" s="97">
        <f t="shared" ca="1" si="46"/>
        <v>45369</v>
      </c>
      <c r="I297" s="121">
        <f ca="1">HLOOKUP($H$4,'Met Data'!$A$2:$F$368,G297,FALSE)</f>
        <v>15.858333333333301</v>
      </c>
      <c r="J297" s="121">
        <f ca="1">HLOOKUP($H$4,'Met Data'!$H$2:$M$368,G297,FALSE)*L297</f>
        <v>0.85</v>
      </c>
      <c r="K297" s="98">
        <f ca="1">HLOOKUP($H$4,'Met Data'!$O$2:$T$368,G297,FALSE)</f>
        <v>2.8216063312721902</v>
      </c>
      <c r="L297">
        <f t="shared" ca="1" si="40"/>
        <v>1</v>
      </c>
      <c r="N297" t="b">
        <f t="shared" ca="1" si="45"/>
        <v>0</v>
      </c>
      <c r="O297" t="b">
        <f t="shared" ca="1" si="41"/>
        <v>0</v>
      </c>
      <c r="P297" s="2">
        <f ca="1"/>
        <v>45414</v>
      </c>
      <c r="Q297">
        <f ca="1"/>
        <v>31.171252543456802</v>
      </c>
      <c r="R297">
        <f ca="1"/>
        <v>1.8307820831627799</v>
      </c>
      <c r="S297">
        <f ca="1"/>
        <v>4.1126875077321764E-4</v>
      </c>
      <c r="T297">
        <f ca="1"/>
        <v>0.15556740566721458</v>
      </c>
      <c r="U297">
        <f ca="1"/>
        <v>0</v>
      </c>
      <c r="V297">
        <f ca="1"/>
        <v>61.431412965723403</v>
      </c>
      <c r="W297">
        <f ca="1"/>
        <v>56.198366676050703</v>
      </c>
      <c r="X297">
        <f ca="1"/>
        <v>0</v>
      </c>
      <c r="Y297">
        <f ca="1"/>
        <v>0.96453177126912559</v>
      </c>
      <c r="Z297">
        <f ca="1"/>
        <v>0</v>
      </c>
      <c r="AA297">
        <f ca="1"/>
        <v>0</v>
      </c>
      <c r="AB297">
        <f ca="1"/>
        <v>0.99454025068877505</v>
      </c>
      <c r="AD297" s="2">
        <f t="shared" ca="1" si="42"/>
        <v>45414</v>
      </c>
      <c r="AE297">
        <f t="shared" ca="1" si="43"/>
        <v>0</v>
      </c>
      <c r="AG297" s="65">
        <f t="shared" ca="1" si="47"/>
        <v>33.002034626619583</v>
      </c>
      <c r="AH297" s="65">
        <f t="shared" ca="1" si="48"/>
        <v>33.002034626619583</v>
      </c>
      <c r="AI297" s="3">
        <f t="shared" ca="1" si="49"/>
        <v>0</v>
      </c>
    </row>
    <row r="298" spans="7:35" x14ac:dyDescent="0.3">
      <c r="G298" s="3">
        <f t="shared" ca="1" si="44"/>
        <v>80</v>
      </c>
      <c r="H298" s="97">
        <f t="shared" ca="1" si="46"/>
        <v>45370</v>
      </c>
      <c r="I298" s="121">
        <f ca="1">HLOOKUP($H$4,'Met Data'!$A$2:$F$368,G298,FALSE)</f>
        <v>16.216666666666601</v>
      </c>
      <c r="J298" s="121">
        <f ca="1">HLOOKUP($H$4,'Met Data'!$H$2:$M$368,G298,FALSE)*L298</f>
        <v>8.3333333333333301E-2</v>
      </c>
      <c r="K298" s="98">
        <f ca="1">HLOOKUP($H$4,'Met Data'!$O$2:$T$368,G298,FALSE)</f>
        <v>2.7500481593686201</v>
      </c>
      <c r="L298">
        <f t="shared" ca="1" si="40"/>
        <v>1</v>
      </c>
      <c r="N298" t="b">
        <f t="shared" ca="1" si="45"/>
        <v>0</v>
      </c>
      <c r="O298" t="b">
        <f t="shared" ca="1" si="41"/>
        <v>0</v>
      </c>
      <c r="P298" s="2">
        <f ca="1"/>
        <v>45415</v>
      </c>
      <c r="Q298">
        <f ca="1"/>
        <v>29.461092269032804</v>
      </c>
      <c r="R298">
        <f ca="1"/>
        <v>1.86677145433194</v>
      </c>
      <c r="S298">
        <f ca="1"/>
        <v>3.5586001592815707E-4</v>
      </c>
      <c r="T298">
        <f ca="1"/>
        <v>0.15625531989201202</v>
      </c>
      <c r="U298">
        <f ca="1"/>
        <v>0</v>
      </c>
      <c r="V298">
        <f ca="1"/>
        <v>63.2981844200553</v>
      </c>
      <c r="W298">
        <f ca="1"/>
        <v>57.906116858346898</v>
      </c>
      <c r="X298">
        <f ca="1"/>
        <v>0</v>
      </c>
      <c r="Y298">
        <f ca="1"/>
        <v>0.97983230922919795</v>
      </c>
      <c r="Z298">
        <f ca="1"/>
        <v>0</v>
      </c>
      <c r="AA298">
        <f ca="1"/>
        <v>0</v>
      </c>
      <c r="AB298">
        <f ca="1"/>
        <v>0.99524750360393099</v>
      </c>
      <c r="AD298" s="2">
        <f t="shared" ca="1" si="42"/>
        <v>45415</v>
      </c>
      <c r="AE298">
        <f t="shared" ca="1" si="43"/>
        <v>0</v>
      </c>
      <c r="AG298" s="65">
        <f t="shared" ca="1" si="47"/>
        <v>31.327863723364743</v>
      </c>
      <c r="AH298" s="65">
        <f t="shared" ca="1" si="48"/>
        <v>31.327863723364743</v>
      </c>
      <c r="AI298" s="3">
        <f t="shared" ca="1" si="49"/>
        <v>0</v>
      </c>
    </row>
    <row r="299" spans="7:35" x14ac:dyDescent="0.3">
      <c r="G299" s="3">
        <f t="shared" ca="1" si="44"/>
        <v>81</v>
      </c>
      <c r="H299" s="97">
        <f t="shared" ca="1" si="46"/>
        <v>45371</v>
      </c>
      <c r="I299" s="121">
        <f ca="1">HLOOKUP($H$4,'Met Data'!$A$2:$F$368,G299,FALSE)</f>
        <v>16.483333333333299</v>
      </c>
      <c r="J299" s="121">
        <f ca="1">HLOOKUP($H$4,'Met Data'!$H$2:$M$368,G299,FALSE)*L299</f>
        <v>1.11666666666666</v>
      </c>
      <c r="K299" s="98">
        <f ca="1">HLOOKUP($H$4,'Met Data'!$O$2:$T$368,G299,FALSE)</f>
        <v>2.6292753041097501</v>
      </c>
      <c r="L299">
        <f t="shared" ca="1" si="40"/>
        <v>1</v>
      </c>
      <c r="N299" t="b">
        <f t="shared" ca="1" si="45"/>
        <v>0</v>
      </c>
      <c r="O299" t="b">
        <f t="shared" ca="1" si="41"/>
        <v>0</v>
      </c>
      <c r="P299" s="2">
        <f ca="1"/>
        <v>45416</v>
      </c>
      <c r="Q299">
        <f ca="1"/>
        <v>27.663403916373227</v>
      </c>
      <c r="R299">
        <f ca="1"/>
        <v>1.9605957843334201</v>
      </c>
      <c r="S299">
        <f ca="1"/>
        <v>3.176992252495638E-4</v>
      </c>
      <c r="T299">
        <f ca="1"/>
        <v>0.16258973244859279</v>
      </c>
      <c r="U299">
        <f ca="1"/>
        <v>0</v>
      </c>
      <c r="V299">
        <f ca="1"/>
        <v>65.258780204388799</v>
      </c>
      <c r="W299">
        <f ca="1"/>
        <v>59.6996989277186</v>
      </c>
      <c r="X299">
        <f ca="1"/>
        <v>0</v>
      </c>
      <c r="Y299">
        <f ca="1"/>
        <v>1</v>
      </c>
      <c r="Z299">
        <f ca="1"/>
        <v>1.1250838308018416</v>
      </c>
      <c r="AA299">
        <f ca="1"/>
        <v>0</v>
      </c>
      <c r="AB299">
        <f ca="1"/>
        <v>0.99588333087561198</v>
      </c>
      <c r="AD299" s="2">
        <f t="shared" ca="1" si="42"/>
        <v>45416</v>
      </c>
      <c r="AE299">
        <f t="shared" ca="1" si="43"/>
        <v>0</v>
      </c>
      <c r="AG299" s="65">
        <f t="shared" ca="1" si="47"/>
        <v>29.623999700706644</v>
      </c>
      <c r="AH299" s="65">
        <f t="shared" ca="1" si="48"/>
        <v>29.623999700706648</v>
      </c>
      <c r="AI299" s="3">
        <f t="shared" ca="1" si="49"/>
        <v>0</v>
      </c>
    </row>
    <row r="300" spans="7:35" x14ac:dyDescent="0.3">
      <c r="G300" s="3">
        <f t="shared" ca="1" si="44"/>
        <v>82</v>
      </c>
      <c r="H300" s="97">
        <f t="shared" ca="1" si="46"/>
        <v>45372</v>
      </c>
      <c r="I300" s="121">
        <f ca="1">HLOOKUP($H$4,'Met Data'!$A$2:$F$368,G300,FALSE)</f>
        <v>16.6791666666666</v>
      </c>
      <c r="J300" s="121">
        <f ca="1">HLOOKUP($H$4,'Met Data'!$H$2:$M$368,G300,FALSE)*L300</f>
        <v>1.63333333333333</v>
      </c>
      <c r="K300" s="98">
        <f ca="1">HLOOKUP($H$4,'Met Data'!$O$2:$T$368,G300,FALSE)</f>
        <v>2.3413673129625598</v>
      </c>
      <c r="L300">
        <f t="shared" ca="1" si="40"/>
        <v>1</v>
      </c>
      <c r="N300" t="b">
        <f t="shared" ca="1" si="45"/>
        <v>0</v>
      </c>
      <c r="O300" t="b">
        <f t="shared" ca="1" si="41"/>
        <v>0</v>
      </c>
      <c r="P300" s="2">
        <f ca="1"/>
        <v>45417</v>
      </c>
      <c r="Q300">
        <f ca="1"/>
        <v>25.880070061509855</v>
      </c>
      <c r="R300">
        <f ca="1"/>
        <v>1.9416923752487201</v>
      </c>
      <c r="S300">
        <f ca="1"/>
        <v>2.5960628569349594E-4</v>
      </c>
      <c r="T300">
        <f ca="1"/>
        <v>0.15809891409966512</v>
      </c>
      <c r="U300">
        <f ca="1"/>
        <v>0</v>
      </c>
      <c r="V300">
        <f ca="1"/>
        <v>67.200472579637506</v>
      </c>
      <c r="W300">
        <f ca="1"/>
        <v>61.4759878784091</v>
      </c>
      <c r="X300">
        <f ca="1"/>
        <v>0</v>
      </c>
      <c r="Y300">
        <f ca="1"/>
        <v>1</v>
      </c>
      <c r="Z300">
        <f ca="1"/>
        <v>1.0691487928222756</v>
      </c>
      <c r="AA300">
        <f ca="1"/>
        <v>0</v>
      </c>
      <c r="AB300">
        <f ca="1"/>
        <v>0.99642227739067502</v>
      </c>
      <c r="AD300" s="2">
        <f t="shared" ca="1" si="42"/>
        <v>45417</v>
      </c>
      <c r="AE300">
        <f t="shared" ca="1" si="43"/>
        <v>0</v>
      </c>
      <c r="AG300" s="65">
        <f t="shared" ca="1" si="47"/>
        <v>27.821762436758586</v>
      </c>
      <c r="AH300" s="65">
        <f t="shared" ca="1" si="48"/>
        <v>27.821762436758576</v>
      </c>
      <c r="AI300" s="3">
        <f t="shared" ca="1" si="49"/>
        <v>0</v>
      </c>
    </row>
    <row r="301" spans="7:35" x14ac:dyDescent="0.3">
      <c r="G301" s="3">
        <f t="shared" ca="1" si="44"/>
        <v>83</v>
      </c>
      <c r="H301" s="97">
        <f t="shared" ca="1" si="46"/>
        <v>45373</v>
      </c>
      <c r="I301" s="121">
        <f ca="1">HLOOKUP($H$4,'Met Data'!$A$2:$F$368,G301,FALSE)</f>
        <v>16.8</v>
      </c>
      <c r="J301" s="121">
        <f ca="1">HLOOKUP($H$4,'Met Data'!$H$2:$M$368,G301,FALSE)*L301</f>
        <v>2.2833333333333301</v>
      </c>
      <c r="K301" s="98">
        <f ca="1">HLOOKUP($H$4,'Met Data'!$O$2:$T$368,G301,FALSE)</f>
        <v>2.7038604411954998</v>
      </c>
      <c r="L301">
        <f t="shared" ca="1" si="40"/>
        <v>1</v>
      </c>
      <c r="N301" t="b">
        <f t="shared" ca="1" si="45"/>
        <v>0</v>
      </c>
      <c r="O301" t="b">
        <f t="shared" ca="1" si="41"/>
        <v>0</v>
      </c>
      <c r="P301" s="2">
        <f ca="1"/>
        <v>45418</v>
      </c>
      <c r="Q301">
        <f ca="1"/>
        <v>24.151237348680553</v>
      </c>
      <c r="R301">
        <f ca="1"/>
        <v>1.8790606467758699</v>
      </c>
      <c r="S301">
        <f ca="1"/>
        <v>2.0853290594423281E-4</v>
      </c>
      <c r="T301">
        <f ca="1"/>
        <v>0.15001940104062211</v>
      </c>
      <c r="U301">
        <f ca="1"/>
        <v>0</v>
      </c>
      <c r="V301">
        <f ca="1"/>
        <v>69.079533226413304</v>
      </c>
      <c r="W301">
        <f ca="1"/>
        <v>63.194980396015197</v>
      </c>
      <c r="X301">
        <f ca="1"/>
        <v>0</v>
      </c>
      <c r="Y301">
        <f ca="1"/>
        <v>1</v>
      </c>
      <c r="Z301">
        <f ca="1"/>
        <v>4.1094750054947866</v>
      </c>
      <c r="AA301">
        <f ca="1"/>
        <v>0</v>
      </c>
      <c r="AB301">
        <f ca="1"/>
        <v>0.99687136077070804</v>
      </c>
      <c r="AD301" s="2">
        <f t="shared" ca="1" si="42"/>
        <v>45418</v>
      </c>
      <c r="AE301">
        <f t="shared" ca="1" si="43"/>
        <v>0</v>
      </c>
      <c r="AG301" s="65">
        <f t="shared" ca="1" si="47"/>
        <v>26.030297995456422</v>
      </c>
      <c r="AH301" s="65">
        <f t="shared" ca="1" si="48"/>
        <v>26.030297995456422</v>
      </c>
      <c r="AI301" s="3">
        <f t="shared" ca="1" si="49"/>
        <v>0</v>
      </c>
    </row>
    <row r="302" spans="7:35" x14ac:dyDescent="0.3">
      <c r="G302" s="3">
        <f t="shared" ca="1" si="44"/>
        <v>84</v>
      </c>
      <c r="H302" s="97">
        <f t="shared" ca="1" si="46"/>
        <v>45374</v>
      </c>
      <c r="I302" s="121">
        <f ca="1">HLOOKUP($H$4,'Met Data'!$A$2:$F$368,G302,FALSE)</f>
        <v>16.237500000000001</v>
      </c>
      <c r="J302" s="121">
        <f ca="1">HLOOKUP($H$4,'Met Data'!$H$2:$M$368,G302,FALSE)*L302</f>
        <v>3.7833333333333301</v>
      </c>
      <c r="K302" s="98">
        <f ca="1">HLOOKUP($H$4,'Met Data'!$O$2:$T$368,G302,FALSE)</f>
        <v>2.1387131538714801</v>
      </c>
      <c r="L302">
        <f t="shared" ca="1" si="40"/>
        <v>1</v>
      </c>
      <c r="N302" t="b">
        <f t="shared" ca="1" si="45"/>
        <v>0</v>
      </c>
      <c r="O302" t="b">
        <f t="shared" ca="1" si="41"/>
        <v>0</v>
      </c>
      <c r="P302" s="2">
        <f ca="1"/>
        <v>45419</v>
      </c>
      <c r="Q302">
        <f ca="1"/>
        <v>22.383743124303123</v>
      </c>
      <c r="R302">
        <f ca="1"/>
        <v>1.9193209003745899</v>
      </c>
      <c r="S302">
        <f ca="1"/>
        <v>1.7848958457587888E-4</v>
      </c>
      <c r="T302">
        <f ca="1"/>
        <v>0.1516481864125751</v>
      </c>
      <c r="U302">
        <f ca="1"/>
        <v>0</v>
      </c>
      <c r="V302">
        <f ca="1"/>
        <v>70.998854126787904</v>
      </c>
      <c r="W302">
        <f ca="1"/>
        <v>64.950803590061597</v>
      </c>
      <c r="X302">
        <f ca="1"/>
        <v>0</v>
      </c>
      <c r="Y302">
        <f ca="1"/>
        <v>1</v>
      </c>
      <c r="Z302">
        <f ca="1"/>
        <v>0.89554252585418226</v>
      </c>
      <c r="AA302">
        <f ca="1"/>
        <v>0</v>
      </c>
      <c r="AB302">
        <f ca="1"/>
        <v>0.99726772593761204</v>
      </c>
      <c r="AD302" s="2">
        <f t="shared" ca="1" si="42"/>
        <v>45419</v>
      </c>
      <c r="AE302">
        <f t="shared" ca="1" si="43"/>
        <v>0</v>
      </c>
      <c r="AG302" s="65">
        <f t="shared" ca="1" si="47"/>
        <v>24.303064024677706</v>
      </c>
      <c r="AH302" s="65">
        <f t="shared" ca="1" si="48"/>
        <v>24.303064024677713</v>
      </c>
      <c r="AI302" s="3">
        <f t="shared" ca="1" si="49"/>
        <v>0</v>
      </c>
    </row>
    <row r="303" spans="7:35" x14ac:dyDescent="0.3">
      <c r="G303" s="3">
        <f t="shared" ca="1" si="44"/>
        <v>85</v>
      </c>
      <c r="H303" s="97">
        <f t="shared" ca="1" si="46"/>
        <v>45375</v>
      </c>
      <c r="I303" s="121">
        <f ca="1">HLOOKUP($H$4,'Met Data'!$A$2:$F$368,G303,FALSE)</f>
        <v>16.875</v>
      </c>
      <c r="J303" s="121">
        <f ca="1">HLOOKUP($H$4,'Met Data'!$H$2:$M$368,G303,FALSE)*L303</f>
        <v>2.9</v>
      </c>
      <c r="K303" s="98">
        <f ca="1">HLOOKUP($H$4,'Met Data'!$O$2:$T$368,G303,FALSE)</f>
        <v>2.4308063740099</v>
      </c>
      <c r="L303">
        <f t="shared" ca="1" si="40"/>
        <v>1</v>
      </c>
      <c r="N303" t="b">
        <f t="shared" ca="1" si="45"/>
        <v>0</v>
      </c>
      <c r="O303" t="b">
        <f t="shared" ca="1" si="41"/>
        <v>0</v>
      </c>
      <c r="P303" s="2">
        <f ca="1"/>
        <v>45420</v>
      </c>
      <c r="Q303">
        <f ca="1"/>
        <v>20.415249805204297</v>
      </c>
      <c r="R303">
        <f ca="1"/>
        <v>2.1385232292952301</v>
      </c>
      <c r="S303">
        <f ca="1"/>
        <v>1.6624223019444858E-4</v>
      </c>
      <c r="T303">
        <f ca="1"/>
        <v>0.16986366796620472</v>
      </c>
      <c r="U303">
        <f ca="1"/>
        <v>0</v>
      </c>
      <c r="V303">
        <f ca="1"/>
        <v>73.137377356083206</v>
      </c>
      <c r="W303">
        <f ca="1"/>
        <v>66.907156322046404</v>
      </c>
      <c r="X303">
        <f ca="1"/>
        <v>0</v>
      </c>
      <c r="Y303">
        <f ca="1"/>
        <v>0.99894983619691757</v>
      </c>
      <c r="Z303">
        <f ca="1"/>
        <v>0</v>
      </c>
      <c r="AA303">
        <f ca="1"/>
        <v>0</v>
      </c>
      <c r="AB303">
        <f ca="1"/>
        <v>0.99764661611265204</v>
      </c>
      <c r="AD303" s="2">
        <f t="shared" ca="1" si="42"/>
        <v>45420</v>
      </c>
      <c r="AE303">
        <f t="shared" ca="1" si="43"/>
        <v>0</v>
      </c>
      <c r="AG303" s="65">
        <f t="shared" ca="1" si="47"/>
        <v>22.553773034499521</v>
      </c>
      <c r="AH303" s="65">
        <f t="shared" ca="1" si="48"/>
        <v>22.553773034499528</v>
      </c>
      <c r="AI303" s="3">
        <f t="shared" ca="1" si="49"/>
        <v>0</v>
      </c>
    </row>
    <row r="304" spans="7:35" x14ac:dyDescent="0.3">
      <c r="G304" s="3">
        <f t="shared" ca="1" si="44"/>
        <v>86</v>
      </c>
      <c r="H304" s="97">
        <f t="shared" ca="1" si="46"/>
        <v>45376</v>
      </c>
      <c r="I304" s="121">
        <f ca="1">HLOOKUP($H$4,'Met Data'!$A$2:$F$368,G304,FALSE)</f>
        <v>17.024999999999999</v>
      </c>
      <c r="J304" s="121">
        <f ca="1">HLOOKUP($H$4,'Met Data'!$H$2:$M$368,G304,FALSE)*L304</f>
        <v>3.7333333333333298</v>
      </c>
      <c r="K304" s="98">
        <f ca="1">HLOOKUP($H$4,'Met Data'!$O$2:$T$368,G304,FALSE)</f>
        <v>2.3866525377963699</v>
      </c>
      <c r="L304">
        <f t="shared" ca="1" si="40"/>
        <v>1</v>
      </c>
      <c r="N304" t="b">
        <f t="shared" ca="1" si="45"/>
        <v>0</v>
      </c>
      <c r="O304" t="b">
        <f t="shared" ca="1" si="41"/>
        <v>0</v>
      </c>
      <c r="P304" s="2">
        <f ca="1"/>
        <v>45421</v>
      </c>
      <c r="Q304">
        <f ca="1"/>
        <v>18.473321132055247</v>
      </c>
      <c r="R304">
        <f ca="1"/>
        <v>2.1067793318000598</v>
      </c>
      <c r="S304">
        <f ca="1"/>
        <v>1.3477437801886878E-4</v>
      </c>
      <c r="T304">
        <f ca="1"/>
        <v>0.16471588427298595</v>
      </c>
      <c r="U304">
        <f ca="1"/>
        <v>0</v>
      </c>
      <c r="V304">
        <f ca="1"/>
        <v>75.244156687883205</v>
      </c>
      <c r="W304">
        <f ca="1"/>
        <v>68.834469266322799</v>
      </c>
      <c r="X304">
        <f ca="1"/>
        <v>0</v>
      </c>
      <c r="Y304">
        <f ca="1"/>
        <v>1</v>
      </c>
      <c r="Z304">
        <f ca="1"/>
        <v>0.24260017522456678</v>
      </c>
      <c r="AA304">
        <f ca="1"/>
        <v>0</v>
      </c>
      <c r="AB304">
        <f ca="1"/>
        <v>0.99796536337297903</v>
      </c>
      <c r="AD304" s="2">
        <f t="shared" ca="1" si="42"/>
        <v>45421</v>
      </c>
      <c r="AE304">
        <f t="shared" ca="1" si="43"/>
        <v>0</v>
      </c>
      <c r="AG304" s="65">
        <f t="shared" ca="1" si="47"/>
        <v>20.580100463855302</v>
      </c>
      <c r="AH304" s="65">
        <f t="shared" ca="1" si="48"/>
        <v>20.580100463855306</v>
      </c>
      <c r="AI304" s="3">
        <f t="shared" ca="1" si="49"/>
        <v>0</v>
      </c>
    </row>
    <row r="305" spans="7:35" x14ac:dyDescent="0.3">
      <c r="G305" s="3">
        <f t="shared" ca="1" si="44"/>
        <v>87</v>
      </c>
      <c r="H305" s="97">
        <f t="shared" ca="1" si="46"/>
        <v>45377</v>
      </c>
      <c r="I305" s="121">
        <f ca="1">HLOOKUP($H$4,'Met Data'!$A$2:$F$368,G305,FALSE)</f>
        <v>17.3</v>
      </c>
      <c r="J305" s="121">
        <f ca="1">HLOOKUP($H$4,'Met Data'!$H$2:$M$368,G305,FALSE)*L305</f>
        <v>1.93333333333333</v>
      </c>
      <c r="K305" s="98">
        <f ca="1">HLOOKUP($H$4,'Met Data'!$O$2:$T$368,G305,FALSE)</f>
        <v>2.6501779961824399</v>
      </c>
      <c r="L305">
        <f t="shared" ca="1" si="40"/>
        <v>1</v>
      </c>
      <c r="N305" t="b">
        <f t="shared" ca="1" si="45"/>
        <v>0</v>
      </c>
      <c r="O305" t="b">
        <f t="shared" ca="1" si="41"/>
        <v>0</v>
      </c>
      <c r="P305" s="2">
        <f ca="1"/>
        <v>45422</v>
      </c>
      <c r="Q305">
        <f ca="1"/>
        <v>16.601810072486273</v>
      </c>
      <c r="R305">
        <f ca="1"/>
        <v>2.0273575628712601</v>
      </c>
      <c r="S305">
        <f ca="1"/>
        <v>1.0729456070791584E-4</v>
      </c>
      <c r="T305">
        <f ca="1"/>
        <v>0.15573920874159383</v>
      </c>
      <c r="U305">
        <f ca="1"/>
        <v>0</v>
      </c>
      <c r="V305">
        <f ca="1"/>
        <v>77.271514250754507</v>
      </c>
      <c r="W305">
        <f ca="1"/>
        <v>70.6891259997643</v>
      </c>
      <c r="X305">
        <f ca="1"/>
        <v>0</v>
      </c>
      <c r="Y305">
        <f ca="1"/>
        <v>1</v>
      </c>
      <c r="Z305">
        <f ca="1"/>
        <v>2.6348036883795487</v>
      </c>
      <c r="AA305">
        <f ca="1"/>
        <v>0</v>
      </c>
      <c r="AB305">
        <f ca="1"/>
        <v>0.99822901532284003</v>
      </c>
      <c r="AD305" s="2">
        <f t="shared" ca="1" si="42"/>
        <v>45422</v>
      </c>
      <c r="AE305">
        <f t="shared" ca="1" si="43"/>
        <v>0</v>
      </c>
      <c r="AG305" s="65">
        <f t="shared" ca="1" si="47"/>
        <v>18.629167635357547</v>
      </c>
      <c r="AH305" s="65">
        <f t="shared" ca="1" si="48"/>
        <v>18.629167635357533</v>
      </c>
      <c r="AI305" s="3">
        <f t="shared" ca="1" si="49"/>
        <v>0</v>
      </c>
    </row>
    <row r="306" spans="7:35" x14ac:dyDescent="0.3">
      <c r="G306" s="3">
        <f t="shared" ca="1" si="44"/>
        <v>88</v>
      </c>
      <c r="H306" s="97">
        <f t="shared" ca="1" si="46"/>
        <v>45378</v>
      </c>
      <c r="I306" s="121">
        <f ca="1">HLOOKUP($H$4,'Met Data'!$A$2:$F$368,G306,FALSE)</f>
        <v>15.983333333333301</v>
      </c>
      <c r="J306" s="121">
        <f ca="1">HLOOKUP($H$4,'Met Data'!$H$2:$M$368,G306,FALSE)*L306</f>
        <v>1.2166666666666599</v>
      </c>
      <c r="K306" s="98">
        <f ca="1">HLOOKUP($H$4,'Met Data'!$O$2:$T$368,G306,FALSE)</f>
        <v>2.2352735074469998</v>
      </c>
      <c r="L306">
        <f t="shared" ca="1" si="40"/>
        <v>1</v>
      </c>
      <c r="N306" t="b">
        <f t="shared" ca="1" si="45"/>
        <v>0</v>
      </c>
      <c r="O306" t="b">
        <f t="shared" ca="1" si="41"/>
        <v>0</v>
      </c>
      <c r="P306" s="2">
        <f ca="1"/>
        <v>45423</v>
      </c>
      <c r="Q306">
        <f ca="1"/>
        <v>14.646986045908619</v>
      </c>
      <c r="R306">
        <f ca="1"/>
        <v>2.1171546956887801</v>
      </c>
      <c r="S306">
        <f ca="1"/>
        <v>9.3649204316042814E-5</v>
      </c>
      <c r="T306">
        <f ca="1"/>
        <v>0.16223701990681211</v>
      </c>
      <c r="U306">
        <f ca="1"/>
        <v>0</v>
      </c>
      <c r="V306">
        <f ca="1"/>
        <v>79.388668946443303</v>
      </c>
      <c r="W306">
        <f ca="1"/>
        <v>72.625930480635105</v>
      </c>
      <c r="X306">
        <f ca="1"/>
        <v>0</v>
      </c>
      <c r="Y306">
        <f ca="1"/>
        <v>1</v>
      </c>
      <c r="Z306">
        <f ca="1"/>
        <v>4.9330574671925973</v>
      </c>
      <c r="AA306">
        <f ca="1"/>
        <v>0</v>
      </c>
      <c r="AB306">
        <f ca="1"/>
        <v>0.99846616018669898</v>
      </c>
      <c r="AD306" s="2">
        <f t="shared" ca="1" si="42"/>
        <v>45423</v>
      </c>
      <c r="AE306">
        <f t="shared" ca="1" si="43"/>
        <v>0</v>
      </c>
      <c r="AG306" s="65">
        <f t="shared" ca="1" si="47"/>
        <v>16.764140741597402</v>
      </c>
      <c r="AH306" s="65">
        <f t="shared" ca="1" si="48"/>
        <v>16.764140741597398</v>
      </c>
      <c r="AI306" s="3">
        <f t="shared" ca="1" si="49"/>
        <v>0</v>
      </c>
    </row>
    <row r="307" spans="7:35" x14ac:dyDescent="0.3">
      <c r="G307" s="3">
        <f t="shared" ca="1" si="44"/>
        <v>89</v>
      </c>
      <c r="H307" s="97">
        <f t="shared" ca="1" si="46"/>
        <v>45379</v>
      </c>
      <c r="I307" s="121">
        <f ca="1">HLOOKUP($H$4,'Met Data'!$A$2:$F$368,G307,FALSE)</f>
        <v>16.404166666666601</v>
      </c>
      <c r="J307" s="121">
        <f ca="1">HLOOKUP($H$4,'Met Data'!$H$2:$M$368,G307,FALSE)*L307</f>
        <v>2.3333333333333299</v>
      </c>
      <c r="K307" s="98">
        <f ca="1">HLOOKUP($H$4,'Met Data'!$O$2:$T$368,G307,FALSE)</f>
        <v>2.3461969045698901</v>
      </c>
      <c r="L307">
        <f t="shared" ca="1" si="40"/>
        <v>1</v>
      </c>
      <c r="N307" t="b">
        <f t="shared" ca="1" si="45"/>
        <v>0</v>
      </c>
      <c r="O307" t="b">
        <f t="shared" ca="1" si="41"/>
        <v>0</v>
      </c>
      <c r="P307" s="2">
        <f ca="1"/>
        <v>45424</v>
      </c>
      <c r="Q307">
        <f ca="1"/>
        <v>12.774005323436228</v>
      </c>
      <c r="R307">
        <f ca="1"/>
        <v>2.0258896539196201</v>
      </c>
      <c r="S307">
        <f ca="1"/>
        <v>7.4478142244637538E-5</v>
      </c>
      <c r="T307">
        <f ca="1"/>
        <v>0.15283445330499151</v>
      </c>
      <c r="U307">
        <f ca="1"/>
        <v>0</v>
      </c>
      <c r="V307">
        <f ca="1"/>
        <v>81.414558600362895</v>
      </c>
      <c r="W307">
        <f ca="1"/>
        <v>74.479244349220806</v>
      </c>
      <c r="X307">
        <f ca="1"/>
        <v>0</v>
      </c>
      <c r="Y307">
        <f ca="1"/>
        <v>1</v>
      </c>
      <c r="Z307">
        <f ca="1"/>
        <v>3.8305139195310574</v>
      </c>
      <c r="AA307">
        <f ca="1"/>
        <v>0</v>
      </c>
      <c r="AB307">
        <f ca="1"/>
        <v>0.99866199431312397</v>
      </c>
      <c r="AD307" s="2">
        <f t="shared" ca="1" si="42"/>
        <v>45424</v>
      </c>
      <c r="AE307">
        <f t="shared" ca="1" si="43"/>
        <v>0</v>
      </c>
      <c r="AG307" s="65">
        <f t="shared" ca="1" si="47"/>
        <v>14.799894977355857</v>
      </c>
      <c r="AH307" s="65">
        <f t="shared" ca="1" si="48"/>
        <v>14.799894977355848</v>
      </c>
      <c r="AI307" s="3">
        <f t="shared" ca="1" si="49"/>
        <v>0</v>
      </c>
    </row>
    <row r="308" spans="7:35" x14ac:dyDescent="0.3">
      <c r="G308" s="3">
        <f t="shared" ca="1" si="44"/>
        <v>90</v>
      </c>
      <c r="H308" s="97">
        <f t="shared" ca="1" si="46"/>
        <v>45380</v>
      </c>
      <c r="I308" s="121">
        <f ca="1">HLOOKUP($H$4,'Met Data'!$A$2:$F$368,G308,FALSE)</f>
        <v>16.629166666666599</v>
      </c>
      <c r="J308" s="121">
        <f ca="1">HLOOKUP($H$4,'Met Data'!$H$2:$M$368,G308,FALSE)*L308</f>
        <v>2.2333333333333298</v>
      </c>
      <c r="K308" s="98">
        <f ca="1">HLOOKUP($H$4,'Met Data'!$O$2:$T$368,G308,FALSE)</f>
        <v>2.5330458314755799</v>
      </c>
      <c r="L308">
        <f t="shared" ca="1" si="40"/>
        <v>1</v>
      </c>
      <c r="N308" t="b">
        <f t="shared" ca="1" si="45"/>
        <v>0</v>
      </c>
      <c r="O308" t="b">
        <f t="shared" ca="1" si="41"/>
        <v>0</v>
      </c>
      <c r="P308" s="2">
        <f ca="1"/>
        <v>45425</v>
      </c>
      <c r="Q308">
        <f ca="1"/>
        <v>10.872196750206967</v>
      </c>
      <c r="R308">
        <f ca="1"/>
        <v>2.05624014121365</v>
      </c>
      <c r="S308">
        <f ca="1"/>
        <v>6.3509700725862769E-5</v>
      </c>
      <c r="T308">
        <f ca="1"/>
        <v>0.15436805828365793</v>
      </c>
      <c r="U308">
        <f ca="1"/>
        <v>0</v>
      </c>
      <c r="V308">
        <f ca="1"/>
        <v>83.470798741576502</v>
      </c>
      <c r="W308">
        <f ca="1"/>
        <v>76.360323293220006</v>
      </c>
      <c r="X308">
        <f ca="1"/>
        <v>0</v>
      </c>
      <c r="Y308">
        <f ca="1"/>
        <v>1</v>
      </c>
      <c r="Z308">
        <f ca="1"/>
        <v>3.6759034042223391</v>
      </c>
      <c r="AA308">
        <f ca="1"/>
        <v>0</v>
      </c>
      <c r="AB308">
        <f ca="1"/>
        <v>0.99883424562752898</v>
      </c>
      <c r="AD308" s="2">
        <f t="shared" ca="1" si="42"/>
        <v>45425</v>
      </c>
      <c r="AE308">
        <f t="shared" ca="1" si="43"/>
        <v>0</v>
      </c>
      <c r="AG308" s="65">
        <f t="shared" ca="1" si="47"/>
        <v>12.928436891420612</v>
      </c>
      <c r="AH308" s="65">
        <f t="shared" ca="1" si="48"/>
        <v>12.928436891420617</v>
      </c>
      <c r="AI308" s="3">
        <f t="shared" ca="1" si="49"/>
        <v>0</v>
      </c>
    </row>
    <row r="309" spans="7:35" x14ac:dyDescent="0.3">
      <c r="G309" s="3">
        <f t="shared" ca="1" si="44"/>
        <v>91</v>
      </c>
      <c r="H309" s="97">
        <f t="shared" ca="1" si="46"/>
        <v>45381</v>
      </c>
      <c r="I309" s="121">
        <f ca="1">HLOOKUP($H$4,'Met Data'!$A$2:$F$368,G309,FALSE)</f>
        <v>16.112499999999901</v>
      </c>
      <c r="J309" s="121">
        <f ca="1">HLOOKUP($H$4,'Met Data'!$H$2:$M$368,G309,FALSE)*L309</f>
        <v>2.0833333333333299</v>
      </c>
      <c r="K309" s="98">
        <f ca="1">HLOOKUP($H$4,'Met Data'!$O$2:$T$368,G309,FALSE)</f>
        <v>2.4661161715906501</v>
      </c>
      <c r="L309">
        <f t="shared" ca="1" si="40"/>
        <v>1</v>
      </c>
      <c r="N309" t="b">
        <f t="shared" ca="1" si="45"/>
        <v>0</v>
      </c>
      <c r="O309" t="b">
        <f t="shared" ca="1" si="41"/>
        <v>0</v>
      </c>
      <c r="P309" s="2">
        <f ca="1"/>
        <v>45426</v>
      </c>
      <c r="Q309">
        <f ca="1"/>
        <v>8.8910344558486543</v>
      </c>
      <c r="R309">
        <f ca="1"/>
        <v>2.14210714639428</v>
      </c>
      <c r="S309">
        <f ca="1"/>
        <v>5.55435486875085E-5</v>
      </c>
      <c r="T309">
        <f ca="1"/>
        <v>0.1608893084872835</v>
      </c>
      <c r="U309">
        <f ca="1"/>
        <v>0</v>
      </c>
      <c r="V309">
        <f ca="1"/>
        <v>85.612905887970797</v>
      </c>
      <c r="W309">
        <f ca="1"/>
        <v>78.319954645662193</v>
      </c>
      <c r="X309">
        <f ca="1"/>
        <v>0</v>
      </c>
      <c r="Y309">
        <f ca="1"/>
        <v>1</v>
      </c>
      <c r="Z309">
        <f ca="1"/>
        <v>7.6149245672803119</v>
      </c>
      <c r="AA309">
        <f ca="1"/>
        <v>0</v>
      </c>
      <c r="AB309">
        <f ca="1"/>
        <v>0.99898940228366995</v>
      </c>
      <c r="AD309" s="2">
        <f t="shared" ca="1" si="42"/>
        <v>45426</v>
      </c>
      <c r="AE309">
        <f t="shared" ca="1" si="43"/>
        <v>0</v>
      </c>
      <c r="AG309" s="65">
        <f t="shared" ca="1" si="47"/>
        <v>11.033141602242937</v>
      </c>
      <c r="AH309" s="65">
        <f t="shared" ca="1" si="48"/>
        <v>11.033141602242935</v>
      </c>
      <c r="AI309" s="3">
        <f t="shared" ca="1" si="49"/>
        <v>0</v>
      </c>
    </row>
    <row r="310" spans="7:35" x14ac:dyDescent="0.3">
      <c r="G310" s="3">
        <f t="shared" ca="1" si="44"/>
        <v>92</v>
      </c>
      <c r="H310" s="97">
        <f t="shared" ca="1" si="46"/>
        <v>45382</v>
      </c>
      <c r="I310" s="121">
        <f ca="1">HLOOKUP($H$4,'Met Data'!$A$2:$F$368,G310,FALSE)</f>
        <v>15.862500000000001</v>
      </c>
      <c r="J310" s="121">
        <f ca="1">HLOOKUP($H$4,'Met Data'!$H$2:$M$368,G310,FALSE)*L310</f>
        <v>1.3333333333333299</v>
      </c>
      <c r="K310" s="98">
        <f ca="1">HLOOKUP($H$4,'Met Data'!$O$2:$T$368,G310,FALSE)</f>
        <v>2.3173978620084501</v>
      </c>
      <c r="L310">
        <f t="shared" ca="1" si="40"/>
        <v>1</v>
      </c>
      <c r="N310" t="b">
        <f t="shared" ca="1" si="45"/>
        <v>0</v>
      </c>
      <c r="O310" t="b">
        <f t="shared" ca="1" si="41"/>
        <v>0</v>
      </c>
      <c r="P310" s="2">
        <f ca="1"/>
        <v>45427</v>
      </c>
      <c r="Q310">
        <f ca="1"/>
        <v>6.9887345399278047</v>
      </c>
      <c r="R310">
        <f ca="1"/>
        <v>2.0548958826599599</v>
      </c>
      <c r="S310">
        <f ca="1"/>
        <v>4.4476497470531747E-5</v>
      </c>
      <c r="T310">
        <f ca="1"/>
        <v>0.152551490241642</v>
      </c>
      <c r="U310">
        <f ca="1"/>
        <v>0</v>
      </c>
      <c r="V310">
        <f ca="1"/>
        <v>87.667801770630803</v>
      </c>
      <c r="W310">
        <f ca="1"/>
        <v>80.199803842021495</v>
      </c>
      <c r="X310">
        <f ca="1"/>
        <v>0</v>
      </c>
      <c r="Y310">
        <f ca="1"/>
        <v>1</v>
      </c>
      <c r="Z310">
        <f ca="1"/>
        <v>3.6282082697318572</v>
      </c>
      <c r="AA310">
        <f ca="1"/>
        <v>0</v>
      </c>
      <c r="AB310">
        <f ca="1"/>
        <v>0.99911829529373697</v>
      </c>
      <c r="AD310" s="2">
        <f t="shared" ca="1" si="42"/>
        <v>45427</v>
      </c>
      <c r="AE310">
        <f t="shared" ca="1" si="43"/>
        <v>0</v>
      </c>
      <c r="AG310" s="65">
        <f t="shared" ca="1" si="47"/>
        <v>9.0436304225877659</v>
      </c>
      <c r="AH310" s="65">
        <f t="shared" ca="1" si="48"/>
        <v>9.0436304225877642</v>
      </c>
      <c r="AI310" s="3">
        <f t="shared" ca="1" si="49"/>
        <v>0</v>
      </c>
    </row>
    <row r="311" spans="7:35" x14ac:dyDescent="0.3">
      <c r="G311" s="3">
        <f t="shared" ca="1" si="44"/>
        <v>93</v>
      </c>
      <c r="H311" s="97">
        <f t="shared" ca="1" si="46"/>
        <v>45383</v>
      </c>
      <c r="I311" s="121">
        <f ca="1">HLOOKUP($H$4,'Met Data'!$A$2:$F$368,G311,FALSE)</f>
        <v>15.299999999999899</v>
      </c>
      <c r="J311" s="121">
        <f ca="1">HLOOKUP($H$4,'Met Data'!$H$2:$M$368,G311,FALSE)*L311</f>
        <v>0.36666666666666597</v>
      </c>
      <c r="K311" s="98">
        <f ca="1">HLOOKUP($H$4,'Met Data'!$O$2:$T$368,G311,FALSE)</f>
        <v>2.1311275850035698</v>
      </c>
      <c r="L311">
        <f t="shared" ca="1" si="40"/>
        <v>1</v>
      </c>
      <c r="N311" t="b">
        <f t="shared" ca="1" si="45"/>
        <v>0</v>
      </c>
      <c r="O311" t="b">
        <f t="shared" ca="1" si="41"/>
        <v>0</v>
      </c>
      <c r="P311" s="2">
        <f ca="1"/>
        <v>45428</v>
      </c>
      <c r="Q311">
        <f ca="1"/>
        <v>5.1722591985384554</v>
      </c>
      <c r="R311">
        <f ca="1"/>
        <v>1.9606694971035701</v>
      </c>
      <c r="S311">
        <f ca="1"/>
        <v>3.5770269180309761E-5</v>
      </c>
      <c r="T311">
        <f ca="1"/>
        <v>0.14415838544503931</v>
      </c>
      <c r="U311">
        <f ca="1"/>
        <v>0</v>
      </c>
      <c r="V311">
        <f ca="1"/>
        <v>89.628471267734298</v>
      </c>
      <c r="W311">
        <f ca="1"/>
        <v>81.993453344927303</v>
      </c>
      <c r="X311">
        <f ca="1"/>
        <v>0</v>
      </c>
      <c r="Y311">
        <f ca="1"/>
        <v>1</v>
      </c>
      <c r="Z311">
        <f ca="1"/>
        <v>2.409176850075113</v>
      </c>
      <c r="AA311">
        <f ca="1"/>
        <v>0</v>
      </c>
      <c r="AB311">
        <f ca="1"/>
        <v>0.99922561153419098</v>
      </c>
      <c r="AD311" s="2">
        <f t="shared" ca="1" si="42"/>
        <v>45428</v>
      </c>
      <c r="AE311">
        <f t="shared" ca="1" si="43"/>
        <v>0</v>
      </c>
      <c r="AG311" s="65">
        <f t="shared" ca="1" si="47"/>
        <v>7.1329286956420246</v>
      </c>
      <c r="AH311" s="65">
        <f t="shared" ca="1" si="48"/>
        <v>7.1329286956420255</v>
      </c>
      <c r="AI311" s="3">
        <f t="shared" ca="1" si="49"/>
        <v>0</v>
      </c>
    </row>
    <row r="312" spans="7:35" x14ac:dyDescent="0.3">
      <c r="G312" s="3">
        <f t="shared" ca="1" si="44"/>
        <v>94</v>
      </c>
      <c r="H312" s="97">
        <f t="shared" ca="1" si="46"/>
        <v>45384</v>
      </c>
      <c r="I312" s="121">
        <f ca="1">HLOOKUP($H$4,'Met Data'!$A$2:$F$368,G312,FALSE)</f>
        <v>16.266666666666602</v>
      </c>
      <c r="J312" s="121">
        <f ca="1">HLOOKUP($H$4,'Met Data'!$H$2:$M$368,G312,FALSE)*L312</f>
        <v>4.36666666666666</v>
      </c>
      <c r="K312" s="98">
        <f ca="1">HLOOKUP($H$4,'Met Data'!$O$2:$T$368,G312,FALSE)</f>
        <v>2.1942415542804201</v>
      </c>
      <c r="L312">
        <f t="shared" ca="1" si="40"/>
        <v>1</v>
      </c>
      <c r="N312" t="b">
        <f t="shared" ca="1" si="45"/>
        <v>0</v>
      </c>
      <c r="O312" t="b">
        <f t="shared" ca="1" si="41"/>
        <v>0</v>
      </c>
      <c r="P312" s="2">
        <f ca="1"/>
        <v>45429</v>
      </c>
      <c r="Q312">
        <f ca="1"/>
        <v>3.4462402159339263</v>
      </c>
      <c r="R312">
        <f ca="1"/>
        <v>1.8619487688684899</v>
      </c>
      <c r="S312">
        <f ca="1"/>
        <v>2.8917241585201935E-5</v>
      </c>
      <c r="T312">
        <f ca="1"/>
        <v>0.1359008690223735</v>
      </c>
      <c r="U312">
        <f ca="1"/>
        <v>0</v>
      </c>
      <c r="V312">
        <f ca="1"/>
        <v>91.490420036602799</v>
      </c>
      <c r="W312">
        <f ca="1"/>
        <v>83.696791663114396</v>
      </c>
      <c r="X312">
        <f ca="1"/>
        <v>0</v>
      </c>
      <c r="Y312">
        <f ca="1"/>
        <v>1</v>
      </c>
      <c r="Z312">
        <f ca="1"/>
        <v>1.2845513306234295</v>
      </c>
      <c r="AA312">
        <f ca="1"/>
        <v>0</v>
      </c>
      <c r="AB312">
        <f ca="1"/>
        <v>0.99931522992569499</v>
      </c>
      <c r="AD312" s="2">
        <f t="shared" ca="1" si="42"/>
        <v>45429</v>
      </c>
      <c r="AE312">
        <f t="shared" ca="1" si="43"/>
        <v>0</v>
      </c>
      <c r="AG312" s="65">
        <f t="shared" ca="1" si="47"/>
        <v>5.3081889848024142</v>
      </c>
      <c r="AH312" s="65">
        <f t="shared" ca="1" si="48"/>
        <v>5.308188984802416</v>
      </c>
      <c r="AI312" s="3">
        <f t="shared" ca="1" si="49"/>
        <v>0</v>
      </c>
    </row>
    <row r="313" spans="7:35" x14ac:dyDescent="0.3">
      <c r="G313" s="3">
        <f t="shared" ca="1" si="44"/>
        <v>95</v>
      </c>
      <c r="H313" s="97">
        <f t="shared" ca="1" si="46"/>
        <v>45385</v>
      </c>
      <c r="I313" s="121">
        <f ca="1">HLOOKUP($H$4,'Met Data'!$A$2:$F$368,G313,FALSE)</f>
        <v>16.008333333333301</v>
      </c>
      <c r="J313" s="121">
        <f ca="1">HLOOKUP($H$4,'Met Data'!$H$2:$M$368,G313,FALSE)*L313</f>
        <v>5.5833333333333304</v>
      </c>
      <c r="K313" s="98">
        <f ca="1">HLOOKUP($H$4,'Met Data'!$O$2:$T$368,G313,FALSE)</f>
        <v>2.18875214188912</v>
      </c>
      <c r="L313">
        <f t="shared" ca="1" si="40"/>
        <v>1</v>
      </c>
      <c r="N313" t="b">
        <f t="shared" ca="1" si="45"/>
        <v>0</v>
      </c>
      <c r="O313" t="b">
        <f t="shared" ca="1" si="41"/>
        <v>0</v>
      </c>
      <c r="P313" s="2">
        <f ca="1"/>
        <v>45430</v>
      </c>
      <c r="Q313">
        <f ca="1"/>
        <v>1.6720363214886902</v>
      </c>
      <c r="R313">
        <f ca="1"/>
        <v>1.9140602569521501</v>
      </c>
      <c r="S313">
        <f ca="1"/>
        <v>2.5555323390226475E-5</v>
      </c>
      <c r="T313">
        <f ca="1"/>
        <v>0.13983080718354068</v>
      </c>
      <c r="U313">
        <f ca="1"/>
        <v>0</v>
      </c>
      <c r="V313">
        <f ca="1"/>
        <v>93.404480293554997</v>
      </c>
      <c r="W313">
        <f ca="1"/>
        <v>85.447802342622495</v>
      </c>
      <c r="X313">
        <f ca="1"/>
        <v>0</v>
      </c>
      <c r="Y313">
        <f ca="1"/>
        <v>1</v>
      </c>
      <c r="Z313">
        <f ca="1"/>
        <v>1.0538223591370155</v>
      </c>
      <c r="AA313">
        <f ca="1"/>
        <v>0</v>
      </c>
      <c r="AB313">
        <f ca="1"/>
        <v>0.99939646049291597</v>
      </c>
      <c r="AD313" s="2">
        <f t="shared" ca="1" si="42"/>
        <v>45430</v>
      </c>
      <c r="AE313">
        <f t="shared" ca="1" si="43"/>
        <v>0</v>
      </c>
      <c r="AG313" s="65">
        <f t="shared" ca="1" si="47"/>
        <v>3.5860965784408574</v>
      </c>
      <c r="AH313" s="65">
        <f t="shared" ca="1" si="48"/>
        <v>3.5860965784408405</v>
      </c>
      <c r="AI313" s="3">
        <f t="shared" ca="1" si="49"/>
        <v>-1.6875389974302379E-14</v>
      </c>
    </row>
    <row r="314" spans="7:35" x14ac:dyDescent="0.3">
      <c r="G314" s="3">
        <f t="shared" ca="1" si="44"/>
        <v>96</v>
      </c>
      <c r="H314" s="97">
        <f t="shared" ca="1" si="46"/>
        <v>45386</v>
      </c>
      <c r="I314" s="121">
        <f ca="1">HLOOKUP($H$4,'Met Data'!$A$2:$F$368,G314,FALSE)</f>
        <v>14.8083333333333</v>
      </c>
      <c r="J314" s="121">
        <f ca="1">HLOOKUP($H$4,'Met Data'!$H$2:$M$368,G314,FALSE)*L314</f>
        <v>3.93333333333333</v>
      </c>
      <c r="K314" s="98">
        <f ca="1">HLOOKUP($H$4,'Met Data'!$O$2:$T$368,G314,FALSE)</f>
        <v>2.25899576438928</v>
      </c>
      <c r="L314">
        <f t="shared" ca="1" si="40"/>
        <v>1</v>
      </c>
      <c r="N314" t="b">
        <f t="shared" ca="1" si="45"/>
        <v>0</v>
      </c>
      <c r="O314" t="b">
        <f t="shared" ca="1" si="41"/>
        <v>0</v>
      </c>
      <c r="P314" s="2">
        <f ca="1"/>
        <v>45431</v>
      </c>
      <c r="Q314">
        <f ca="1"/>
        <v>-8.2282866412924704E-2</v>
      </c>
      <c r="R314">
        <f ca="1"/>
        <v>1.89235711765055</v>
      </c>
      <c r="S314">
        <f ca="1"/>
        <v>2.1472839818682038E-5</v>
      </c>
      <c r="T314">
        <f ca="1"/>
        <v>0.13801645690911593</v>
      </c>
      <c r="U314">
        <f ca="1"/>
        <v>0</v>
      </c>
      <c r="V314">
        <f ca="1"/>
        <v>95.296837411205502</v>
      </c>
      <c r="W314">
        <f ca="1"/>
        <v>87.178958668769496</v>
      </c>
      <c r="X314">
        <f ca="1"/>
        <v>0</v>
      </c>
      <c r="Y314">
        <f ca="1"/>
        <v>0.99208900393420163</v>
      </c>
      <c r="Z314">
        <f ca="1"/>
        <v>0</v>
      </c>
      <c r="AA314">
        <f ca="1"/>
        <v>0</v>
      </c>
      <c r="AB314">
        <f ca="1"/>
        <v>0.99946726020729804</v>
      </c>
      <c r="AD314" s="2">
        <f t="shared" ca="1" si="42"/>
        <v>45431</v>
      </c>
      <c r="AE314">
        <f t="shared" ca="1" si="43"/>
        <v>0</v>
      </c>
      <c r="AG314" s="65">
        <f t="shared" ca="1" si="47"/>
        <v>1.8100742512376249</v>
      </c>
      <c r="AH314" s="65">
        <f t="shared" ca="1" si="48"/>
        <v>1.8100742512376253</v>
      </c>
      <c r="AI314" s="3">
        <f t="shared" ca="1" si="49"/>
        <v>0</v>
      </c>
    </row>
    <row r="315" spans="7:35" x14ac:dyDescent="0.3">
      <c r="G315" s="3">
        <f t="shared" ca="1" si="44"/>
        <v>97</v>
      </c>
      <c r="H315" s="97">
        <f t="shared" ca="1" si="46"/>
        <v>45387</v>
      </c>
      <c r="I315" s="121">
        <f ca="1">HLOOKUP($H$4,'Met Data'!$A$2:$F$368,G315,FALSE)</f>
        <v>14.283333333333299</v>
      </c>
      <c r="J315" s="121">
        <f ca="1">HLOOKUP($H$4,'Met Data'!$H$2:$M$368,G315,FALSE)*L315</f>
        <v>1.2666666666666599</v>
      </c>
      <c r="K315" s="98">
        <f ca="1">HLOOKUP($H$4,'Met Data'!$O$2:$T$368,G315,FALSE)</f>
        <v>2.2952223200603901</v>
      </c>
      <c r="L315">
        <f t="shared" ca="1" si="40"/>
        <v>1</v>
      </c>
      <c r="N315" t="b">
        <f t="shared" ca="1" si="45"/>
        <v>0</v>
      </c>
      <c r="O315" t="b">
        <f t="shared" ca="1" si="41"/>
        <v>0</v>
      </c>
      <c r="P315" s="2">
        <f ca="1"/>
        <v>45432</v>
      </c>
      <c r="Q315">
        <f ca="1"/>
        <v>-1.8139460459628651</v>
      </c>
      <c r="R315">
        <f ca="1"/>
        <v>1.8677930613001199</v>
      </c>
      <c r="S315">
        <f ca="1"/>
        <v>1.8374277434765415E-5</v>
      </c>
      <c r="T315">
        <f ca="1"/>
        <v>0.13611150747274989</v>
      </c>
      <c r="U315">
        <f ca="1"/>
        <v>0</v>
      </c>
      <c r="V315">
        <f ca="1"/>
        <v>97.164630472505607</v>
      </c>
      <c r="W315">
        <f ca="1"/>
        <v>88.887643432255203</v>
      </c>
      <c r="X315">
        <f ca="1"/>
        <v>0</v>
      </c>
      <c r="Y315">
        <f ca="1"/>
        <v>0.99991648356040208</v>
      </c>
      <c r="Z315">
        <f ca="1"/>
        <v>0</v>
      </c>
      <c r="AA315">
        <f ca="1"/>
        <v>0</v>
      </c>
      <c r="AB315">
        <f ca="1"/>
        <v>0.99952900956438595</v>
      </c>
      <c r="AD315" s="2">
        <f t="shared" ca="1" si="42"/>
        <v>45432</v>
      </c>
      <c r="AE315">
        <f t="shared" ca="1" si="43"/>
        <v>0</v>
      </c>
      <c r="AG315" s="65">
        <f t="shared" ca="1" si="47"/>
        <v>5.3847015337259954E-2</v>
      </c>
      <c r="AH315" s="65">
        <f t="shared" ca="1" si="48"/>
        <v>5.3847015337254778E-2</v>
      </c>
      <c r="AI315" s="3">
        <f t="shared" ca="1" si="49"/>
        <v>-5.1764148523147924E-15</v>
      </c>
    </row>
    <row r="316" spans="7:35" x14ac:dyDescent="0.3">
      <c r="G316" s="3">
        <f t="shared" ca="1" si="44"/>
        <v>98</v>
      </c>
      <c r="H316" s="97">
        <f t="shared" ca="1" si="46"/>
        <v>45388</v>
      </c>
      <c r="I316" s="121">
        <f ca="1">HLOOKUP($H$4,'Met Data'!$A$2:$F$368,G316,FALSE)</f>
        <v>13.258333333333301</v>
      </c>
      <c r="J316" s="121">
        <f ca="1">HLOOKUP($H$4,'Met Data'!$H$2:$M$368,G316,FALSE)*L316</f>
        <v>1.18333333333333</v>
      </c>
      <c r="K316" s="98">
        <f ca="1">HLOOKUP($H$4,'Met Data'!$O$2:$T$368,G316,FALSE)</f>
        <v>1.94562323949851</v>
      </c>
      <c r="L316">
        <f t="shared" ca="1" si="40"/>
        <v>1</v>
      </c>
      <c r="N316" t="b">
        <f t="shared" ca="1" si="45"/>
        <v>0</v>
      </c>
      <c r="O316" t="b">
        <f t="shared" ca="1" si="41"/>
        <v>0</v>
      </c>
      <c r="P316" s="2">
        <f ca="1"/>
        <v>45433</v>
      </c>
      <c r="Q316">
        <f ca="1"/>
        <v>-3.3303208832628854</v>
      </c>
      <c r="R316">
        <f ca="1"/>
        <v>1.6350790511398501</v>
      </c>
      <c r="S316">
        <f ca="1"/>
        <v>1.3857589060387112E-5</v>
      </c>
      <c r="T316">
        <f ca="1"/>
        <v>0.11869035625076421</v>
      </c>
      <c r="U316">
        <f ca="1"/>
        <v>0</v>
      </c>
      <c r="V316">
        <f ca="1"/>
        <v>98.799709523645504</v>
      </c>
      <c r="W316">
        <f ca="1"/>
        <v>90.383437971631295</v>
      </c>
      <c r="X316">
        <f ca="1"/>
        <v>0</v>
      </c>
      <c r="Y316">
        <f ca="1"/>
        <v>1</v>
      </c>
      <c r="Z316">
        <f ca="1"/>
        <v>1.8159659289538013</v>
      </c>
      <c r="AA316">
        <f ca="1"/>
        <v>0</v>
      </c>
      <c r="AB316">
        <f ca="1"/>
        <v>0.999577205275471</v>
      </c>
      <c r="AD316" s="2">
        <f t="shared" ca="1" si="42"/>
        <v>45433</v>
      </c>
      <c r="AE316">
        <f t="shared" ca="1" si="43"/>
        <v>0</v>
      </c>
      <c r="AG316" s="65">
        <f t="shared" ca="1" si="47"/>
        <v>-1.6952418321230405</v>
      </c>
      <c r="AH316" s="65">
        <f t="shared" ca="1" si="48"/>
        <v>-1.6952418321230354</v>
      </c>
      <c r="AI316" s="3">
        <f t="shared" ca="1" si="49"/>
        <v>5.1070259132757201E-15</v>
      </c>
    </row>
    <row r="317" spans="7:35" x14ac:dyDescent="0.3">
      <c r="G317" s="3">
        <f t="shared" ca="1" si="44"/>
        <v>99</v>
      </c>
      <c r="H317" s="97">
        <f t="shared" ca="1" si="46"/>
        <v>45389</v>
      </c>
      <c r="I317" s="121">
        <f ca="1">HLOOKUP($H$4,'Met Data'!$A$2:$F$368,G317,FALSE)</f>
        <v>13.8666666666666</v>
      </c>
      <c r="J317" s="121">
        <f ca="1">HLOOKUP($H$4,'Met Data'!$H$2:$M$368,G317,FALSE)*L317</f>
        <v>4.7333333333333298</v>
      </c>
      <c r="K317" s="98">
        <f ca="1">HLOOKUP($H$4,'Met Data'!$O$2:$T$368,G317,FALSE)</f>
        <v>1.65226329552866</v>
      </c>
      <c r="L317">
        <f t="shared" ca="1" si="40"/>
        <v>1</v>
      </c>
      <c r="N317" t="b">
        <f t="shared" ca="1" si="45"/>
        <v>0</v>
      </c>
      <c r="O317" t="b">
        <f t="shared" ca="1" si="41"/>
        <v>0</v>
      </c>
      <c r="P317" s="2">
        <f ca="1"/>
        <v>45434</v>
      </c>
      <c r="Q317">
        <f ca="1"/>
        <v>-4.9284228851812486</v>
      </c>
      <c r="R317">
        <f ca="1"/>
        <v>1.7234930682160401</v>
      </c>
      <c r="S317">
        <f ca="1"/>
        <v>1.2843103452211982E-5</v>
      </c>
      <c r="T317">
        <f ca="1"/>
        <v>0.12537822319423886</v>
      </c>
      <c r="U317">
        <f ca="1"/>
        <v>0</v>
      </c>
      <c r="V317">
        <f ca="1"/>
        <v>100.523202591862</v>
      </c>
      <c r="W317">
        <f ca="1"/>
        <v>91.960114963665902</v>
      </c>
      <c r="X317">
        <f ca="1"/>
        <v>0</v>
      </c>
      <c r="Y317">
        <f ca="1"/>
        <v>1</v>
      </c>
      <c r="Z317">
        <f ca="1"/>
        <v>1.8507891791923186</v>
      </c>
      <c r="AA317">
        <f ca="1"/>
        <v>0</v>
      </c>
      <c r="AB317">
        <f ca="1"/>
        <v>0.99962274611023705</v>
      </c>
      <c r="AD317" s="2">
        <f t="shared" ca="1" si="42"/>
        <v>45434</v>
      </c>
      <c r="AE317">
        <f t="shared" ca="1" si="43"/>
        <v>0</v>
      </c>
      <c r="AG317" s="65">
        <f t="shared" ca="1" si="47"/>
        <v>-3.2049298169651941</v>
      </c>
      <c r="AH317" s="65">
        <f t="shared" ca="1" si="48"/>
        <v>-3.2049298169652083</v>
      </c>
      <c r="AI317" s="3">
        <f t="shared" ca="1" si="49"/>
        <v>-1.4210854715202004E-14</v>
      </c>
    </row>
    <row r="318" spans="7:35" x14ac:dyDescent="0.3">
      <c r="G318" s="3">
        <f t="shared" ca="1" si="44"/>
        <v>100</v>
      </c>
      <c r="H318" s="97">
        <f t="shared" ca="1" si="46"/>
        <v>45390</v>
      </c>
      <c r="I318" s="121">
        <f ca="1">HLOOKUP($H$4,'Met Data'!$A$2:$F$368,G318,FALSE)</f>
        <v>14.404166666666599</v>
      </c>
      <c r="J318" s="121">
        <f ca="1">HLOOKUP($H$4,'Met Data'!$H$2:$M$368,G318,FALSE)*L318</f>
        <v>4.3166666666666602</v>
      </c>
      <c r="K318" s="98">
        <f ca="1">HLOOKUP($H$4,'Met Data'!$O$2:$T$368,G318,FALSE)</f>
        <v>1.8668252234765801</v>
      </c>
      <c r="L318">
        <f t="shared" ca="1" si="40"/>
        <v>1</v>
      </c>
      <c r="N318" t="b">
        <f t="shared" ca="1" si="45"/>
        <v>0</v>
      </c>
      <c r="O318" t="b">
        <f t="shared" ca="1" si="41"/>
        <v>0</v>
      </c>
      <c r="P318" s="2">
        <f ca="1"/>
        <v>45435</v>
      </c>
      <c r="Q318">
        <f ca="1"/>
        <v>-6.5584033552955248</v>
      </c>
      <c r="R318">
        <f ca="1"/>
        <v>1.7582931887078801</v>
      </c>
      <c r="S318">
        <f ca="1"/>
        <v>1.143932733584055E-5</v>
      </c>
      <c r="T318">
        <f ca="1"/>
        <v>0.12830127926627172</v>
      </c>
      <c r="U318">
        <f ca="1"/>
        <v>0</v>
      </c>
      <c r="V318">
        <f ca="1"/>
        <v>102.281495780569</v>
      </c>
      <c r="W318">
        <f ca="1"/>
        <v>93.568627621483898</v>
      </c>
      <c r="X318">
        <f ca="1"/>
        <v>0</v>
      </c>
      <c r="Y318">
        <f ca="1"/>
        <v>1</v>
      </c>
      <c r="Z318">
        <f ca="1"/>
        <v>4.6607295375658992</v>
      </c>
      <c r="AA318">
        <f ca="1"/>
        <v>0</v>
      </c>
      <c r="AB318">
        <f ca="1"/>
        <v>0.99966424527674302</v>
      </c>
      <c r="AD318" s="2">
        <f t="shared" ca="1" si="42"/>
        <v>45435</v>
      </c>
      <c r="AE318">
        <f t="shared" ca="1" si="43"/>
        <v>0</v>
      </c>
      <c r="AG318" s="65">
        <f t="shared" ca="1" si="47"/>
        <v>-4.8001101665876407</v>
      </c>
      <c r="AH318" s="65">
        <f t="shared" ca="1" si="48"/>
        <v>-4.8001101665876451</v>
      </c>
      <c r="AI318" s="3">
        <f t="shared" ca="1" si="49"/>
        <v>0</v>
      </c>
    </row>
    <row r="319" spans="7:35" x14ac:dyDescent="0.3">
      <c r="G319" s="3">
        <f t="shared" ca="1" si="44"/>
        <v>101</v>
      </c>
      <c r="H319" s="97">
        <f t="shared" ca="1" si="46"/>
        <v>45391</v>
      </c>
      <c r="I319" s="121">
        <f ca="1">HLOOKUP($H$4,'Met Data'!$A$2:$F$368,G319,FALSE)</f>
        <v>14.5416666666666</v>
      </c>
      <c r="J319" s="121">
        <f ca="1">HLOOKUP($H$4,'Met Data'!$H$2:$M$368,G319,FALSE)*L319</f>
        <v>4.43333333333333</v>
      </c>
      <c r="K319" s="98">
        <f ca="1">HLOOKUP($H$4,'Met Data'!$O$2:$T$368,G319,FALSE)</f>
        <v>1.97301093095216</v>
      </c>
      <c r="L319">
        <f t="shared" ca="1" si="40"/>
        <v>1</v>
      </c>
      <c r="N319" t="b">
        <f t="shared" ca="1" si="45"/>
        <v>0</v>
      </c>
      <c r="O319" t="b">
        <f t="shared" ca="1" si="41"/>
        <v>0</v>
      </c>
      <c r="P319" s="2">
        <f ca="1"/>
        <v>45436</v>
      </c>
      <c r="Q319">
        <f ca="1"/>
        <v>-8.1512681108286245</v>
      </c>
      <c r="R319">
        <f ca="1"/>
        <v>1.7185531283217701</v>
      </c>
      <c r="S319">
        <f ca="1"/>
        <v>9.7357042480469951E-6</v>
      </c>
      <c r="T319">
        <f ca="1"/>
        <v>0.12567863708440644</v>
      </c>
      <c r="U319">
        <f ca="1"/>
        <v>0</v>
      </c>
      <c r="V319">
        <f ca="1"/>
        <v>104.000048908891</v>
      </c>
      <c r="W319">
        <f ca="1"/>
        <v>95.140785483318993</v>
      </c>
      <c r="X319">
        <f ca="1"/>
        <v>0</v>
      </c>
      <c r="Y319">
        <f ca="1"/>
        <v>1</v>
      </c>
      <c r="Z319">
        <f ca="1"/>
        <v>2.1806884610571728</v>
      </c>
      <c r="AA319">
        <f ca="1"/>
        <v>0</v>
      </c>
      <c r="AB319">
        <f ca="1"/>
        <v>0.99970049297266295</v>
      </c>
      <c r="AD319" s="2">
        <f t="shared" ca="1" si="42"/>
        <v>45436</v>
      </c>
      <c r="AE319">
        <f t="shared" ca="1" si="43"/>
        <v>0</v>
      </c>
      <c r="AG319" s="65">
        <f t="shared" ca="1" si="47"/>
        <v>-6.4327149825068703</v>
      </c>
      <c r="AH319" s="65">
        <f t="shared" ca="1" si="48"/>
        <v>-6.4327149825068544</v>
      </c>
      <c r="AI319" s="3">
        <f t="shared" ca="1" si="49"/>
        <v>1.5987211554602254E-14</v>
      </c>
    </row>
    <row r="320" spans="7:35" x14ac:dyDescent="0.3">
      <c r="G320" s="3">
        <f t="shared" ca="1" si="44"/>
        <v>102</v>
      </c>
      <c r="H320" s="97">
        <f t="shared" ca="1" si="46"/>
        <v>45392</v>
      </c>
      <c r="I320" s="121">
        <f ca="1">HLOOKUP($H$4,'Met Data'!$A$2:$F$368,G320,FALSE)</f>
        <v>14.279166666666599</v>
      </c>
      <c r="J320" s="121">
        <f ca="1">HLOOKUP($H$4,'Met Data'!$H$2:$M$368,G320,FALSE)*L320</f>
        <v>1.3333333333333299</v>
      </c>
      <c r="K320" s="98">
        <f ca="1">HLOOKUP($H$4,'Met Data'!$O$2:$T$368,G320,FALSE)</f>
        <v>1.63836682585681</v>
      </c>
      <c r="L320">
        <f t="shared" ca="1" si="40"/>
        <v>1</v>
      </c>
      <c r="N320" t="b">
        <f t="shared" ca="1" si="45"/>
        <v>0</v>
      </c>
      <c r="O320" t="b">
        <f t="shared" ca="1" si="41"/>
        <v>0</v>
      </c>
      <c r="P320" s="2">
        <f ca="1"/>
        <v>45437</v>
      </c>
      <c r="Q320">
        <f ca="1"/>
        <v>-9.7990581802323788</v>
      </c>
      <c r="R320">
        <f ca="1"/>
        <v>1.77855144705906</v>
      </c>
      <c r="S320">
        <f ca="1"/>
        <v>8.8059414782086206E-6</v>
      </c>
      <c r="T320">
        <f ca="1"/>
        <v>0.13075257171384799</v>
      </c>
      <c r="U320">
        <f ca="1"/>
        <v>0</v>
      </c>
      <c r="V320">
        <f ca="1"/>
        <v>105.77860035595</v>
      </c>
      <c r="W320">
        <f ca="1"/>
        <v>96.767830695998995</v>
      </c>
      <c r="X320">
        <f ca="1"/>
        <v>0</v>
      </c>
      <c r="Y320">
        <f ca="1"/>
        <v>1</v>
      </c>
      <c r="Z320">
        <f ca="1"/>
        <v>5.1246932094789344</v>
      </c>
      <c r="AA320">
        <f ca="1"/>
        <v>0</v>
      </c>
      <c r="AB320">
        <f ca="1"/>
        <v>0.99973400711768601</v>
      </c>
      <c r="AD320" s="2">
        <f t="shared" ca="1" si="42"/>
        <v>45437</v>
      </c>
      <c r="AE320">
        <f t="shared" ca="1" si="43"/>
        <v>0</v>
      </c>
      <c r="AG320" s="65">
        <f t="shared" ca="1" si="47"/>
        <v>-8.0205067331732991</v>
      </c>
      <c r="AH320" s="65">
        <f t="shared" ca="1" si="48"/>
        <v>-8.0205067331733186</v>
      </c>
      <c r="AI320" s="3">
        <f t="shared" ca="1" si="49"/>
        <v>-1.9539925233402755E-14</v>
      </c>
    </row>
    <row r="321" spans="7:35" x14ac:dyDescent="0.3">
      <c r="G321" s="3">
        <f t="shared" ca="1" si="44"/>
        <v>103</v>
      </c>
      <c r="H321" s="97">
        <f t="shared" ca="1" si="46"/>
        <v>45393</v>
      </c>
      <c r="I321" s="121">
        <f ca="1">HLOOKUP($H$4,'Met Data'!$A$2:$F$368,G321,FALSE)</f>
        <v>15.1666666666666</v>
      </c>
      <c r="J321" s="121">
        <f ca="1">HLOOKUP($H$4,'Met Data'!$H$2:$M$368,G321,FALSE)*L321</f>
        <v>3.7833333333333301</v>
      </c>
      <c r="K321" s="98">
        <f ca="1">HLOOKUP($H$4,'Met Data'!$O$2:$T$368,G321,FALSE)</f>
        <v>1.8936832301932101</v>
      </c>
      <c r="L321">
        <f t="shared" ca="1" si="40"/>
        <v>1</v>
      </c>
      <c r="N321" t="b">
        <f t="shared" ca="1" si="45"/>
        <v>0</v>
      </c>
      <c r="O321" t="b">
        <f t="shared" ca="1" si="41"/>
        <v>0</v>
      </c>
      <c r="P321" s="2">
        <f ca="1"/>
        <v>45438</v>
      </c>
      <c r="Q321">
        <f ca="1"/>
        <v>-11.349045086356398</v>
      </c>
      <c r="R321">
        <f ca="1"/>
        <v>1.6732821464808301</v>
      </c>
      <c r="S321">
        <f ca="1"/>
        <v>7.203774574638041E-6</v>
      </c>
      <c r="T321">
        <f ca="1"/>
        <v>0.12328803658223016</v>
      </c>
      <c r="U321">
        <f ca="1"/>
        <v>0</v>
      </c>
      <c r="V321">
        <f ca="1"/>
        <v>107.451882502431</v>
      </c>
      <c r="W321">
        <f ca="1"/>
        <v>98.298573992964705</v>
      </c>
      <c r="X321">
        <f ca="1"/>
        <v>0</v>
      </c>
      <c r="Y321">
        <f ca="1"/>
        <v>1</v>
      </c>
      <c r="Z321">
        <f ca="1"/>
        <v>1.7115812375994039</v>
      </c>
      <c r="AA321">
        <f ca="1"/>
        <v>0</v>
      </c>
      <c r="AB321">
        <f ca="1"/>
        <v>0.99976222108228996</v>
      </c>
      <c r="AD321" s="2">
        <f t="shared" ca="1" si="42"/>
        <v>45438</v>
      </c>
      <c r="AE321">
        <f t="shared" ca="1" si="43"/>
        <v>0</v>
      </c>
      <c r="AG321" s="65">
        <f t="shared" ca="1" si="47"/>
        <v>-9.6757629398755753</v>
      </c>
      <c r="AH321" s="65">
        <f t="shared" ca="1" si="48"/>
        <v>-9.6757629398755682</v>
      </c>
      <c r="AI321" s="3">
        <f t="shared" ca="1" si="49"/>
        <v>0</v>
      </c>
    </row>
    <row r="322" spans="7:35" x14ac:dyDescent="0.3">
      <c r="G322" s="3">
        <f t="shared" ca="1" si="44"/>
        <v>104</v>
      </c>
      <c r="H322" s="97">
        <f t="shared" ca="1" si="46"/>
        <v>45394</v>
      </c>
      <c r="I322" s="121">
        <f ca="1">HLOOKUP($H$4,'Met Data'!$A$2:$F$368,G322,FALSE)</f>
        <v>14.675000000000001</v>
      </c>
      <c r="J322" s="121">
        <f ca="1">HLOOKUP($H$4,'Met Data'!$H$2:$M$368,G322,FALSE)*L322</f>
        <v>4.5166666666666604</v>
      </c>
      <c r="K322" s="98">
        <f ca="1">HLOOKUP($H$4,'Met Data'!$O$2:$T$368,G322,FALSE)</f>
        <v>1.6971366028359001</v>
      </c>
      <c r="L322">
        <f t="shared" ca="1" si="40"/>
        <v>1</v>
      </c>
      <c r="N322" t="b">
        <f t="shared" ca="1" si="45"/>
        <v>0</v>
      </c>
      <c r="O322" t="b">
        <f t="shared" ca="1" si="41"/>
        <v>0</v>
      </c>
      <c r="P322" s="2">
        <f ca="1"/>
        <v>45439</v>
      </c>
      <c r="Q322">
        <f ca="1"/>
        <v>-12.849792214698198</v>
      </c>
      <c r="R322">
        <f ca="1"/>
        <v>1.6207042186334499</v>
      </c>
      <c r="S322">
        <f ca="1"/>
        <v>6.1216676442273421E-6</v>
      </c>
      <c r="T322">
        <f ca="1"/>
        <v>0.11995096862403122</v>
      </c>
      <c r="U322">
        <f ca="1"/>
        <v>0</v>
      </c>
      <c r="V322">
        <f ca="1"/>
        <v>109.07258672106499</v>
      </c>
      <c r="W322">
        <f ca="1"/>
        <v>99.781218222603499</v>
      </c>
      <c r="X322">
        <f ca="1"/>
        <v>0</v>
      </c>
      <c r="Y322">
        <f ca="1"/>
        <v>1</v>
      </c>
      <c r="Z322">
        <f ca="1"/>
        <v>1.7705978864165672</v>
      </c>
      <c r="AA322">
        <f ca="1"/>
        <v>0</v>
      </c>
      <c r="AB322">
        <f ca="1"/>
        <v>0.99978680295857503</v>
      </c>
      <c r="AD322" s="2">
        <f t="shared" ca="1" si="42"/>
        <v>45439</v>
      </c>
      <c r="AE322">
        <f t="shared" ca="1" si="43"/>
        <v>0</v>
      </c>
      <c r="AG322" s="65">
        <f t="shared" ca="1" si="47"/>
        <v>-11.229087996064722</v>
      </c>
      <c r="AH322" s="65">
        <f t="shared" ca="1" si="48"/>
        <v>-11.229087996064749</v>
      </c>
      <c r="AI322" s="3">
        <f t="shared" ca="1" si="49"/>
        <v>-2.6645352591003757E-14</v>
      </c>
    </row>
    <row r="323" spans="7:35" x14ac:dyDescent="0.3">
      <c r="G323" s="3">
        <f t="shared" ca="1" si="44"/>
        <v>105</v>
      </c>
      <c r="H323" s="97">
        <f t="shared" ca="1" si="46"/>
        <v>45395</v>
      </c>
      <c r="I323" s="121">
        <f ca="1">HLOOKUP($H$4,'Met Data'!$A$2:$F$368,G323,FALSE)</f>
        <v>13.504166666666601</v>
      </c>
      <c r="J323" s="121">
        <f ca="1">HLOOKUP($H$4,'Met Data'!$H$2:$M$368,G323,FALSE)*L323</f>
        <v>4.5</v>
      </c>
      <c r="K323" s="98">
        <f ca="1">HLOOKUP($H$4,'Met Data'!$O$2:$T$368,G323,FALSE)</f>
        <v>1.6970685904410301</v>
      </c>
      <c r="L323">
        <f t="shared" ca="1" si="40"/>
        <v>1</v>
      </c>
      <c r="N323" t="b">
        <f t="shared" ca="1" si="45"/>
        <v>0</v>
      </c>
      <c r="O323" t="b">
        <f t="shared" ca="1" si="41"/>
        <v>0</v>
      </c>
      <c r="P323" s="2">
        <f ca="1"/>
        <v>45440</v>
      </c>
      <c r="Q323">
        <f ca="1"/>
        <v>-14.416626579638347</v>
      </c>
      <c r="R323">
        <f ca="1"/>
        <v>1.69291989672426</v>
      </c>
      <c r="S323">
        <f ca="1"/>
        <v>5.6358711495793366E-6</v>
      </c>
      <c r="T323">
        <f ca="1"/>
        <v>0.12607989591296512</v>
      </c>
      <c r="U323">
        <f ca="1"/>
        <v>0</v>
      </c>
      <c r="V323">
        <f ca="1"/>
        <v>110.765506617789</v>
      </c>
      <c r="W323">
        <f ca="1"/>
        <v>101.329926424422</v>
      </c>
      <c r="X323">
        <f ca="1"/>
        <v>0</v>
      </c>
      <c r="Y323">
        <f ca="1"/>
        <v>1</v>
      </c>
      <c r="Z323">
        <f ca="1"/>
        <v>2.1451650160618527</v>
      </c>
      <c r="AA323">
        <f ca="1"/>
        <v>0</v>
      </c>
      <c r="AB323">
        <f ca="1"/>
        <v>0.99980988924585801</v>
      </c>
      <c r="AD323" s="2">
        <f t="shared" ca="1" si="42"/>
        <v>45440</v>
      </c>
      <c r="AE323">
        <f t="shared" ca="1" si="43"/>
        <v>0</v>
      </c>
      <c r="AG323" s="65">
        <f t="shared" ca="1" si="47"/>
        <v>-12.723706682914083</v>
      </c>
      <c r="AH323" s="65">
        <f t="shared" ca="1" si="48"/>
        <v>-12.723706682914088</v>
      </c>
      <c r="AI323" s="3">
        <f t="shared" ca="1" si="49"/>
        <v>0</v>
      </c>
    </row>
    <row r="324" spans="7:35" x14ac:dyDescent="0.3">
      <c r="G324" s="3">
        <f t="shared" ca="1" si="44"/>
        <v>106</v>
      </c>
      <c r="H324" s="97">
        <f t="shared" ca="1" si="46"/>
        <v>45396</v>
      </c>
      <c r="I324" s="121">
        <f ca="1">HLOOKUP($H$4,'Met Data'!$A$2:$F$368,G324,FALSE)</f>
        <v>13.779166666666599</v>
      </c>
      <c r="J324" s="121">
        <f ca="1">HLOOKUP($H$4,'Met Data'!$H$2:$M$368,G324,FALSE)*L324</f>
        <v>0.9</v>
      </c>
      <c r="K324" s="98">
        <f ca="1">HLOOKUP($H$4,'Met Data'!$O$2:$T$368,G324,FALSE)</f>
        <v>2.0649391337631702</v>
      </c>
      <c r="L324">
        <f t="shared" ca="1" si="40"/>
        <v>1</v>
      </c>
      <c r="N324" t="b">
        <f t="shared" ca="1" si="45"/>
        <v>0</v>
      </c>
      <c r="O324" t="b">
        <f t="shared" ca="1" si="41"/>
        <v>0</v>
      </c>
      <c r="P324" s="2">
        <f ca="1"/>
        <v>45441</v>
      </c>
      <c r="Q324">
        <f ca="1"/>
        <v>-15.80954982715167</v>
      </c>
      <c r="R324">
        <f ca="1"/>
        <v>1.505768683336</v>
      </c>
      <c r="S324">
        <f ca="1"/>
        <v>4.3887989793553795E-6</v>
      </c>
      <c r="T324">
        <f ca="1"/>
        <v>0.11284104702367573</v>
      </c>
      <c r="U324">
        <f ca="1"/>
        <v>0</v>
      </c>
      <c r="V324">
        <f ca="1"/>
        <v>112.271275301125</v>
      </c>
      <c r="W324">
        <f ca="1"/>
        <v>102.707425923622</v>
      </c>
      <c r="X324">
        <f ca="1"/>
        <v>0</v>
      </c>
      <c r="Y324">
        <f ca="1"/>
        <v>1</v>
      </c>
      <c r="Z324">
        <f ca="1"/>
        <v>0.86462931580986435</v>
      </c>
      <c r="AA324">
        <f ca="1"/>
        <v>0</v>
      </c>
      <c r="AB324">
        <f ca="1"/>
        <v>0.99982841721068005</v>
      </c>
      <c r="AD324" s="2">
        <f t="shared" ca="1" si="42"/>
        <v>45441</v>
      </c>
      <c r="AE324">
        <f t="shared" ca="1" si="43"/>
        <v>0</v>
      </c>
      <c r="AG324" s="65">
        <f t="shared" ca="1" si="47"/>
        <v>-14.303781143815693</v>
      </c>
      <c r="AH324" s="65">
        <f t="shared" ca="1" si="48"/>
        <v>-14.303781143815669</v>
      </c>
      <c r="AI324" s="3">
        <f t="shared" ca="1" si="49"/>
        <v>2.3092638912203256E-14</v>
      </c>
    </row>
    <row r="325" spans="7:35" x14ac:dyDescent="0.3">
      <c r="G325" s="3">
        <f t="shared" ca="1" si="44"/>
        <v>107</v>
      </c>
      <c r="H325" s="97">
        <f t="shared" ca="1" si="46"/>
        <v>45397</v>
      </c>
      <c r="I325" s="121">
        <f ca="1">HLOOKUP($H$4,'Met Data'!$A$2:$F$368,G325,FALSE)</f>
        <v>13.920833333333301</v>
      </c>
      <c r="J325" s="121">
        <f ca="1">HLOOKUP($H$4,'Met Data'!$H$2:$M$368,G325,FALSE)*L325</f>
        <v>7.6</v>
      </c>
      <c r="K325" s="98">
        <f ca="1">HLOOKUP($H$4,'Met Data'!$O$2:$T$368,G325,FALSE)</f>
        <v>1.7084212444020199</v>
      </c>
      <c r="L325">
        <f t="shared" ca="1" si="40"/>
        <v>1</v>
      </c>
      <c r="N325" t="b">
        <f t="shared" ca="1" si="45"/>
        <v>0</v>
      </c>
      <c r="O325" t="b">
        <f t="shared" ca="1" si="41"/>
        <v>0</v>
      </c>
      <c r="P325" s="2">
        <f ca="1"/>
        <v>45442</v>
      </c>
      <c r="Q325">
        <f ca="1"/>
        <v>-17.201109171244923</v>
      </c>
      <c r="R325">
        <f ca="1"/>
        <v>1.50501361787217</v>
      </c>
      <c r="S325">
        <f ca="1"/>
        <v>3.9016680311834191E-6</v>
      </c>
      <c r="T325">
        <f ca="1"/>
        <v>0.11345037211087182</v>
      </c>
      <c r="U325">
        <f ca="1"/>
        <v>0</v>
      </c>
      <c r="V325">
        <f ca="1"/>
        <v>113.776288918997</v>
      </c>
      <c r="W325">
        <f ca="1"/>
        <v>104.084234677749</v>
      </c>
      <c r="X325">
        <f ca="1"/>
        <v>0</v>
      </c>
      <c r="Y325">
        <f ca="1"/>
        <v>1</v>
      </c>
      <c r="Z325">
        <f ca="1"/>
        <v>3.5980299328115279</v>
      </c>
      <c r="AA325">
        <f ca="1"/>
        <v>0</v>
      </c>
      <c r="AB325">
        <f ca="1"/>
        <v>0.99984522873721704</v>
      </c>
      <c r="AD325" s="2">
        <f t="shared" ca="1" si="42"/>
        <v>45442</v>
      </c>
      <c r="AE325">
        <f t="shared" ca="1" si="43"/>
        <v>0</v>
      </c>
      <c r="AG325" s="65">
        <f t="shared" ca="1" si="47"/>
        <v>-15.696095553372768</v>
      </c>
      <c r="AH325" s="65">
        <f t="shared" ca="1" si="48"/>
        <v>-15.696095553372754</v>
      </c>
      <c r="AI325" s="3">
        <f t="shared" ca="1" si="49"/>
        <v>1.4210854715202004E-14</v>
      </c>
    </row>
    <row r="326" spans="7:35" x14ac:dyDescent="0.3">
      <c r="G326" s="3">
        <f t="shared" ca="1" si="44"/>
        <v>108</v>
      </c>
      <c r="H326" s="97">
        <f t="shared" ca="1" si="46"/>
        <v>45398</v>
      </c>
      <c r="I326" s="121">
        <f ca="1">HLOOKUP($H$4,'Met Data'!$A$2:$F$368,G326,FALSE)</f>
        <v>13.6416666666666</v>
      </c>
      <c r="J326" s="121">
        <f ca="1">HLOOKUP($H$4,'Met Data'!$H$2:$M$368,G326,FALSE)*L326</f>
        <v>3.44999999999999</v>
      </c>
      <c r="K326" s="98">
        <f ca="1">HLOOKUP($H$4,'Met Data'!$O$2:$T$368,G326,FALSE)</f>
        <v>1.46996077972592</v>
      </c>
      <c r="L326">
        <f t="shared" ref="L326:L389" ca="1" si="50">IF(H326&lt;$B$31,$J$3,$J$4)</f>
        <v>1</v>
      </c>
      <c r="N326" t="b">
        <f t="shared" ca="1" si="45"/>
        <v>0</v>
      </c>
      <c r="O326" t="b">
        <f t="shared" ref="O326:O389" ca="1" si="51">AND(IF(P326&gt;($P$2-1),TRUE,FALSE),IF(P326&lt;($P$3+1),TRUE,FALSE))</f>
        <v>0</v>
      </c>
      <c r="P326" s="2">
        <f ca="1"/>
        <v>45443</v>
      </c>
      <c r="Q326">
        <f ca="1"/>
        <v>-18.623528840334586</v>
      </c>
      <c r="R326">
        <f ca="1"/>
        <v>1.5391428586101601</v>
      </c>
      <c r="S326">
        <f ca="1"/>
        <v>3.5487166494564925E-6</v>
      </c>
      <c r="T326">
        <f ca="1"/>
        <v>0.11671964080385004</v>
      </c>
      <c r="U326">
        <f ca="1"/>
        <v>0</v>
      </c>
      <c r="V326">
        <f ca="1"/>
        <v>115.315431777607</v>
      </c>
      <c r="W326">
        <f ca="1"/>
        <v>105.492265366922</v>
      </c>
      <c r="X326">
        <f ca="1"/>
        <v>0</v>
      </c>
      <c r="Y326">
        <f ca="1"/>
        <v>1</v>
      </c>
      <c r="Z326">
        <f ca="1"/>
        <v>1.3309902146425969</v>
      </c>
      <c r="AA326">
        <f ca="1"/>
        <v>0</v>
      </c>
      <c r="AB326">
        <f ca="1"/>
        <v>0.99986081862732401</v>
      </c>
      <c r="AD326" s="2">
        <f t="shared" ref="AD326:AD389" ca="1" si="52">IFERROR(P326,$AD$4)</f>
        <v>45443</v>
      </c>
      <c r="AE326">
        <f t="shared" ref="AE326:AE389" ca="1" si="53">IFERROR(U326,0)</f>
        <v>0</v>
      </c>
      <c r="AG326" s="65">
        <f t="shared" ca="1" si="47"/>
        <v>-17.084385981724424</v>
      </c>
      <c r="AH326" s="65">
        <f t="shared" ca="1" si="48"/>
        <v>-17.084385981724427</v>
      </c>
      <c r="AI326" s="3">
        <f t="shared" ca="1" si="49"/>
        <v>0</v>
      </c>
    </row>
    <row r="327" spans="7:35" x14ac:dyDescent="0.3">
      <c r="G327" s="3">
        <f t="shared" ref="G327:G390" ca="1" si="54">H327-DATE(YEAR(H327),1,0)+1</f>
        <v>109</v>
      </c>
      <c r="H327" s="97">
        <f t="shared" ca="1" si="46"/>
        <v>45399</v>
      </c>
      <c r="I327" s="121">
        <f ca="1">HLOOKUP($H$4,'Met Data'!$A$2:$F$368,G327,FALSE)</f>
        <v>13.6833333333333</v>
      </c>
      <c r="J327" s="121">
        <f ca="1">HLOOKUP($H$4,'Met Data'!$H$2:$M$368,G327,FALSE)*L327</f>
        <v>2.4166666666666599</v>
      </c>
      <c r="K327" s="98">
        <f ca="1">HLOOKUP($H$4,'Met Data'!$O$2:$T$368,G327,FALSE)</f>
        <v>1.64274717869015</v>
      </c>
      <c r="L327">
        <f t="shared" ca="1" si="50"/>
        <v>1</v>
      </c>
      <c r="N327" t="b">
        <f t="shared" ref="N327:N390" ca="1" si="55">IF(P327&lt;$P$3,TRUE,FALSE)</f>
        <v>0</v>
      </c>
      <c r="O327" t="b">
        <f t="shared" ca="1" si="51"/>
        <v>0</v>
      </c>
      <c r="P327" s="2">
        <f ca="1"/>
        <v>45444</v>
      </c>
      <c r="Q327">
        <f ca="1"/>
        <v>-20.033459273546725</v>
      </c>
      <c r="R327">
        <f ca="1"/>
        <v>1.5265575984412001</v>
      </c>
      <c r="S327">
        <f ca="1"/>
        <v>3.1200920551597429E-6</v>
      </c>
      <c r="T327">
        <f ca="1"/>
        <v>0.11662404513700274</v>
      </c>
      <c r="U327">
        <f ca="1"/>
        <v>0</v>
      </c>
      <c r="V327">
        <f ca="1"/>
        <v>116.84198937604801</v>
      </c>
      <c r="W327">
        <f ca="1"/>
        <v>106.888782873644</v>
      </c>
      <c r="X327">
        <f ca="1"/>
        <v>0</v>
      </c>
      <c r="Y327">
        <f ca="1"/>
        <v>1</v>
      </c>
      <c r="Z327">
        <f ca="1"/>
        <v>1.7552437564817325</v>
      </c>
      <c r="AA327">
        <f ca="1"/>
        <v>0</v>
      </c>
      <c r="AB327">
        <f ca="1"/>
        <v>0.99987482729662502</v>
      </c>
      <c r="AD327" s="2">
        <f t="shared" ca="1" si="52"/>
        <v>45444</v>
      </c>
      <c r="AE327">
        <f t="shared" ca="1" si="53"/>
        <v>0</v>
      </c>
      <c r="AG327" s="65">
        <f t="shared" ca="1" si="47"/>
        <v>-18.506901675105528</v>
      </c>
      <c r="AH327" s="65">
        <f t="shared" ca="1" si="48"/>
        <v>-18.506901675105524</v>
      </c>
      <c r="AI327" s="3">
        <f t="shared" ca="1" si="49"/>
        <v>0</v>
      </c>
    </row>
    <row r="328" spans="7:35" x14ac:dyDescent="0.3">
      <c r="G328" s="3">
        <f t="shared" ca="1" si="54"/>
        <v>110</v>
      </c>
      <c r="H328" s="97">
        <f t="shared" ref="H328:H391" ca="1" si="56">H327+1</f>
        <v>45400</v>
      </c>
      <c r="I328" s="121">
        <f ca="1">HLOOKUP($H$4,'Met Data'!$A$2:$F$368,G328,FALSE)</f>
        <v>12.945833333333301</v>
      </c>
      <c r="J328" s="121">
        <f ca="1">HLOOKUP($H$4,'Met Data'!$H$2:$M$368,G328,FALSE)*L328</f>
        <v>1.5999999999999901</v>
      </c>
      <c r="K328" s="98">
        <f ca="1">HLOOKUP($H$4,'Met Data'!$O$2:$T$368,G328,FALSE)</f>
        <v>1.70342846945819</v>
      </c>
      <c r="L328">
        <f t="shared" ca="1" si="50"/>
        <v>1</v>
      </c>
      <c r="N328" t="b">
        <f t="shared" ca="1" si="55"/>
        <v>0</v>
      </c>
      <c r="O328" t="b">
        <f t="shared" ca="1" si="51"/>
        <v>0</v>
      </c>
      <c r="P328" s="2">
        <f ca="1"/>
        <v>45445</v>
      </c>
      <c r="Q328">
        <f ca="1"/>
        <v>-21.417980828827325</v>
      </c>
      <c r="R328">
        <f ca="1"/>
        <v>1.50005255329997</v>
      </c>
      <c r="S328">
        <f ca="1"/>
        <v>2.719511772917279E-6</v>
      </c>
      <c r="T328">
        <f ca="1"/>
        <v>0.11552827850759648</v>
      </c>
      <c r="U328">
        <f ca="1"/>
        <v>0</v>
      </c>
      <c r="V328">
        <f ca="1"/>
        <v>118.342041929348</v>
      </c>
      <c r="W328">
        <f ca="1"/>
        <v>108.261053172404</v>
      </c>
      <c r="X328">
        <f ca="1"/>
        <v>0</v>
      </c>
      <c r="Y328">
        <f ca="1"/>
        <v>1</v>
      </c>
      <c r="Z328">
        <f ca="1"/>
        <v>0.81223036395613235</v>
      </c>
      <c r="AA328">
        <f ca="1"/>
        <v>0</v>
      </c>
      <c r="AB328">
        <f ca="1"/>
        <v>0.99988731159111</v>
      </c>
      <c r="AD328" s="2">
        <f t="shared" ca="1" si="52"/>
        <v>45445</v>
      </c>
      <c r="AE328">
        <f t="shared" ca="1" si="53"/>
        <v>0</v>
      </c>
      <c r="AG328" s="65">
        <f t="shared" ca="1" si="47"/>
        <v>-19.917928275527355</v>
      </c>
      <c r="AH328" s="65">
        <f t="shared" ca="1" si="48"/>
        <v>-19.917928275527355</v>
      </c>
      <c r="AI328" s="3">
        <f t="shared" ca="1" si="49"/>
        <v>0</v>
      </c>
    </row>
    <row r="329" spans="7:35" x14ac:dyDescent="0.3">
      <c r="G329" s="3">
        <f t="shared" ca="1" si="54"/>
        <v>111</v>
      </c>
      <c r="H329" s="97">
        <f t="shared" ca="1" si="56"/>
        <v>45401</v>
      </c>
      <c r="I329" s="121">
        <f ca="1">HLOOKUP($H$4,'Met Data'!$A$2:$F$368,G329,FALSE)</f>
        <v>14.2875</v>
      </c>
      <c r="J329" s="121">
        <f ca="1">HLOOKUP($H$4,'Met Data'!$H$2:$M$368,G329,FALSE)*L329</f>
        <v>1.1499999999999999</v>
      </c>
      <c r="K329" s="98">
        <f ca="1">HLOOKUP($H$4,'Met Data'!$O$2:$T$368,G329,FALSE)</f>
        <v>1.68674688590323</v>
      </c>
      <c r="L329">
        <f t="shared" ca="1" si="50"/>
        <v>1</v>
      </c>
      <c r="N329" t="b">
        <f t="shared" ca="1" si="55"/>
        <v>0</v>
      </c>
      <c r="O329" t="b">
        <f t="shared" ca="1" si="51"/>
        <v>0</v>
      </c>
      <c r="P329" s="2">
        <f ca="1"/>
        <v>45446</v>
      </c>
      <c r="Q329">
        <f ca="1"/>
        <v>-22.9346279174693</v>
      </c>
      <c r="R329">
        <f ca="1"/>
        <v>1.64454530887156</v>
      </c>
      <c r="S329">
        <f ca="1"/>
        <v>2.6506009927805115E-6</v>
      </c>
      <c r="T329">
        <f ca="1"/>
        <v>0.12789556962860213</v>
      </c>
      <c r="U329">
        <f ca="1"/>
        <v>0</v>
      </c>
      <c r="V329">
        <f ca="1"/>
        <v>119.98658723822</v>
      </c>
      <c r="W329">
        <f ca="1"/>
        <v>109.765507584594</v>
      </c>
      <c r="X329">
        <f ca="1"/>
        <v>0</v>
      </c>
      <c r="Y329">
        <f ca="1"/>
        <v>1</v>
      </c>
      <c r="Z329">
        <f ca="1"/>
        <v>1.4892291225065151</v>
      </c>
      <c r="AA329">
        <f ca="1"/>
        <v>0</v>
      </c>
      <c r="AB329">
        <f ca="1"/>
        <v>0.99989967512021805</v>
      </c>
      <c r="AD329" s="2">
        <f t="shared" ca="1" si="52"/>
        <v>45446</v>
      </c>
      <c r="AE329">
        <f t="shared" ca="1" si="53"/>
        <v>0</v>
      </c>
      <c r="AG329" s="65">
        <f t="shared" ca="1" si="47"/>
        <v>-21.290082608597729</v>
      </c>
      <c r="AH329" s="65">
        <f t="shared" ca="1" si="48"/>
        <v>-21.290082608597739</v>
      </c>
      <c r="AI329" s="3">
        <f t="shared" ca="1" si="49"/>
        <v>0</v>
      </c>
    </row>
    <row r="330" spans="7:35" x14ac:dyDescent="0.3">
      <c r="G330" s="3">
        <f t="shared" ca="1" si="54"/>
        <v>112</v>
      </c>
      <c r="H330" s="97">
        <f t="shared" ca="1" si="56"/>
        <v>45402</v>
      </c>
      <c r="I330" s="121">
        <f ca="1">HLOOKUP($H$4,'Met Data'!$A$2:$F$368,G330,FALSE)</f>
        <v>14.275</v>
      </c>
      <c r="J330" s="121">
        <f ca="1">HLOOKUP($H$4,'Met Data'!$H$2:$M$368,G330,FALSE)*L330</f>
        <v>2.0833333333333299</v>
      </c>
      <c r="K330" s="98">
        <f ca="1">HLOOKUP($H$4,'Met Data'!$O$2:$T$368,G330,FALSE)</f>
        <v>1.5152419322458901</v>
      </c>
      <c r="L330">
        <f t="shared" ca="1" si="50"/>
        <v>1</v>
      </c>
      <c r="N330" t="b">
        <f t="shared" ca="1" si="55"/>
        <v>0</v>
      </c>
      <c r="O330" t="b">
        <f t="shared" ca="1" si="51"/>
        <v>0</v>
      </c>
      <c r="P330" s="2">
        <f ca="1"/>
        <v>45447</v>
      </c>
      <c r="Q330">
        <f ca="1"/>
        <v>-24.399383931620349</v>
      </c>
      <c r="R330">
        <f ca="1"/>
        <v>1.5894871459568001</v>
      </c>
      <c r="S330">
        <f ca="1"/>
        <v>2.2471196108349596E-6</v>
      </c>
      <c r="T330">
        <f ca="1"/>
        <v>0.12472888468613413</v>
      </c>
      <c r="U330">
        <f ca="1"/>
        <v>0</v>
      </c>
      <c r="V330">
        <f ca="1"/>
        <v>121.57607438417701</v>
      </c>
      <c r="W330">
        <f ca="1"/>
        <v>111.219593973673</v>
      </c>
      <c r="X330">
        <f ca="1"/>
        <v>0</v>
      </c>
      <c r="Y330">
        <f ca="1"/>
        <v>1</v>
      </c>
      <c r="Z330">
        <f ca="1"/>
        <v>3.2900064313517277</v>
      </c>
      <c r="AA330">
        <f ca="1"/>
        <v>0</v>
      </c>
      <c r="AB330">
        <f ca="1"/>
        <v>0.99991043313115202</v>
      </c>
      <c r="AD330" s="2">
        <f t="shared" ca="1" si="52"/>
        <v>45447</v>
      </c>
      <c r="AE330">
        <f t="shared" ca="1" si="53"/>
        <v>0</v>
      </c>
      <c r="AG330" s="65">
        <f t="shared" ca="1" si="47"/>
        <v>-22.809896785663554</v>
      </c>
      <c r="AH330" s="65">
        <f t="shared" ca="1" si="48"/>
        <v>-22.80989678566355</v>
      </c>
      <c r="AI330" s="3">
        <f t="shared" ca="1" si="49"/>
        <v>0</v>
      </c>
    </row>
    <row r="331" spans="7:35" x14ac:dyDescent="0.3">
      <c r="G331" s="3">
        <f t="shared" ca="1" si="54"/>
        <v>113</v>
      </c>
      <c r="H331" s="97">
        <f t="shared" ca="1" si="56"/>
        <v>45403</v>
      </c>
      <c r="I331" s="121">
        <f ca="1">HLOOKUP($H$4,'Met Data'!$A$2:$F$368,G331,FALSE)</f>
        <v>13.595833333333299</v>
      </c>
      <c r="J331" s="121">
        <f ca="1">HLOOKUP($H$4,'Met Data'!$H$2:$M$368,G331,FALSE)*L331</f>
        <v>0.76666666666666605</v>
      </c>
      <c r="K331" s="98">
        <f ca="1">HLOOKUP($H$4,'Met Data'!$O$2:$T$368,G331,FALSE)</f>
        <v>1.65518894118648</v>
      </c>
      <c r="L331">
        <f t="shared" ca="1" si="50"/>
        <v>1</v>
      </c>
      <c r="N331" t="b">
        <f t="shared" ca="1" si="55"/>
        <v>0</v>
      </c>
      <c r="O331" t="b">
        <f t="shared" ca="1" si="51"/>
        <v>0</v>
      </c>
      <c r="P331" s="2">
        <f ca="1"/>
        <v>45448</v>
      </c>
      <c r="Q331">
        <f ca="1"/>
        <v>-25.831066328176007</v>
      </c>
      <c r="R331">
        <f ca="1"/>
        <v>1.55492287363366</v>
      </c>
      <c r="S331">
        <f ca="1"/>
        <v>1.9360150994501082E-6</v>
      </c>
      <c r="T331">
        <f ca="1"/>
        <v>0.12323854106289771</v>
      </c>
      <c r="U331">
        <f ca="1"/>
        <v>0</v>
      </c>
      <c r="V331">
        <f ca="1"/>
        <v>123.13099725780999</v>
      </c>
      <c r="W331">
        <f ca="1"/>
        <v>112.642060454367</v>
      </c>
      <c r="X331">
        <f ca="1"/>
        <v>0</v>
      </c>
      <c r="Y331">
        <f ca="1"/>
        <v>1</v>
      </c>
      <c r="Z331">
        <f ca="1"/>
        <v>4.3675724012378936</v>
      </c>
      <c r="AA331">
        <f ca="1"/>
        <v>0</v>
      </c>
      <c r="AB331">
        <f ca="1"/>
        <v>0.99991993148043501</v>
      </c>
      <c r="AD331" s="2">
        <f t="shared" ca="1" si="52"/>
        <v>45448</v>
      </c>
      <c r="AE331">
        <f t="shared" ca="1" si="53"/>
        <v>0</v>
      </c>
      <c r="AG331" s="65">
        <f t="shared" ref="AG331:AG394" ca="1" si="57">Q330+S331+T331+U331</f>
        <v>-24.276143454542353</v>
      </c>
      <c r="AH331" s="65">
        <f t="shared" ref="AH331:AH394" ca="1" si="58">Q331+R331+X331</f>
        <v>-24.276143454542346</v>
      </c>
      <c r="AI331" s="3">
        <f t="shared" ref="AI331:AI394" ca="1" si="59">AH331-AG331</f>
        <v>0</v>
      </c>
    </row>
    <row r="332" spans="7:35" x14ac:dyDescent="0.3">
      <c r="G332" s="3">
        <f t="shared" ca="1" si="54"/>
        <v>114</v>
      </c>
      <c r="H332" s="97">
        <f t="shared" ca="1" si="56"/>
        <v>45404</v>
      </c>
      <c r="I332" s="121">
        <f ca="1">HLOOKUP($H$4,'Met Data'!$A$2:$F$368,G332,FALSE)</f>
        <v>13.9125</v>
      </c>
      <c r="J332" s="121">
        <f ca="1">HLOOKUP($H$4,'Met Data'!$H$2:$M$368,G332,FALSE)*L332</f>
        <v>0.3</v>
      </c>
      <c r="K332" s="98">
        <f ca="1">HLOOKUP($H$4,'Met Data'!$O$2:$T$368,G332,FALSE)</f>
        <v>1.66585763602601</v>
      </c>
      <c r="L332">
        <f t="shared" ca="1" si="50"/>
        <v>1</v>
      </c>
      <c r="N332" t="b">
        <f t="shared" ca="1" si="55"/>
        <v>0</v>
      </c>
      <c r="O332" t="b">
        <f t="shared" ca="1" si="51"/>
        <v>0</v>
      </c>
      <c r="P332" s="2">
        <f ca="1"/>
        <v>45449</v>
      </c>
      <c r="Q332">
        <f ca="1"/>
        <v>-27.232821308682219</v>
      </c>
      <c r="R332">
        <f ca="1"/>
        <v>1.52381107731502</v>
      </c>
      <c r="S332">
        <f ca="1"/>
        <v>1.6746192666779339E-6</v>
      </c>
      <c r="T332">
        <f ca="1"/>
        <v>0.12205442218953148</v>
      </c>
      <c r="U332">
        <f ca="1"/>
        <v>0</v>
      </c>
      <c r="V332">
        <f ca="1"/>
        <v>124.654808335125</v>
      </c>
      <c r="W332">
        <f ca="1"/>
        <v>114.036065402874</v>
      </c>
      <c r="X332">
        <f ca="1"/>
        <v>0</v>
      </c>
      <c r="Y332">
        <f ca="1"/>
        <v>1</v>
      </c>
      <c r="Z332">
        <f ca="1"/>
        <v>1.4508743505761714</v>
      </c>
      <c r="AA332">
        <f ca="1"/>
        <v>0</v>
      </c>
      <c r="AB332">
        <f ca="1"/>
        <v>0.99992834661654595</v>
      </c>
      <c r="AD332" s="2">
        <f t="shared" ca="1" si="52"/>
        <v>45449</v>
      </c>
      <c r="AE332">
        <f t="shared" ca="1" si="53"/>
        <v>0</v>
      </c>
      <c r="AG332" s="65">
        <f t="shared" ca="1" si="57"/>
        <v>-25.709010231367209</v>
      </c>
      <c r="AH332" s="65">
        <f t="shared" ca="1" si="58"/>
        <v>-25.709010231367198</v>
      </c>
      <c r="AI332" s="3">
        <f t="shared" ca="1" si="59"/>
        <v>0</v>
      </c>
    </row>
    <row r="333" spans="7:35" x14ac:dyDescent="0.3">
      <c r="G333" s="3">
        <f t="shared" ca="1" si="54"/>
        <v>115</v>
      </c>
      <c r="H333" s="97">
        <f t="shared" ca="1" si="56"/>
        <v>45405</v>
      </c>
      <c r="I333" s="121">
        <f ca="1">HLOOKUP($H$4,'Met Data'!$A$2:$F$368,G333,FALSE)</f>
        <v>14.820833333333301</v>
      </c>
      <c r="J333" s="121">
        <f ca="1">HLOOKUP($H$4,'Met Data'!$H$2:$M$368,G333,FALSE)*L333</f>
        <v>2.5333333333333301</v>
      </c>
      <c r="K333" s="98">
        <f ca="1">HLOOKUP($H$4,'Met Data'!$O$2:$T$368,G333,FALSE)</f>
        <v>1.5754379638326901</v>
      </c>
      <c r="L333">
        <f t="shared" ca="1" si="50"/>
        <v>1</v>
      </c>
      <c r="N333" t="b">
        <f t="shared" ca="1" si="55"/>
        <v>0</v>
      </c>
      <c r="O333" t="b">
        <f t="shared" ca="1" si="51"/>
        <v>0</v>
      </c>
      <c r="P333" s="2">
        <f ca="1"/>
        <v>45450</v>
      </c>
      <c r="Q333">
        <f ca="1"/>
        <v>-28.502277048571756</v>
      </c>
      <c r="R333">
        <f ca="1"/>
        <v>1.38145790697077</v>
      </c>
      <c r="S333">
        <f ca="1"/>
        <v>1.3419025295239909E-6</v>
      </c>
      <c r="T333">
        <f ca="1"/>
        <v>0.11200082517867627</v>
      </c>
      <c r="U333">
        <f ca="1"/>
        <v>0</v>
      </c>
      <c r="V333">
        <f ca="1"/>
        <v>126.036266242096</v>
      </c>
      <c r="W333">
        <f ca="1"/>
        <v>115.29984356221399</v>
      </c>
      <c r="X333">
        <f ca="1"/>
        <v>0</v>
      </c>
      <c r="Y333">
        <f ca="1"/>
        <v>1</v>
      </c>
      <c r="Z333">
        <f ca="1"/>
        <v>0.64942817835039079</v>
      </c>
      <c r="AA333">
        <f ca="1"/>
        <v>0</v>
      </c>
      <c r="AB333">
        <f ca="1"/>
        <v>0.99993527911753899</v>
      </c>
      <c r="AD333" s="2">
        <f t="shared" ca="1" si="52"/>
        <v>45450</v>
      </c>
      <c r="AE333">
        <f t="shared" ca="1" si="53"/>
        <v>0</v>
      </c>
      <c r="AG333" s="65">
        <f t="shared" ca="1" si="57"/>
        <v>-27.120819141601014</v>
      </c>
      <c r="AH333" s="65">
        <f t="shared" ca="1" si="58"/>
        <v>-27.120819141600986</v>
      </c>
      <c r="AI333" s="3">
        <f t="shared" ca="1" si="59"/>
        <v>2.8421709430404007E-14</v>
      </c>
    </row>
    <row r="334" spans="7:35" x14ac:dyDescent="0.3">
      <c r="G334" s="3">
        <f t="shared" ca="1" si="54"/>
        <v>116</v>
      </c>
      <c r="H334" s="97">
        <f t="shared" ca="1" si="56"/>
        <v>45406</v>
      </c>
      <c r="I334" s="121">
        <f ca="1">HLOOKUP($H$4,'Met Data'!$A$2:$F$368,G334,FALSE)</f>
        <v>14.4166666666666</v>
      </c>
      <c r="J334" s="121">
        <f ca="1">HLOOKUP($H$4,'Met Data'!$H$2:$M$368,G334,FALSE)*L334</f>
        <v>7.3833333333333302</v>
      </c>
      <c r="K334" s="98">
        <f ca="1">HLOOKUP($H$4,'Met Data'!$O$2:$T$368,G334,FALSE)</f>
        <v>1.4622003711311999</v>
      </c>
      <c r="L334">
        <f t="shared" ca="1" si="50"/>
        <v>1</v>
      </c>
      <c r="N334" t="b">
        <f t="shared" ca="1" si="55"/>
        <v>0</v>
      </c>
      <c r="O334" t="b">
        <f t="shared" ca="1" si="51"/>
        <v>0</v>
      </c>
      <c r="P334" s="2">
        <f ca="1"/>
        <v>45451</v>
      </c>
      <c r="Q334">
        <f ca="1"/>
        <v>-29.743888338597458</v>
      </c>
      <c r="R334">
        <f ca="1"/>
        <v>1.3524992347170299</v>
      </c>
      <c r="S334">
        <f ca="1"/>
        <v>1.1751305507408235E-6</v>
      </c>
      <c r="T334">
        <f ca="1"/>
        <v>0.11088676956078658</v>
      </c>
      <c r="U334">
        <f ca="1"/>
        <v>0</v>
      </c>
      <c r="V334">
        <f ca="1"/>
        <v>127.38876547681301</v>
      </c>
      <c r="W334">
        <f ca="1"/>
        <v>116.537129899159</v>
      </c>
      <c r="X334">
        <f ca="1"/>
        <v>0</v>
      </c>
      <c r="Y334">
        <f ca="1"/>
        <v>1</v>
      </c>
      <c r="Z334">
        <f ca="1"/>
        <v>0.60432403407104118</v>
      </c>
      <c r="AA334">
        <f ca="1"/>
        <v>0</v>
      </c>
      <c r="AB334">
        <f ca="1"/>
        <v>0.99994147885599505</v>
      </c>
      <c r="AD334" s="2">
        <f t="shared" ca="1" si="52"/>
        <v>45451</v>
      </c>
      <c r="AE334">
        <f t="shared" ca="1" si="53"/>
        <v>0</v>
      </c>
      <c r="AG334" s="65">
        <f t="shared" ca="1" si="57"/>
        <v>-28.391389103880421</v>
      </c>
      <c r="AH334" s="65">
        <f t="shared" ca="1" si="58"/>
        <v>-28.391389103880428</v>
      </c>
      <c r="AI334" s="3">
        <f t="shared" ca="1" si="59"/>
        <v>0</v>
      </c>
    </row>
    <row r="335" spans="7:35" x14ac:dyDescent="0.3">
      <c r="G335" s="3">
        <f t="shared" ca="1" si="54"/>
        <v>117</v>
      </c>
      <c r="H335" s="97">
        <f t="shared" ca="1" si="56"/>
        <v>45407</v>
      </c>
      <c r="I335" s="121">
        <f ca="1">HLOOKUP($H$4,'Met Data'!$A$2:$F$368,G335,FALSE)</f>
        <v>13.9375</v>
      </c>
      <c r="J335" s="121">
        <f ca="1">HLOOKUP($H$4,'Met Data'!$H$2:$M$368,G335,FALSE)*L335</f>
        <v>0.7</v>
      </c>
      <c r="K335" s="98">
        <f ca="1">HLOOKUP($H$4,'Met Data'!$O$2:$T$368,G335,FALSE)</f>
        <v>1.4965322621758601</v>
      </c>
      <c r="L335">
        <f t="shared" ca="1" si="50"/>
        <v>1</v>
      </c>
      <c r="N335" t="b">
        <f t="shared" ca="1" si="55"/>
        <v>0</v>
      </c>
      <c r="O335" t="b">
        <f t="shared" ca="1" si="51"/>
        <v>0</v>
      </c>
      <c r="P335" s="2">
        <f ca="1"/>
        <v>45452</v>
      </c>
      <c r="Q335">
        <f ca="1"/>
        <v>-31.151992336216978</v>
      </c>
      <c r="R335">
        <f ca="1"/>
        <v>1.5353937180405799</v>
      </c>
      <c r="S335">
        <f ca="1"/>
        <v>1.1963770349591454E-6</v>
      </c>
      <c r="T335">
        <f ca="1"/>
        <v>0.12728852404402238</v>
      </c>
      <c r="U335">
        <f ca="1"/>
        <v>0</v>
      </c>
      <c r="V335">
        <f ca="1"/>
        <v>128.92415919485401</v>
      </c>
      <c r="W335">
        <f ca="1"/>
        <v>117.94173081899601</v>
      </c>
      <c r="X335">
        <f ca="1"/>
        <v>0</v>
      </c>
      <c r="Y335">
        <f ca="1"/>
        <v>1</v>
      </c>
      <c r="Z335">
        <f ca="1"/>
        <v>4.0648710380177562</v>
      </c>
      <c r="AA335">
        <f ca="1"/>
        <v>0</v>
      </c>
      <c r="AB335">
        <f ca="1"/>
        <v>0.99994787211565395</v>
      </c>
      <c r="AD335" s="2">
        <f t="shared" ca="1" si="52"/>
        <v>45452</v>
      </c>
      <c r="AE335">
        <f t="shared" ca="1" si="53"/>
        <v>0</v>
      </c>
      <c r="AG335" s="65">
        <f t="shared" ca="1" si="57"/>
        <v>-29.6165986181764</v>
      </c>
      <c r="AH335" s="65">
        <f t="shared" ca="1" si="58"/>
        <v>-29.616598618176397</v>
      </c>
      <c r="AI335" s="3">
        <f t="shared" ca="1" si="59"/>
        <v>0</v>
      </c>
    </row>
    <row r="336" spans="7:35" x14ac:dyDescent="0.3">
      <c r="G336" s="3">
        <f t="shared" ca="1" si="54"/>
        <v>118</v>
      </c>
      <c r="H336" s="97">
        <f t="shared" ca="1" si="56"/>
        <v>45408</v>
      </c>
      <c r="I336" s="121">
        <f ca="1">HLOOKUP($H$4,'Met Data'!$A$2:$F$368,G336,FALSE)</f>
        <v>14.8045454545454</v>
      </c>
      <c r="J336" s="121">
        <f ca="1">HLOOKUP($H$4,'Met Data'!$H$2:$M$368,G336,FALSE)*L336</f>
        <v>4.5818181818181802</v>
      </c>
      <c r="K336" s="98">
        <f ca="1">HLOOKUP($H$4,'Met Data'!$O$2:$T$368,G336,FALSE)</f>
        <v>1.5702581753512701</v>
      </c>
      <c r="L336">
        <f t="shared" ca="1" si="50"/>
        <v>1</v>
      </c>
      <c r="N336" t="b">
        <f t="shared" ca="1" si="55"/>
        <v>0</v>
      </c>
      <c r="O336" t="b">
        <f t="shared" ca="1" si="51"/>
        <v>0</v>
      </c>
      <c r="P336" s="2">
        <f ca="1"/>
        <v>45453</v>
      </c>
      <c r="Q336">
        <f ca="1"/>
        <v>-32.539149593208037</v>
      </c>
      <c r="R336">
        <f ca="1"/>
        <v>1.5143917248705601</v>
      </c>
      <c r="S336">
        <f ca="1"/>
        <v>1.039457269529276E-6</v>
      </c>
      <c r="T336">
        <f ca="1"/>
        <v>0.1272334284222412</v>
      </c>
      <c r="U336">
        <f ca="1"/>
        <v>0</v>
      </c>
      <c r="V336">
        <f ca="1"/>
        <v>130.43855091972401</v>
      </c>
      <c r="W336">
        <f ca="1"/>
        <v>119.32711880434</v>
      </c>
      <c r="X336">
        <f ca="1"/>
        <v>0</v>
      </c>
      <c r="Y336">
        <f ca="1"/>
        <v>1</v>
      </c>
      <c r="Z336">
        <f ca="1"/>
        <v>6.3765781024554542</v>
      </c>
      <c r="AA336">
        <f ca="1"/>
        <v>0</v>
      </c>
      <c r="AB336">
        <f ca="1"/>
        <v>0.99995356472311103</v>
      </c>
      <c r="AD336" s="2">
        <f t="shared" ca="1" si="52"/>
        <v>45453</v>
      </c>
      <c r="AE336">
        <f t="shared" ca="1" si="53"/>
        <v>0</v>
      </c>
      <c r="AG336" s="65">
        <f t="shared" ca="1" si="57"/>
        <v>-31.024757868337467</v>
      </c>
      <c r="AH336" s="65">
        <f t="shared" ca="1" si="58"/>
        <v>-31.024757868337478</v>
      </c>
      <c r="AI336" s="3">
        <f t="shared" ca="1" si="59"/>
        <v>0</v>
      </c>
    </row>
    <row r="337" spans="7:35" x14ac:dyDescent="0.3">
      <c r="G337" s="3">
        <f t="shared" ca="1" si="54"/>
        <v>119</v>
      </c>
      <c r="H337" s="97">
        <f t="shared" ca="1" si="56"/>
        <v>45409</v>
      </c>
      <c r="I337" s="121">
        <f ca="1">HLOOKUP($H$4,'Met Data'!$A$2:$F$368,G337,FALSE)</f>
        <v>14.1090909090909</v>
      </c>
      <c r="J337" s="121">
        <f ca="1">HLOOKUP($H$4,'Met Data'!$H$2:$M$368,G337,FALSE)*L337</f>
        <v>5.5454545454545396</v>
      </c>
      <c r="K337" s="98">
        <f ca="1">HLOOKUP($H$4,'Met Data'!$O$2:$T$368,G337,FALSE)</f>
        <v>1.27231342308323</v>
      </c>
      <c r="L337">
        <f t="shared" ca="1" si="50"/>
        <v>1</v>
      </c>
      <c r="N337" t="b">
        <f t="shared" ca="1" si="55"/>
        <v>0</v>
      </c>
      <c r="O337" t="b">
        <f t="shared" ca="1" si="51"/>
        <v>0</v>
      </c>
      <c r="P337" s="2">
        <f ca="1"/>
        <v>45454</v>
      </c>
      <c r="Q337">
        <f ca="1"/>
        <v>-34.021714598139511</v>
      </c>
      <c r="R337">
        <f ca="1"/>
        <v>1.6215411369791499</v>
      </c>
      <c r="S337">
        <f ca="1"/>
        <v>9.8164966832587223E-7</v>
      </c>
      <c r="T337">
        <f ca="1"/>
        <v>0.13897515039800915</v>
      </c>
      <c r="U337">
        <f ca="1"/>
        <v>0</v>
      </c>
      <c r="V337">
        <f ca="1"/>
        <v>132.06009205670301</v>
      </c>
      <c r="W337">
        <f ca="1"/>
        <v>120.810528659281</v>
      </c>
      <c r="X337">
        <f ca="1"/>
        <v>0</v>
      </c>
      <c r="Y337">
        <f ca="1"/>
        <v>0.99997300064521266</v>
      </c>
      <c r="Z337">
        <f ca="1"/>
        <v>0</v>
      </c>
      <c r="AA337">
        <f ca="1"/>
        <v>0</v>
      </c>
      <c r="AB337">
        <f ca="1"/>
        <v>0.99995904722238904</v>
      </c>
      <c r="AD337" s="2">
        <f t="shared" ca="1" si="52"/>
        <v>45454</v>
      </c>
      <c r="AE337">
        <f t="shared" ca="1" si="53"/>
        <v>0</v>
      </c>
      <c r="AG337" s="65">
        <f t="shared" ca="1" si="57"/>
        <v>-32.400173461160357</v>
      </c>
      <c r="AH337" s="65">
        <f t="shared" ca="1" si="58"/>
        <v>-32.400173461160364</v>
      </c>
      <c r="AI337" s="3">
        <f t="shared" ca="1" si="59"/>
        <v>0</v>
      </c>
    </row>
    <row r="338" spans="7:35" x14ac:dyDescent="0.3">
      <c r="G338" s="3">
        <f t="shared" ca="1" si="54"/>
        <v>120</v>
      </c>
      <c r="H338" s="97">
        <f t="shared" ca="1" si="56"/>
        <v>45410</v>
      </c>
      <c r="I338" s="121">
        <f ca="1">HLOOKUP($H$4,'Met Data'!$A$2:$F$368,G338,FALSE)</f>
        <v>13.8375</v>
      </c>
      <c r="J338" s="121">
        <f ca="1">HLOOKUP($H$4,'Met Data'!$H$2:$M$368,G338,FALSE)*L338</f>
        <v>4.68333333333333</v>
      </c>
      <c r="K338" s="98">
        <f ca="1">HLOOKUP($H$4,'Met Data'!$O$2:$T$368,G338,FALSE)</f>
        <v>1.5077932055652401</v>
      </c>
      <c r="L338">
        <f t="shared" ca="1" si="50"/>
        <v>1</v>
      </c>
      <c r="N338" t="b">
        <f t="shared" ca="1" si="55"/>
        <v>0</v>
      </c>
      <c r="O338" t="b">
        <f t="shared" ca="1" si="51"/>
        <v>0</v>
      </c>
      <c r="P338" s="2">
        <f ca="1"/>
        <v>45455</v>
      </c>
      <c r="Q338">
        <f ca="1"/>
        <v>-35.31522126318535</v>
      </c>
      <c r="R338">
        <f ca="1"/>
        <v>1.4159064535794501</v>
      </c>
      <c r="S338">
        <f ca="1"/>
        <v>7.4647739703793896E-7</v>
      </c>
      <c r="T338">
        <f ca="1"/>
        <v>0.12239904205622948</v>
      </c>
      <c r="U338">
        <f ca="1"/>
        <v>0</v>
      </c>
      <c r="V338">
        <f ca="1"/>
        <v>133.47599851028301</v>
      </c>
      <c r="W338">
        <f ca="1"/>
        <v>122.105820859407</v>
      </c>
      <c r="X338">
        <f ca="1"/>
        <v>0</v>
      </c>
      <c r="Y338">
        <f ca="1"/>
        <v>1</v>
      </c>
      <c r="Z338">
        <f ca="1"/>
        <v>4.560420527186551</v>
      </c>
      <c r="AA338">
        <f ca="1"/>
        <v>0</v>
      </c>
      <c r="AB338">
        <f ca="1"/>
        <v>0.99996336282007703</v>
      </c>
      <c r="AD338" s="2">
        <f t="shared" ca="1" si="52"/>
        <v>45455</v>
      </c>
      <c r="AE338">
        <f t="shared" ca="1" si="53"/>
        <v>0</v>
      </c>
      <c r="AG338" s="65">
        <f t="shared" ca="1" si="57"/>
        <v>-33.899314809605883</v>
      </c>
      <c r="AH338" s="65">
        <f t="shared" ca="1" si="58"/>
        <v>-33.899314809605897</v>
      </c>
      <c r="AI338" s="3">
        <f t="shared" ca="1" si="59"/>
        <v>0</v>
      </c>
    </row>
    <row r="339" spans="7:35" x14ac:dyDescent="0.3">
      <c r="G339" s="3">
        <f t="shared" ca="1" si="54"/>
        <v>121</v>
      </c>
      <c r="H339" s="97">
        <f t="shared" ca="1" si="56"/>
        <v>45411</v>
      </c>
      <c r="I339" s="121">
        <f ca="1">HLOOKUP($H$4,'Met Data'!$A$2:$F$368,G339,FALSE)</f>
        <v>13.6458333333333</v>
      </c>
      <c r="J339" s="121">
        <f ca="1">HLOOKUP($H$4,'Met Data'!$H$2:$M$368,G339,FALSE)*L339</f>
        <v>5.3999999999999897</v>
      </c>
      <c r="K339" s="98">
        <f ca="1">HLOOKUP($H$4,'Met Data'!$O$2:$T$368,G339,FALSE)</f>
        <v>1.60300410285803</v>
      </c>
      <c r="L339">
        <f t="shared" ca="1" si="50"/>
        <v>1</v>
      </c>
      <c r="N339" t="b">
        <f t="shared" ca="1" si="55"/>
        <v>0</v>
      </c>
      <c r="O339" t="b">
        <f t="shared" ca="1" si="51"/>
        <v>0</v>
      </c>
      <c r="P339" s="2">
        <f ca="1"/>
        <v>45456</v>
      </c>
      <c r="Q339">
        <f ca="1"/>
        <v>-36.545121492172427</v>
      </c>
      <c r="R339">
        <f ca="1"/>
        <v>1.3481086167198599</v>
      </c>
      <c r="S339">
        <f ca="1"/>
        <v>6.3021048894761869E-7</v>
      </c>
      <c r="T339">
        <f ca="1"/>
        <v>0.11820775752228686</v>
      </c>
      <c r="U339">
        <f ca="1"/>
        <v>0</v>
      </c>
      <c r="V339">
        <f ca="1"/>
        <v>134.824107127003</v>
      </c>
      <c r="W339">
        <f ca="1"/>
        <v>123.339090593962</v>
      </c>
      <c r="X339">
        <f ca="1"/>
        <v>0</v>
      </c>
      <c r="Y339">
        <f ca="1"/>
        <v>1</v>
      </c>
      <c r="Z339">
        <f ca="1"/>
        <v>0.10501842223929714</v>
      </c>
      <c r="AA339">
        <f ca="1"/>
        <v>0</v>
      </c>
      <c r="AB339">
        <f ca="1"/>
        <v>0.99996709876039702</v>
      </c>
      <c r="AD339" s="2">
        <f t="shared" ca="1" si="52"/>
        <v>45456</v>
      </c>
      <c r="AE339">
        <f t="shared" ca="1" si="53"/>
        <v>0</v>
      </c>
      <c r="AG339" s="65">
        <f t="shared" ca="1" si="57"/>
        <v>-35.197012875452579</v>
      </c>
      <c r="AH339" s="65">
        <f t="shared" ca="1" si="58"/>
        <v>-35.197012875452565</v>
      </c>
      <c r="AI339" s="3">
        <f t="shared" ca="1" si="59"/>
        <v>0</v>
      </c>
    </row>
    <row r="340" spans="7:35" x14ac:dyDescent="0.3">
      <c r="G340" s="3">
        <f t="shared" ca="1" si="54"/>
        <v>122</v>
      </c>
      <c r="H340" s="97">
        <f t="shared" ca="1" si="56"/>
        <v>45412</v>
      </c>
      <c r="I340" s="121">
        <f ca="1">HLOOKUP($H$4,'Met Data'!$A$2:$F$368,G340,FALSE)</f>
        <v>11.883333333333301</v>
      </c>
      <c r="J340" s="121">
        <f ca="1">HLOOKUP($H$4,'Met Data'!$H$2:$M$368,G340,FALSE)*L340</f>
        <v>0.25</v>
      </c>
      <c r="K340" s="98">
        <f ca="1">HLOOKUP($H$4,'Met Data'!$O$2:$T$368,G340,FALSE)</f>
        <v>1.67837953393642</v>
      </c>
      <c r="L340">
        <f t="shared" ca="1" si="50"/>
        <v>1</v>
      </c>
      <c r="N340" t="b">
        <f t="shared" ca="1" si="55"/>
        <v>0</v>
      </c>
      <c r="O340" t="b">
        <f t="shared" ca="1" si="51"/>
        <v>0</v>
      </c>
      <c r="P340" s="2">
        <f ca="1"/>
        <v>45457</v>
      </c>
      <c r="Q340">
        <f ca="1"/>
        <v>-37.624053994297128</v>
      </c>
      <c r="R340">
        <f ca="1"/>
        <v>1.18480457961795</v>
      </c>
      <c r="S340">
        <f ca="1"/>
        <v>4.9325704284386295E-7</v>
      </c>
      <c r="T340">
        <f ca="1"/>
        <v>0.10587158423621684</v>
      </c>
      <c r="U340">
        <f ca="1"/>
        <v>0</v>
      </c>
      <c r="V340">
        <f ca="1"/>
        <v>136.00891170662101</v>
      </c>
      <c r="W340">
        <f ca="1"/>
        <v>124.422967376057</v>
      </c>
      <c r="X340">
        <f ca="1"/>
        <v>0</v>
      </c>
      <c r="Y340">
        <f ca="1"/>
        <v>1</v>
      </c>
      <c r="Z340">
        <f ca="1"/>
        <v>1.2863670892341759</v>
      </c>
      <c r="AA340">
        <f ca="1"/>
        <v>0</v>
      </c>
      <c r="AB340">
        <f ca="1"/>
        <v>0.99997010545001797</v>
      </c>
      <c r="AD340" s="2">
        <f t="shared" ca="1" si="52"/>
        <v>45457</v>
      </c>
      <c r="AE340">
        <f t="shared" ca="1" si="53"/>
        <v>0</v>
      </c>
      <c r="AG340" s="65">
        <f t="shared" ca="1" si="57"/>
        <v>-36.439249414679168</v>
      </c>
      <c r="AH340" s="65">
        <f t="shared" ca="1" si="58"/>
        <v>-36.439249414679175</v>
      </c>
      <c r="AI340" s="3">
        <f t="shared" ca="1" si="59"/>
        <v>0</v>
      </c>
    </row>
    <row r="341" spans="7:35" x14ac:dyDescent="0.3">
      <c r="G341" s="3">
        <f t="shared" ca="1" si="54"/>
        <v>123</v>
      </c>
      <c r="H341" s="97">
        <f t="shared" ca="1" si="56"/>
        <v>45413</v>
      </c>
      <c r="I341" s="121">
        <f ca="1">HLOOKUP($H$4,'Met Data'!$A$2:$F$368,G341,FALSE)</f>
        <v>11.8541666666666</v>
      </c>
      <c r="J341" s="121">
        <f ca="1">HLOOKUP($H$4,'Met Data'!$H$2:$M$368,G341,FALSE)*L341</f>
        <v>0.133333333333333</v>
      </c>
      <c r="K341" s="98">
        <f ca="1">HLOOKUP($H$4,'Met Data'!$O$2:$T$368,G341,FALSE)</f>
        <v>1.44561782365903</v>
      </c>
      <c r="L341">
        <f t="shared" ca="1" si="50"/>
        <v>1</v>
      </c>
      <c r="N341" t="b">
        <f t="shared" ca="1" si="55"/>
        <v>0</v>
      </c>
      <c r="O341" t="b">
        <f t="shared" ca="1" si="51"/>
        <v>0</v>
      </c>
      <c r="P341" s="2">
        <f ca="1"/>
        <v>45458</v>
      </c>
      <c r="Q341">
        <f ca="1"/>
        <v>-38.815828972545177</v>
      </c>
      <c r="R341">
        <f ca="1"/>
        <v>1.30988685923185</v>
      </c>
      <c r="S341">
        <f ca="1"/>
        <v>4.9319091863022881E-7</v>
      </c>
      <c r="T341">
        <f ca="1"/>
        <v>0.11811138779288048</v>
      </c>
      <c r="U341">
        <f ca="1"/>
        <v>0</v>
      </c>
      <c r="V341">
        <f ca="1"/>
        <v>137.318798565853</v>
      </c>
      <c r="W341">
        <f ca="1"/>
        <v>125.621271280613</v>
      </c>
      <c r="X341">
        <f ca="1"/>
        <v>0</v>
      </c>
      <c r="Y341">
        <f ca="1"/>
        <v>1</v>
      </c>
      <c r="Z341">
        <f ca="1"/>
        <v>1.8369961215502144</v>
      </c>
      <c r="AA341">
        <f ca="1"/>
        <v>0</v>
      </c>
      <c r="AB341">
        <f ca="1"/>
        <v>0.99997315147953503</v>
      </c>
      <c r="AD341" s="2">
        <f t="shared" ca="1" si="52"/>
        <v>45458</v>
      </c>
      <c r="AE341">
        <f t="shared" ca="1" si="53"/>
        <v>0</v>
      </c>
      <c r="AG341" s="65">
        <f t="shared" ca="1" si="57"/>
        <v>-37.505942113313331</v>
      </c>
      <c r="AH341" s="65">
        <f t="shared" ca="1" si="58"/>
        <v>-37.505942113313324</v>
      </c>
      <c r="AI341" s="3">
        <f t="shared" ca="1" si="59"/>
        <v>0</v>
      </c>
    </row>
    <row r="342" spans="7:35" x14ac:dyDescent="0.3">
      <c r="G342" s="3">
        <f t="shared" ca="1" si="54"/>
        <v>124</v>
      </c>
      <c r="H342" s="97">
        <f t="shared" ca="1" si="56"/>
        <v>45414</v>
      </c>
      <c r="I342" s="121">
        <f ca="1">HLOOKUP($H$4,'Met Data'!$A$2:$F$368,G342,FALSE)</f>
        <v>13.0875</v>
      </c>
      <c r="J342" s="121">
        <f ca="1">HLOOKUP($H$4,'Met Data'!$H$2:$M$368,G342,FALSE)*L342</f>
        <v>2.1333333333333302</v>
      </c>
      <c r="K342" s="98">
        <f ca="1">HLOOKUP($H$4,'Met Data'!$O$2:$T$368,G342,FALSE)</f>
        <v>1.4319782957140901</v>
      </c>
      <c r="L342">
        <f t="shared" ca="1" si="50"/>
        <v>1</v>
      </c>
      <c r="N342" t="b">
        <f t="shared" ca="1" si="55"/>
        <v>0</v>
      </c>
      <c r="O342" t="b">
        <f t="shared" ca="1" si="51"/>
        <v>0</v>
      </c>
      <c r="P342" s="2">
        <f ca="1"/>
        <v>45459</v>
      </c>
      <c r="Q342">
        <f ca="1"/>
        <v>-39.999469604891402</v>
      </c>
      <c r="R342">
        <f ca="1"/>
        <v>1.3029606746844999</v>
      </c>
      <c r="S342">
        <f ca="1"/>
        <v>4.3772571401270947E-7</v>
      </c>
      <c r="T342">
        <f ca="1"/>
        <v>0.11931960461256283</v>
      </c>
      <c r="U342">
        <f ca="1"/>
        <v>0</v>
      </c>
      <c r="V342">
        <f ca="1"/>
        <v>138.62175924053699</v>
      </c>
      <c r="W342">
        <f ca="1"/>
        <v>126.81323900893599</v>
      </c>
      <c r="X342">
        <f ca="1"/>
        <v>0</v>
      </c>
      <c r="Y342">
        <f ca="1"/>
        <v>1</v>
      </c>
      <c r="Z342">
        <f ca="1"/>
        <v>1.6172154967759411</v>
      </c>
      <c r="AA342">
        <f ca="1"/>
        <v>0</v>
      </c>
      <c r="AB342">
        <f ca="1"/>
        <v>0.99997591379390105</v>
      </c>
      <c r="AD342" s="2">
        <f t="shared" ca="1" si="52"/>
        <v>45459</v>
      </c>
      <c r="AE342">
        <f t="shared" ca="1" si="53"/>
        <v>0</v>
      </c>
      <c r="AG342" s="65">
        <f t="shared" ca="1" si="57"/>
        <v>-38.696508930206896</v>
      </c>
      <c r="AH342" s="65">
        <f t="shared" ca="1" si="58"/>
        <v>-38.696508930206903</v>
      </c>
      <c r="AI342" s="3">
        <f t="shared" ca="1" si="59"/>
        <v>0</v>
      </c>
    </row>
    <row r="343" spans="7:35" x14ac:dyDescent="0.3">
      <c r="G343" s="3">
        <f t="shared" ca="1" si="54"/>
        <v>125</v>
      </c>
      <c r="H343" s="97">
        <f t="shared" ca="1" si="56"/>
        <v>45415</v>
      </c>
      <c r="I343" s="121">
        <f ca="1">HLOOKUP($H$4,'Met Data'!$A$2:$F$368,G343,FALSE)</f>
        <v>13.137499999999999</v>
      </c>
      <c r="J343" s="121">
        <f ca="1">HLOOKUP($H$4,'Met Data'!$H$2:$M$368,G343,FALSE)*L343</f>
        <v>3</v>
      </c>
      <c r="K343" s="98">
        <f ca="1">HLOOKUP($H$4,'Met Data'!$O$2:$T$368,G343,FALSE)</f>
        <v>1.16413167388704</v>
      </c>
      <c r="L343">
        <f t="shared" ca="1" si="50"/>
        <v>1</v>
      </c>
      <c r="N343" t="b">
        <f t="shared" ca="1" si="55"/>
        <v>0</v>
      </c>
      <c r="O343" t="b">
        <f t="shared" ca="1" si="51"/>
        <v>0</v>
      </c>
      <c r="P343" s="2">
        <f ca="1"/>
        <v>45460</v>
      </c>
      <c r="Q343">
        <f ca="1"/>
        <v>-41.172165598375898</v>
      </c>
      <c r="R343">
        <f ca="1"/>
        <v>1.2930369334556799</v>
      </c>
      <c r="S343">
        <f ca="1"/>
        <v>3.8727956389462351E-7</v>
      </c>
      <c r="T343">
        <f ca="1"/>
        <v>0.12034055269163964</v>
      </c>
      <c r="U343">
        <f ca="1"/>
        <v>0</v>
      </c>
      <c r="V343">
        <f ca="1"/>
        <v>139.91479617399301</v>
      </c>
      <c r="W343">
        <f ca="1"/>
        <v>127.996128351764</v>
      </c>
      <c r="X343">
        <f ca="1"/>
        <v>0</v>
      </c>
      <c r="Y343">
        <f ca="1"/>
        <v>1</v>
      </c>
      <c r="Z343">
        <f ca="1"/>
        <v>4.7501049560178359</v>
      </c>
      <c r="AA343">
        <f ca="1"/>
        <v>0</v>
      </c>
      <c r="AB343">
        <f ca="1"/>
        <v>0.99997841197180104</v>
      </c>
      <c r="AD343" s="2">
        <f t="shared" ca="1" si="52"/>
        <v>45460</v>
      </c>
      <c r="AE343">
        <f t="shared" ca="1" si="53"/>
        <v>0</v>
      </c>
      <c r="AG343" s="65">
        <f t="shared" ca="1" si="57"/>
        <v>-39.879128664920202</v>
      </c>
      <c r="AH343" s="65">
        <f t="shared" ca="1" si="58"/>
        <v>-39.879128664920216</v>
      </c>
      <c r="AI343" s="3">
        <f t="shared" ca="1" si="59"/>
        <v>0</v>
      </c>
    </row>
    <row r="344" spans="7:35" x14ac:dyDescent="0.3">
      <c r="G344" s="3">
        <f t="shared" ca="1" si="54"/>
        <v>126</v>
      </c>
      <c r="H344" s="97">
        <f t="shared" ca="1" si="56"/>
        <v>45416</v>
      </c>
      <c r="I344" s="121">
        <f ca="1">HLOOKUP($H$4,'Met Data'!$A$2:$F$368,G344,FALSE)</f>
        <v>13.591666666666599</v>
      </c>
      <c r="J344" s="121">
        <f ca="1">HLOOKUP($H$4,'Met Data'!$H$2:$M$368,G344,FALSE)*L344</f>
        <v>4.8499999999999996</v>
      </c>
      <c r="K344" s="98">
        <f ca="1">HLOOKUP($H$4,'Met Data'!$O$2:$T$368,G344,FALSE)</f>
        <v>1.3049016144750001</v>
      </c>
      <c r="L344">
        <f t="shared" ca="1" si="50"/>
        <v>1</v>
      </c>
      <c r="N344" t="b">
        <f t="shared" ca="1" si="55"/>
        <v>0</v>
      </c>
      <c r="O344" t="b">
        <f t="shared" ca="1" si="51"/>
        <v>0</v>
      </c>
      <c r="P344" s="2">
        <f ca="1"/>
        <v>45461</v>
      </c>
      <c r="Q344">
        <f ca="1"/>
        <v>-42.362058336091962</v>
      </c>
      <c r="R344">
        <f ca="1"/>
        <v>1.31437279516771</v>
      </c>
      <c r="S344">
        <f ca="1"/>
        <v>3.5084650482400728E-7</v>
      </c>
      <c r="T344">
        <f ca="1"/>
        <v>0.12447970660513885</v>
      </c>
      <c r="U344">
        <f ca="1"/>
        <v>0</v>
      </c>
      <c r="V344">
        <f ca="1"/>
        <v>141.22916896916001</v>
      </c>
      <c r="W344">
        <f ca="1"/>
        <v>129.19853605697301</v>
      </c>
      <c r="X344">
        <f ca="1"/>
        <v>0</v>
      </c>
      <c r="Y344">
        <f ca="1"/>
        <v>1</v>
      </c>
      <c r="Z344">
        <f ca="1"/>
        <v>11.163016101227555</v>
      </c>
      <c r="AA344">
        <f ca="1"/>
        <v>0</v>
      </c>
      <c r="AB344">
        <f ca="1"/>
        <v>0.99998072279407302</v>
      </c>
      <c r="AD344" s="2">
        <f t="shared" ca="1" si="52"/>
        <v>45461</v>
      </c>
      <c r="AE344">
        <f t="shared" ca="1" si="53"/>
        <v>0</v>
      </c>
      <c r="AG344" s="65">
        <f t="shared" ca="1" si="57"/>
        <v>-41.047685540924256</v>
      </c>
      <c r="AH344" s="65">
        <f t="shared" ca="1" si="58"/>
        <v>-41.047685540924249</v>
      </c>
      <c r="AI344" s="3">
        <f t="shared" ca="1" si="59"/>
        <v>0</v>
      </c>
    </row>
    <row r="345" spans="7:35" x14ac:dyDescent="0.3">
      <c r="G345" s="3">
        <f t="shared" ca="1" si="54"/>
        <v>127</v>
      </c>
      <c r="H345" s="97">
        <f t="shared" ca="1" si="56"/>
        <v>45417</v>
      </c>
      <c r="I345" s="121">
        <f ca="1">HLOOKUP($H$4,'Met Data'!$A$2:$F$368,G345,FALSE)</f>
        <v>13.2708333333333</v>
      </c>
      <c r="J345" s="121">
        <f ca="1">HLOOKUP($H$4,'Met Data'!$H$2:$M$368,G345,FALSE)*L345</f>
        <v>2.36666666666666</v>
      </c>
      <c r="K345" s="98">
        <f ca="1">HLOOKUP($H$4,'Met Data'!$O$2:$T$368,G345,FALSE)</f>
        <v>1.29751787384439</v>
      </c>
      <c r="L345">
        <f t="shared" ca="1" si="50"/>
        <v>1</v>
      </c>
      <c r="N345" t="b">
        <f t="shared" ca="1" si="55"/>
        <v>0</v>
      </c>
      <c r="O345" t="b">
        <f t="shared" ca="1" si="51"/>
        <v>0</v>
      </c>
      <c r="P345" s="2">
        <f ca="1"/>
        <v>45462</v>
      </c>
      <c r="Q345">
        <f ca="1"/>
        <v>-43.523552524410292</v>
      </c>
      <c r="R345">
        <f ca="1"/>
        <v>1.2853955140261299</v>
      </c>
      <c r="S345">
        <f ca="1"/>
        <v>3.045475242419606E-7</v>
      </c>
      <c r="T345">
        <f ca="1"/>
        <v>0.12390102116029345</v>
      </c>
      <c r="U345">
        <f ca="1"/>
        <v>0</v>
      </c>
      <c r="V345">
        <f ca="1"/>
        <v>142.514564483187</v>
      </c>
      <c r="W345">
        <f ca="1"/>
        <v>130.3744349161</v>
      </c>
      <c r="X345">
        <f ca="1"/>
        <v>0</v>
      </c>
      <c r="Y345">
        <f ca="1"/>
        <v>1</v>
      </c>
      <c r="Z345">
        <f ca="1"/>
        <v>8.1888365082085954</v>
      </c>
      <c r="AA345">
        <f ca="1"/>
        <v>0</v>
      </c>
      <c r="AB345">
        <f ca="1"/>
        <v>0.99998277740515995</v>
      </c>
      <c r="AD345" s="2">
        <f t="shared" ca="1" si="52"/>
        <v>45462</v>
      </c>
      <c r="AE345">
        <f t="shared" ca="1" si="53"/>
        <v>0</v>
      </c>
      <c r="AG345" s="65">
        <f t="shared" ca="1" si="57"/>
        <v>-42.238157010384143</v>
      </c>
      <c r="AH345" s="65">
        <f t="shared" ca="1" si="58"/>
        <v>-42.238157010384164</v>
      </c>
      <c r="AI345" s="3">
        <f t="shared" ca="1" si="59"/>
        <v>0</v>
      </c>
    </row>
    <row r="346" spans="7:35" x14ac:dyDescent="0.3">
      <c r="G346" s="3">
        <f t="shared" ca="1" si="54"/>
        <v>128</v>
      </c>
      <c r="H346" s="97">
        <f t="shared" ca="1" si="56"/>
        <v>45418</v>
      </c>
      <c r="I346" s="121">
        <f ca="1">HLOOKUP($H$4,'Met Data'!$A$2:$F$368,G346,FALSE)</f>
        <v>12.6791666666666</v>
      </c>
      <c r="J346" s="121">
        <f ca="1">HLOOKUP($H$4,'Met Data'!$H$2:$M$368,G346,FALSE)*L346</f>
        <v>5.4166666666666599</v>
      </c>
      <c r="K346" s="98">
        <f ca="1">HLOOKUP($H$4,'Met Data'!$O$2:$T$368,G346,FALSE)</f>
        <v>1.3071916611718599</v>
      </c>
      <c r="L346">
        <f t="shared" ca="1" si="50"/>
        <v>1</v>
      </c>
      <c r="N346" t="b">
        <f t="shared" ca="1" si="55"/>
        <v>0</v>
      </c>
      <c r="O346" t="b">
        <f t="shared" ca="1" si="51"/>
        <v>0</v>
      </c>
      <c r="P346" s="2">
        <f ca="1"/>
        <v>45463</v>
      </c>
      <c r="Q346">
        <f ca="1"/>
        <v>-44.599648465101211</v>
      </c>
      <c r="R346">
        <f ca="1"/>
        <v>1.1931333938245501</v>
      </c>
      <c r="S346">
        <f ca="1"/>
        <v>2.5106763260435967E-7</v>
      </c>
      <c r="T346">
        <f ca="1"/>
        <v>0.11703720206599841</v>
      </c>
      <c r="U346">
        <f ca="1"/>
        <v>0</v>
      </c>
      <c r="V346">
        <f ca="1"/>
        <v>143.70769787701099</v>
      </c>
      <c r="W346">
        <f ca="1"/>
        <v>131.46593102082099</v>
      </c>
      <c r="X346">
        <f ca="1"/>
        <v>0</v>
      </c>
      <c r="Y346">
        <f ca="1"/>
        <v>1</v>
      </c>
      <c r="Z346">
        <f ca="1"/>
        <v>1.0033485479809201</v>
      </c>
      <c r="AA346">
        <f ca="1"/>
        <v>0</v>
      </c>
      <c r="AB346">
        <f ca="1"/>
        <v>0.99998451697219604</v>
      </c>
      <c r="AD346" s="2">
        <f t="shared" ca="1" si="52"/>
        <v>45463</v>
      </c>
      <c r="AE346">
        <f t="shared" ca="1" si="53"/>
        <v>0</v>
      </c>
      <c r="AG346" s="65">
        <f t="shared" ca="1" si="57"/>
        <v>-43.406515071276658</v>
      </c>
      <c r="AH346" s="65">
        <f t="shared" ca="1" si="58"/>
        <v>-43.406515071276658</v>
      </c>
      <c r="AI346" s="3">
        <f t="shared" ca="1" si="59"/>
        <v>0</v>
      </c>
    </row>
    <row r="347" spans="7:35" x14ac:dyDescent="0.3">
      <c r="G347" s="3">
        <f t="shared" ca="1" si="54"/>
        <v>129</v>
      </c>
      <c r="H347" s="97">
        <f t="shared" ca="1" si="56"/>
        <v>45419</v>
      </c>
      <c r="I347" s="121">
        <f ca="1">HLOOKUP($H$4,'Met Data'!$A$2:$F$368,G347,FALSE)</f>
        <v>12.799999999999899</v>
      </c>
      <c r="J347" s="121">
        <f ca="1">HLOOKUP($H$4,'Met Data'!$H$2:$M$368,G347,FALSE)*L347</f>
        <v>2.1666666666666599</v>
      </c>
      <c r="K347" s="98">
        <f ca="1">HLOOKUP($H$4,'Met Data'!$O$2:$T$368,G347,FALSE)</f>
        <v>1.27112414081248</v>
      </c>
      <c r="L347">
        <f t="shared" ca="1" si="50"/>
        <v>1</v>
      </c>
      <c r="N347" t="b">
        <f t="shared" ca="1" si="55"/>
        <v>0</v>
      </c>
      <c r="O347" t="b">
        <f t="shared" ca="1" si="51"/>
        <v>0</v>
      </c>
      <c r="P347" s="2">
        <f ca="1"/>
        <v>45464</v>
      </c>
      <c r="Q347">
        <f ca="1"/>
        <v>-45.5439115229793</v>
      </c>
      <c r="R347">
        <f ca="1"/>
        <v>1.0495275486995901</v>
      </c>
      <c r="S347">
        <f ca="1"/>
        <v>1.9752848844248413E-7</v>
      </c>
      <c r="T347">
        <f ca="1"/>
        <v>0.10526429329301469</v>
      </c>
      <c r="U347">
        <f ca="1"/>
        <v>0</v>
      </c>
      <c r="V347">
        <f ca="1"/>
        <v>144.757225425711</v>
      </c>
      <c r="W347">
        <f ca="1"/>
        <v>132.426054370928</v>
      </c>
      <c r="X347">
        <f ca="1"/>
        <v>0</v>
      </c>
      <c r="Y347">
        <f ca="1"/>
        <v>1</v>
      </c>
      <c r="Z347">
        <f ca="1"/>
        <v>1.0645879267232345</v>
      </c>
      <c r="AA347">
        <f ca="1"/>
        <v>0</v>
      </c>
      <c r="AB347">
        <f ca="1"/>
        <v>0.99998592348571802</v>
      </c>
      <c r="AD347" s="2">
        <f t="shared" ca="1" si="52"/>
        <v>45464</v>
      </c>
      <c r="AE347">
        <f t="shared" ca="1" si="53"/>
        <v>0</v>
      </c>
      <c r="AG347" s="65">
        <f t="shared" ca="1" si="57"/>
        <v>-44.494383974279714</v>
      </c>
      <c r="AH347" s="65">
        <f t="shared" ca="1" si="58"/>
        <v>-44.494383974279714</v>
      </c>
      <c r="AI347" s="3">
        <f t="shared" ca="1" si="59"/>
        <v>0</v>
      </c>
    </row>
    <row r="348" spans="7:35" x14ac:dyDescent="0.3">
      <c r="G348" s="3">
        <f t="shared" ca="1" si="54"/>
        <v>130</v>
      </c>
      <c r="H348" s="97">
        <f t="shared" ca="1" si="56"/>
        <v>45420</v>
      </c>
      <c r="I348" s="121">
        <f ca="1">HLOOKUP($H$4,'Met Data'!$A$2:$F$368,G348,FALSE)</f>
        <v>14.1</v>
      </c>
      <c r="J348" s="121">
        <f ca="1">HLOOKUP($H$4,'Met Data'!$H$2:$M$368,G348,FALSE)*L348</f>
        <v>1.2333333333333301</v>
      </c>
      <c r="K348" s="98">
        <f ca="1">HLOOKUP($H$4,'Met Data'!$O$2:$T$368,G348,FALSE)</f>
        <v>1.3593529897032299</v>
      </c>
      <c r="L348">
        <f t="shared" ca="1" si="50"/>
        <v>1</v>
      </c>
      <c r="N348" t="b">
        <f t="shared" ca="1" si="55"/>
        <v>0</v>
      </c>
      <c r="O348" t="b">
        <f t="shared" ca="1" si="51"/>
        <v>0</v>
      </c>
      <c r="P348" s="2">
        <f ca="1"/>
        <v>45465</v>
      </c>
      <c r="Q348">
        <f ca="1"/>
        <v>-46.476592623915792</v>
      </c>
      <c r="R348">
        <f ca="1"/>
        <v>1.0384834605799</v>
      </c>
      <c r="S348">
        <f ca="1"/>
        <v>1.7724225627911734E-7</v>
      </c>
      <c r="T348">
        <f ca="1"/>
        <v>0.10580218240116744</v>
      </c>
      <c r="U348">
        <f ca="1"/>
        <v>0</v>
      </c>
      <c r="V348">
        <f ca="1"/>
        <v>145.79570888629101</v>
      </c>
      <c r="W348">
        <f ca="1"/>
        <v>133.37607442560699</v>
      </c>
      <c r="X348">
        <f ca="1"/>
        <v>0</v>
      </c>
      <c r="Y348">
        <f ca="1"/>
        <v>1</v>
      </c>
      <c r="Z348">
        <f ca="1"/>
        <v>2.1890456670604266</v>
      </c>
      <c r="AA348">
        <f ca="1"/>
        <v>0</v>
      </c>
      <c r="AB348">
        <f ca="1"/>
        <v>0.99998720901998095</v>
      </c>
      <c r="AD348" s="2">
        <f t="shared" ca="1" si="52"/>
        <v>45465</v>
      </c>
      <c r="AE348">
        <f t="shared" ca="1" si="53"/>
        <v>0</v>
      </c>
      <c r="AG348" s="65">
        <f t="shared" ca="1" si="57"/>
        <v>-45.438109163335874</v>
      </c>
      <c r="AH348" s="65">
        <f t="shared" ca="1" si="58"/>
        <v>-45.438109163335895</v>
      </c>
      <c r="AI348" s="3">
        <f t="shared" ca="1" si="59"/>
        <v>0</v>
      </c>
    </row>
    <row r="349" spans="7:35" x14ac:dyDescent="0.3">
      <c r="G349" s="3">
        <f t="shared" ca="1" si="54"/>
        <v>131</v>
      </c>
      <c r="H349" s="97">
        <f t="shared" ca="1" si="56"/>
        <v>45421</v>
      </c>
      <c r="I349" s="121">
        <f ca="1">HLOOKUP($H$4,'Met Data'!$A$2:$F$368,G349,FALSE)</f>
        <v>13.7416666666666</v>
      </c>
      <c r="J349" s="121">
        <f ca="1">HLOOKUP($H$4,'Met Data'!$H$2:$M$368,G349,FALSE)*L349</f>
        <v>1.56666666666666</v>
      </c>
      <c r="K349" s="98">
        <f ca="1">HLOOKUP($H$4,'Met Data'!$O$2:$T$368,G349,FALSE)</f>
        <v>1.1980493949464299</v>
      </c>
      <c r="L349">
        <f t="shared" ca="1" si="50"/>
        <v>1</v>
      </c>
      <c r="N349" t="b">
        <f t="shared" ca="1" si="55"/>
        <v>0</v>
      </c>
      <c r="O349" t="b">
        <f t="shared" ca="1" si="51"/>
        <v>0</v>
      </c>
      <c r="P349" s="2">
        <f ca="1"/>
        <v>45466</v>
      </c>
      <c r="Q349">
        <f ca="1"/>
        <v>-47.527069135334898</v>
      </c>
      <c r="R349">
        <f ca="1"/>
        <v>1.1713142402804799</v>
      </c>
      <c r="S349">
        <f ca="1"/>
        <v>1.8146093043771933E-7</v>
      </c>
      <c r="T349">
        <f ca="1"/>
        <v>0.12083754740044474</v>
      </c>
      <c r="U349">
        <f ca="1"/>
        <v>0</v>
      </c>
      <c r="V349">
        <f ca="1"/>
        <v>146.96702312657101</v>
      </c>
      <c r="W349">
        <f ca="1"/>
        <v>134.447610045419</v>
      </c>
      <c r="X349">
        <f ca="1"/>
        <v>0</v>
      </c>
      <c r="Y349">
        <f ca="1"/>
        <v>1</v>
      </c>
      <c r="Z349">
        <f ca="1"/>
        <v>2.8579921700218591</v>
      </c>
      <c r="AA349">
        <f ca="1"/>
        <v>0</v>
      </c>
      <c r="AB349">
        <f ca="1"/>
        <v>0.99998854085195199</v>
      </c>
      <c r="AD349" s="2">
        <f t="shared" ca="1" si="52"/>
        <v>45466</v>
      </c>
      <c r="AE349">
        <f t="shared" ca="1" si="53"/>
        <v>0</v>
      </c>
      <c r="AG349" s="65">
        <f t="shared" ca="1" si="57"/>
        <v>-46.355754895054417</v>
      </c>
      <c r="AH349" s="65">
        <f t="shared" ca="1" si="58"/>
        <v>-46.355754895054417</v>
      </c>
      <c r="AI349" s="3">
        <f t="shared" ca="1" si="59"/>
        <v>0</v>
      </c>
    </row>
    <row r="350" spans="7:35" x14ac:dyDescent="0.3">
      <c r="G350" s="3">
        <f t="shared" ca="1" si="54"/>
        <v>132</v>
      </c>
      <c r="H350" s="97">
        <f t="shared" ca="1" si="56"/>
        <v>45422</v>
      </c>
      <c r="I350" s="121">
        <f ca="1">HLOOKUP($H$4,'Met Data'!$A$2:$F$368,G350,FALSE)</f>
        <v>13.1</v>
      </c>
      <c r="J350" s="121">
        <f ca="1">HLOOKUP($H$4,'Met Data'!$H$2:$M$368,G350,FALSE)*L350</f>
        <v>3.7166666666666601</v>
      </c>
      <c r="K350" s="98">
        <f ca="1">HLOOKUP($H$4,'Met Data'!$O$2:$T$368,G350,FALSE)</f>
        <v>1.0818629782871001</v>
      </c>
      <c r="L350">
        <f t="shared" ca="1" si="50"/>
        <v>1</v>
      </c>
      <c r="N350" t="b">
        <f t="shared" ca="1" si="55"/>
        <v>0</v>
      </c>
      <c r="O350" t="b">
        <f t="shared" ca="1" si="51"/>
        <v>0</v>
      </c>
      <c r="P350" s="2">
        <f ca="1"/>
        <v>45467</v>
      </c>
      <c r="Q350">
        <f ca="1"/>
        <v>-48.471340292722942</v>
      </c>
      <c r="R350">
        <f ca="1"/>
        <v>1.0553980044331901</v>
      </c>
      <c r="S350">
        <f ca="1"/>
        <v>1.4586507832198791E-7</v>
      </c>
      <c r="T350">
        <f ca="1"/>
        <v>0.11112670118005748</v>
      </c>
      <c r="U350">
        <f ca="1"/>
        <v>0</v>
      </c>
      <c r="V350">
        <f ca="1"/>
        <v>148.02242113100399</v>
      </c>
      <c r="W350">
        <f ca="1"/>
        <v>135.4131037754</v>
      </c>
      <c r="X350">
        <f ca="1"/>
        <v>0</v>
      </c>
      <c r="Y350">
        <f ca="1"/>
        <v>1</v>
      </c>
      <c r="Z350">
        <f ca="1"/>
        <v>2.1304249143843776</v>
      </c>
      <c r="AA350">
        <f ca="1"/>
        <v>0</v>
      </c>
      <c r="AB350">
        <f ca="1"/>
        <v>0.99998964097298804</v>
      </c>
      <c r="AD350" s="2">
        <f t="shared" ca="1" si="52"/>
        <v>45467</v>
      </c>
      <c r="AE350">
        <f t="shared" ca="1" si="53"/>
        <v>0</v>
      </c>
      <c r="AG350" s="65">
        <f t="shared" ca="1" si="57"/>
        <v>-47.415942288289763</v>
      </c>
      <c r="AH350" s="65">
        <f t="shared" ca="1" si="58"/>
        <v>-47.415942288289756</v>
      </c>
      <c r="AI350" s="3">
        <f t="shared" ca="1" si="59"/>
        <v>0</v>
      </c>
    </row>
    <row r="351" spans="7:35" x14ac:dyDescent="0.3">
      <c r="G351" s="3">
        <f t="shared" ca="1" si="54"/>
        <v>133</v>
      </c>
      <c r="H351" s="97">
        <f t="shared" ca="1" si="56"/>
        <v>45423</v>
      </c>
      <c r="I351" s="121">
        <f ca="1">HLOOKUP($H$4,'Met Data'!$A$2:$F$368,G351,FALSE)</f>
        <v>13.566666666666601</v>
      </c>
      <c r="J351" s="121">
        <f ca="1">HLOOKUP($H$4,'Met Data'!$H$2:$M$368,G351,FALSE)*L351</f>
        <v>5.86666666666666</v>
      </c>
      <c r="K351" s="98">
        <f ca="1">HLOOKUP($H$4,'Met Data'!$O$2:$T$368,G351,FALSE)</f>
        <v>0.93360919947406795</v>
      </c>
      <c r="L351">
        <f t="shared" ca="1" si="50"/>
        <v>1</v>
      </c>
      <c r="N351" t="b">
        <f t="shared" ca="1" si="55"/>
        <v>0</v>
      </c>
      <c r="O351" t="b">
        <f t="shared" ca="1" si="51"/>
        <v>0</v>
      </c>
      <c r="P351" s="2">
        <f ca="1"/>
        <v>45468</v>
      </c>
      <c r="Q351">
        <f ca="1"/>
        <v>-49.359559050693122</v>
      </c>
      <c r="R351">
        <f ca="1"/>
        <v>0.99515144617208795</v>
      </c>
      <c r="S351">
        <f ca="1"/>
        <v>1.2403195891648141E-7</v>
      </c>
      <c r="T351">
        <f ca="1"/>
        <v>0.10693256416993187</v>
      </c>
      <c r="U351">
        <f ca="1"/>
        <v>0</v>
      </c>
      <c r="V351">
        <f ca="1"/>
        <v>149.017572577176</v>
      </c>
      <c r="W351">
        <f ca="1"/>
        <v>136.32348306134301</v>
      </c>
      <c r="X351">
        <f ca="1"/>
        <v>0</v>
      </c>
      <c r="Y351">
        <f ca="1"/>
        <v>1</v>
      </c>
      <c r="Z351">
        <f ca="1"/>
        <v>0.25048848063671869</v>
      </c>
      <c r="AA351">
        <f ca="1"/>
        <v>0</v>
      </c>
      <c r="AB351">
        <f ca="1"/>
        <v>0.99999059745118102</v>
      </c>
      <c r="AD351" s="2">
        <f t="shared" ca="1" si="52"/>
        <v>45468</v>
      </c>
      <c r="AE351">
        <f t="shared" ca="1" si="53"/>
        <v>0</v>
      </c>
      <c r="AG351" s="65">
        <f t="shared" ca="1" si="57"/>
        <v>-48.364407604521055</v>
      </c>
      <c r="AH351" s="65">
        <f t="shared" ca="1" si="58"/>
        <v>-48.364407604521034</v>
      </c>
      <c r="AI351" s="3">
        <f t="shared" ca="1" si="59"/>
        <v>0</v>
      </c>
    </row>
    <row r="352" spans="7:35" x14ac:dyDescent="0.3">
      <c r="G352" s="3">
        <f t="shared" ca="1" si="54"/>
        <v>134</v>
      </c>
      <c r="H352" s="97">
        <f t="shared" ca="1" si="56"/>
        <v>45424</v>
      </c>
      <c r="I352" s="121">
        <f ca="1">HLOOKUP($H$4,'Met Data'!$A$2:$F$368,G352,FALSE)</f>
        <v>12.887499999999999</v>
      </c>
      <c r="J352" s="121">
        <f ca="1">HLOOKUP($H$4,'Met Data'!$H$2:$M$368,G352,FALSE)*L352</f>
        <v>5.1666666666666599</v>
      </c>
      <c r="K352" s="98">
        <f ca="1">HLOOKUP($H$4,'Met Data'!$O$2:$T$368,G352,FALSE)</f>
        <v>1.3361527471355901</v>
      </c>
      <c r="L352">
        <f t="shared" ca="1" si="50"/>
        <v>1</v>
      </c>
      <c r="N352" t="b">
        <f t="shared" ca="1" si="55"/>
        <v>0</v>
      </c>
      <c r="O352" t="b">
        <f t="shared" ca="1" si="51"/>
        <v>0</v>
      </c>
      <c r="P352" s="2">
        <f ca="1"/>
        <v>45469</v>
      </c>
      <c r="Q352">
        <f ca="1"/>
        <v>-50.196412002587778</v>
      </c>
      <c r="R352">
        <f ca="1"/>
        <v>0.93998340831063798</v>
      </c>
      <c r="S352">
        <f ca="1"/>
        <v>1.0615680183262085E-7</v>
      </c>
      <c r="T352">
        <f ca="1"/>
        <v>0.10313035025918525</v>
      </c>
      <c r="U352">
        <f ca="1"/>
        <v>0</v>
      </c>
      <c r="V352">
        <f ca="1"/>
        <v>149.95755598548701</v>
      </c>
      <c r="W352">
        <f ca="1"/>
        <v>137.183393808945</v>
      </c>
      <c r="X352">
        <f ca="1"/>
        <v>0</v>
      </c>
      <c r="Y352">
        <f ca="1"/>
        <v>1</v>
      </c>
      <c r="Z352">
        <f ca="1"/>
        <v>2.0912629704932471</v>
      </c>
      <c r="AA352">
        <f ca="1"/>
        <v>0</v>
      </c>
      <c r="AB352">
        <f ca="1"/>
        <v>0.99999143343890895</v>
      </c>
      <c r="AD352" s="2">
        <f t="shared" ca="1" si="52"/>
        <v>45469</v>
      </c>
      <c r="AE352">
        <f t="shared" ca="1" si="53"/>
        <v>0</v>
      </c>
      <c r="AG352" s="65">
        <f t="shared" ca="1" si="57"/>
        <v>-49.256428594277132</v>
      </c>
      <c r="AH352" s="65">
        <f t="shared" ca="1" si="58"/>
        <v>-49.256428594277139</v>
      </c>
      <c r="AI352" s="3">
        <f t="shared" ca="1" si="59"/>
        <v>0</v>
      </c>
    </row>
    <row r="353" spans="7:35" x14ac:dyDescent="0.3">
      <c r="G353" s="3">
        <f t="shared" ca="1" si="54"/>
        <v>135</v>
      </c>
      <c r="H353" s="97">
        <f t="shared" ca="1" si="56"/>
        <v>45425</v>
      </c>
      <c r="I353" s="121">
        <f ca="1">HLOOKUP($H$4,'Met Data'!$A$2:$F$368,G353,FALSE)</f>
        <v>13</v>
      </c>
      <c r="J353" s="121">
        <f ca="1">HLOOKUP($H$4,'Met Data'!$H$2:$M$368,G353,FALSE)*L353</f>
        <v>4.86666666666666</v>
      </c>
      <c r="K353" s="98">
        <f ca="1">HLOOKUP($H$4,'Met Data'!$O$2:$T$368,G353,FALSE)</f>
        <v>1.1907632624443201</v>
      </c>
      <c r="L353">
        <f t="shared" ca="1" si="50"/>
        <v>1</v>
      </c>
      <c r="N353" t="b">
        <f t="shared" ca="1" si="55"/>
        <v>0</v>
      </c>
      <c r="O353" t="b">
        <f t="shared" ca="1" si="51"/>
        <v>0</v>
      </c>
      <c r="P353" s="2">
        <f ca="1"/>
        <v>45470</v>
      </c>
      <c r="Q353">
        <f ca="1"/>
        <v>-51.023047028668827</v>
      </c>
      <c r="R353">
        <f ca="1"/>
        <v>0.93044140066456305</v>
      </c>
      <c r="S353">
        <f ca="1"/>
        <v>9.5638284411954961E-8</v>
      </c>
      <c r="T353">
        <f ca="1"/>
        <v>0.10380627894523103</v>
      </c>
      <c r="U353">
        <f ca="1"/>
        <v>0</v>
      </c>
      <c r="V353">
        <f ca="1"/>
        <v>150.88799738615199</v>
      </c>
      <c r="W353">
        <f ca="1"/>
        <v>138.03457538659001</v>
      </c>
      <c r="X353">
        <f ca="1"/>
        <v>0</v>
      </c>
      <c r="Y353">
        <f ca="1"/>
        <v>0.99966462428429603</v>
      </c>
      <c r="Z353">
        <f ca="1"/>
        <v>0</v>
      </c>
      <c r="AA353">
        <f ca="1"/>
        <v>0</v>
      </c>
      <c r="AB353">
        <f ca="1"/>
        <v>0.99999220036889502</v>
      </c>
      <c r="AD353" s="2">
        <f t="shared" ca="1" si="52"/>
        <v>45470</v>
      </c>
      <c r="AE353">
        <f t="shared" ca="1" si="53"/>
        <v>0</v>
      </c>
      <c r="AG353" s="65">
        <f t="shared" ca="1" si="57"/>
        <v>-50.092605628004264</v>
      </c>
      <c r="AH353" s="65">
        <f t="shared" ca="1" si="58"/>
        <v>-50.092605628004264</v>
      </c>
      <c r="AI353" s="3">
        <f t="shared" ca="1" si="59"/>
        <v>0</v>
      </c>
    </row>
    <row r="354" spans="7:35" x14ac:dyDescent="0.3">
      <c r="G354" s="3">
        <f t="shared" ca="1" si="54"/>
        <v>136</v>
      </c>
      <c r="H354" s="97">
        <f t="shared" ca="1" si="56"/>
        <v>45426</v>
      </c>
      <c r="I354" s="121">
        <f ca="1">HLOOKUP($H$4,'Met Data'!$A$2:$F$368,G354,FALSE)</f>
        <v>13.470833333333299</v>
      </c>
      <c r="J354" s="121">
        <f ca="1">HLOOKUP($H$4,'Met Data'!$H$2:$M$368,G354,FALSE)*L354</f>
        <v>8.7833333333333297</v>
      </c>
      <c r="K354" s="98">
        <f ca="1">HLOOKUP($H$4,'Met Data'!$O$2:$T$368,G354,FALSE)</f>
        <v>1.16840876605303</v>
      </c>
      <c r="L354">
        <f t="shared" ca="1" si="50"/>
        <v>1</v>
      </c>
      <c r="N354" t="b">
        <f t="shared" ca="1" si="55"/>
        <v>0</v>
      </c>
      <c r="O354" t="b">
        <f t="shared" ca="1" si="51"/>
        <v>0</v>
      </c>
      <c r="P354" s="2">
        <f ca="1"/>
        <v>45471</v>
      </c>
      <c r="Q354">
        <f ca="1"/>
        <v>-51.821995949714648</v>
      </c>
      <c r="R354">
        <f ca="1"/>
        <v>0.90145425485914599</v>
      </c>
      <c r="S354">
        <f ca="1"/>
        <v>8.4341327999121494E-8</v>
      </c>
      <c r="T354">
        <f ca="1"/>
        <v>0.10250524947197906</v>
      </c>
      <c r="U354">
        <f ca="1"/>
        <v>0</v>
      </c>
      <c r="V354">
        <f ca="1"/>
        <v>151.789451641011</v>
      </c>
      <c r="W354">
        <f ca="1"/>
        <v>138.85923909381299</v>
      </c>
      <c r="X354">
        <f ca="1"/>
        <v>0</v>
      </c>
      <c r="Y354">
        <f ca="1"/>
        <v>1</v>
      </c>
      <c r="Z354">
        <f ca="1"/>
        <v>0.8176965223074717</v>
      </c>
      <c r="AA354">
        <f ca="1"/>
        <v>0</v>
      </c>
      <c r="AB354">
        <f ca="1"/>
        <v>0.99999288938265096</v>
      </c>
      <c r="AD354" s="2">
        <f t="shared" ca="1" si="52"/>
        <v>45471</v>
      </c>
      <c r="AE354">
        <f t="shared" ca="1" si="53"/>
        <v>0</v>
      </c>
      <c r="AG354" s="65">
        <f t="shared" ca="1" si="57"/>
        <v>-50.920541694855515</v>
      </c>
      <c r="AH354" s="65">
        <f t="shared" ca="1" si="58"/>
        <v>-50.920541694855501</v>
      </c>
      <c r="AI354" s="3">
        <f t="shared" ca="1" si="59"/>
        <v>0</v>
      </c>
    </row>
    <row r="355" spans="7:35" x14ac:dyDescent="0.3">
      <c r="G355" s="3">
        <f t="shared" ca="1" si="54"/>
        <v>137</v>
      </c>
      <c r="H355" s="97">
        <f t="shared" ca="1" si="56"/>
        <v>45427</v>
      </c>
      <c r="I355" s="121">
        <f ca="1">HLOOKUP($H$4,'Met Data'!$A$2:$F$368,G355,FALSE)</f>
        <v>12.8666666666666</v>
      </c>
      <c r="J355" s="121">
        <f ca="1">HLOOKUP($H$4,'Met Data'!$H$2:$M$368,G355,FALSE)*L355</f>
        <v>4.86666666666666</v>
      </c>
      <c r="K355" s="98">
        <f ca="1">HLOOKUP($H$4,'Met Data'!$O$2:$T$368,G355,FALSE)</f>
        <v>1.23845839693481</v>
      </c>
      <c r="L355">
        <f t="shared" ca="1" si="50"/>
        <v>1</v>
      </c>
      <c r="N355" t="b">
        <f t="shared" ca="1" si="55"/>
        <v>0</v>
      </c>
      <c r="O355" t="b">
        <f t="shared" ca="1" si="51"/>
        <v>0</v>
      </c>
      <c r="P355" s="2">
        <f ca="1"/>
        <v>45472</v>
      </c>
      <c r="Q355">
        <f ca="1"/>
        <v>-52.588374449589082</v>
      </c>
      <c r="R355">
        <f ca="1"/>
        <v>0.86694813620542299</v>
      </c>
      <c r="S355">
        <f ca="1"/>
        <v>7.3923467659546287E-8</v>
      </c>
      <c r="T355">
        <f ca="1"/>
        <v>0.10056956240750725</v>
      </c>
      <c r="U355">
        <f ca="1"/>
        <v>0</v>
      </c>
      <c r="V355">
        <f ca="1"/>
        <v>152.656399777216</v>
      </c>
      <c r="W355">
        <f ca="1"/>
        <v>139.65233609249</v>
      </c>
      <c r="X355">
        <f ca="1"/>
        <v>0</v>
      </c>
      <c r="Y355">
        <f ca="1"/>
        <v>1</v>
      </c>
      <c r="Z355">
        <f ca="1"/>
        <v>1.7570935632686684</v>
      </c>
      <c r="AA355">
        <f ca="1"/>
        <v>0</v>
      </c>
      <c r="AB355">
        <f ca="1"/>
        <v>0.99999350482483895</v>
      </c>
      <c r="AD355" s="2">
        <f t="shared" ca="1" si="52"/>
        <v>45472</v>
      </c>
      <c r="AE355">
        <f t="shared" ca="1" si="53"/>
        <v>0</v>
      </c>
      <c r="AG355" s="65">
        <f t="shared" ca="1" si="57"/>
        <v>-51.721426313383674</v>
      </c>
      <c r="AH355" s="65">
        <f t="shared" ca="1" si="58"/>
        <v>-51.72142631338366</v>
      </c>
      <c r="AI355" s="3">
        <f t="shared" ca="1" si="59"/>
        <v>0</v>
      </c>
    </row>
    <row r="356" spans="7:35" x14ac:dyDescent="0.3">
      <c r="G356" s="3">
        <f t="shared" ca="1" si="54"/>
        <v>138</v>
      </c>
      <c r="H356" s="97">
        <f t="shared" ca="1" si="56"/>
        <v>45428</v>
      </c>
      <c r="I356" s="121">
        <f ca="1">HLOOKUP($H$4,'Met Data'!$A$2:$F$368,G356,FALSE)</f>
        <v>12.237499999999899</v>
      </c>
      <c r="J356" s="121">
        <f ca="1">HLOOKUP($H$4,'Met Data'!$H$2:$M$368,G356,FALSE)*L356</f>
        <v>3.7166666666666601</v>
      </c>
      <c r="K356" s="98">
        <f ca="1">HLOOKUP($H$4,'Met Data'!$O$2:$T$368,G356,FALSE)</f>
        <v>1.3074898165915401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5" t="e">
        <f t="shared" ca="1" si="57"/>
        <v>#N/A</v>
      </c>
      <c r="AH356" s="65" t="e">
        <f t="shared" ca="1" si="58"/>
        <v>#N/A</v>
      </c>
      <c r="AI356" s="3" t="e">
        <f t="shared" ca="1" si="59"/>
        <v>#N/A</v>
      </c>
    </row>
    <row r="357" spans="7:35" x14ac:dyDescent="0.3">
      <c r="G357" s="3">
        <f t="shared" ca="1" si="54"/>
        <v>139</v>
      </c>
      <c r="H357" s="97">
        <f t="shared" ca="1" si="56"/>
        <v>45429</v>
      </c>
      <c r="I357" s="121">
        <f ca="1">HLOOKUP($H$4,'Met Data'!$A$2:$F$368,G357,FALSE)</f>
        <v>11.595833333333299</v>
      </c>
      <c r="J357" s="121">
        <f ca="1">HLOOKUP($H$4,'Met Data'!$H$2:$M$368,G357,FALSE)*L357</f>
        <v>2.61666666666666</v>
      </c>
      <c r="K357" s="98">
        <f ca="1">HLOOKUP($H$4,'Met Data'!$O$2:$T$368,G357,FALSE)</f>
        <v>1.3321153360432201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5" t="e">
        <f t="shared" ca="1" si="57"/>
        <v>#N/A</v>
      </c>
      <c r="AH357" s="65" t="e">
        <f t="shared" ca="1" si="58"/>
        <v>#N/A</v>
      </c>
      <c r="AI357" s="3" t="e">
        <f t="shared" ca="1" si="59"/>
        <v>#N/A</v>
      </c>
    </row>
    <row r="358" spans="7:35" x14ac:dyDescent="0.3">
      <c r="G358" s="3">
        <f t="shared" ca="1" si="54"/>
        <v>140</v>
      </c>
      <c r="H358" s="97">
        <f t="shared" ca="1" si="56"/>
        <v>45430</v>
      </c>
      <c r="I358" s="121">
        <f ca="1">HLOOKUP($H$4,'Met Data'!$A$2:$F$368,G358,FALSE)</f>
        <v>11.904166666666599</v>
      </c>
      <c r="J358" s="121">
        <f ca="1">HLOOKUP($H$4,'Met Data'!$H$2:$M$368,G358,FALSE)*L358</f>
        <v>2.35</v>
      </c>
      <c r="K358" s="98">
        <f ca="1">HLOOKUP($H$4,'Met Data'!$O$2:$T$368,G358,FALSE)</f>
        <v>1.2961776408629699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5" t="e">
        <f t="shared" ca="1" si="57"/>
        <v>#N/A</v>
      </c>
      <c r="AH358" s="65" t="e">
        <f t="shared" ca="1" si="58"/>
        <v>#N/A</v>
      </c>
      <c r="AI358" s="3" t="e">
        <f t="shared" ca="1" si="59"/>
        <v>#N/A</v>
      </c>
    </row>
    <row r="359" spans="7:35" x14ac:dyDescent="0.3">
      <c r="G359" s="3">
        <f t="shared" ca="1" si="54"/>
        <v>141</v>
      </c>
      <c r="H359" s="97">
        <f t="shared" ca="1" si="56"/>
        <v>45431</v>
      </c>
      <c r="I359" s="121">
        <f ca="1">HLOOKUP($H$4,'Met Data'!$A$2:$F$368,G359,FALSE)</f>
        <v>11.762499999999999</v>
      </c>
      <c r="J359" s="121">
        <f ca="1">HLOOKUP($H$4,'Met Data'!$H$2:$M$368,G359,FALSE)*L359</f>
        <v>0.31666666666666599</v>
      </c>
      <c r="K359" s="98">
        <f ca="1">HLOOKUP($H$4,'Met Data'!$O$2:$T$368,G359,FALSE)</f>
        <v>1.26598619456247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5" t="e">
        <f t="shared" ca="1" si="57"/>
        <v>#N/A</v>
      </c>
      <c r="AH359" s="65" t="e">
        <f t="shared" ca="1" si="58"/>
        <v>#N/A</v>
      </c>
      <c r="AI359" s="3" t="e">
        <f t="shared" ca="1" si="59"/>
        <v>#N/A</v>
      </c>
    </row>
    <row r="360" spans="7:35" x14ac:dyDescent="0.3">
      <c r="G360" s="3">
        <f t="shared" ca="1" si="54"/>
        <v>142</v>
      </c>
      <c r="H360" s="97">
        <f t="shared" ca="1" si="56"/>
        <v>45432</v>
      </c>
      <c r="I360" s="121">
        <f ca="1">HLOOKUP($H$4,'Met Data'!$A$2:$F$368,G360,FALSE)</f>
        <v>11.612500000000001</v>
      </c>
      <c r="J360" s="121">
        <f ca="1">HLOOKUP($H$4,'Met Data'!$H$2:$M$368,G360,FALSE)*L360</f>
        <v>2</v>
      </c>
      <c r="K360" s="98">
        <f ca="1">HLOOKUP($H$4,'Met Data'!$O$2:$T$368,G360,FALSE)</f>
        <v>1.0607063970516699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5" t="e">
        <f t="shared" ca="1" si="57"/>
        <v>#N/A</v>
      </c>
      <c r="AH360" s="65" t="e">
        <f t="shared" ca="1" si="58"/>
        <v>#N/A</v>
      </c>
      <c r="AI360" s="3" t="e">
        <f t="shared" ca="1" si="59"/>
        <v>#N/A</v>
      </c>
    </row>
    <row r="361" spans="7:35" x14ac:dyDescent="0.3">
      <c r="G361" s="3">
        <f t="shared" ca="1" si="54"/>
        <v>143</v>
      </c>
      <c r="H361" s="97">
        <f t="shared" ca="1" si="56"/>
        <v>45433</v>
      </c>
      <c r="I361" s="121">
        <f ca="1">HLOOKUP($H$4,'Met Data'!$A$2:$F$368,G361,FALSE)</f>
        <v>10.174999999999899</v>
      </c>
      <c r="J361" s="121">
        <f ca="1">HLOOKUP($H$4,'Met Data'!$H$2:$M$368,G361,FALSE)*L361</f>
        <v>2.93333333333333</v>
      </c>
      <c r="K361" s="98">
        <f ca="1">HLOOKUP($H$4,'Met Data'!$O$2:$T$368,G361,FALSE)</f>
        <v>1.10734547072848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5" t="e">
        <f t="shared" ca="1" si="57"/>
        <v>#N/A</v>
      </c>
      <c r="AH361" s="65" t="e">
        <f t="shared" ca="1" si="58"/>
        <v>#N/A</v>
      </c>
      <c r="AI361" s="3" t="e">
        <f t="shared" ca="1" si="59"/>
        <v>#N/A</v>
      </c>
    </row>
    <row r="362" spans="7:35" x14ac:dyDescent="0.3">
      <c r="G362" s="3">
        <f t="shared" ca="1" si="54"/>
        <v>144</v>
      </c>
      <c r="H362" s="97">
        <f t="shared" ca="1" si="56"/>
        <v>45434</v>
      </c>
      <c r="I362" s="121">
        <f ca="1">HLOOKUP($H$4,'Met Data'!$A$2:$F$368,G362,FALSE)</f>
        <v>10.7416666666666</v>
      </c>
      <c r="J362" s="121">
        <f ca="1">HLOOKUP($H$4,'Met Data'!$H$2:$M$368,G362,FALSE)*L362</f>
        <v>2.8</v>
      </c>
      <c r="K362" s="98">
        <f ca="1">HLOOKUP($H$4,'Met Data'!$O$2:$T$368,G362,FALSE)</f>
        <v>0.94921082080766905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5" t="e">
        <f t="shared" ca="1" si="57"/>
        <v>#N/A</v>
      </c>
      <c r="AH362" s="65" t="e">
        <f t="shared" ca="1" si="58"/>
        <v>#N/A</v>
      </c>
      <c r="AI362" s="3" t="e">
        <f t="shared" ca="1" si="59"/>
        <v>#N/A</v>
      </c>
    </row>
    <row r="363" spans="7:35" x14ac:dyDescent="0.3">
      <c r="G363" s="3">
        <f t="shared" ca="1" si="54"/>
        <v>145</v>
      </c>
      <c r="H363" s="97">
        <f t="shared" ca="1" si="56"/>
        <v>45435</v>
      </c>
      <c r="I363" s="121">
        <f ca="1">HLOOKUP($H$4,'Met Data'!$A$2:$F$368,G363,FALSE)</f>
        <v>10.983333333333301</v>
      </c>
      <c r="J363" s="121">
        <f ca="1">HLOOKUP($H$4,'Met Data'!$H$2:$M$368,G363,FALSE)*L363</f>
        <v>5.61666666666666</v>
      </c>
      <c r="K363" s="98">
        <f ca="1">HLOOKUP($H$4,'Met Data'!$O$2:$T$368,G363,FALSE)</f>
        <v>0.95593712910075901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5" t="e">
        <f t="shared" ca="1" si="57"/>
        <v>#N/A</v>
      </c>
      <c r="AH363" s="65" t="e">
        <f t="shared" ca="1" si="58"/>
        <v>#N/A</v>
      </c>
      <c r="AI363" s="3" t="e">
        <f t="shared" ca="1" si="59"/>
        <v>#N/A</v>
      </c>
    </row>
    <row r="364" spans="7:35" x14ac:dyDescent="0.3">
      <c r="G364" s="3">
        <f t="shared" ca="1" si="54"/>
        <v>146</v>
      </c>
      <c r="H364" s="97">
        <f t="shared" ca="1" si="56"/>
        <v>45436</v>
      </c>
      <c r="I364" s="121">
        <f ca="1">HLOOKUP($H$4,'Met Data'!$A$2:$F$368,G364,FALSE)</f>
        <v>10.7666666666666</v>
      </c>
      <c r="J364" s="121">
        <f ca="1">HLOOKUP($H$4,'Met Data'!$H$2:$M$368,G364,FALSE)*L364</f>
        <v>3.1666666666666599</v>
      </c>
      <c r="K364" s="98">
        <f ca="1">HLOOKUP($H$4,'Met Data'!$O$2:$T$368,G364,FALSE)</f>
        <v>0.98597820560947502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5" t="e">
        <f t="shared" ca="1" si="57"/>
        <v>#N/A</v>
      </c>
      <c r="AH364" s="65" t="e">
        <f t="shared" ca="1" si="58"/>
        <v>#N/A</v>
      </c>
      <c r="AI364" s="3" t="e">
        <f t="shared" ca="1" si="59"/>
        <v>#N/A</v>
      </c>
    </row>
    <row r="365" spans="7:35" x14ac:dyDescent="0.3">
      <c r="G365" s="3">
        <f t="shared" ca="1" si="54"/>
        <v>147</v>
      </c>
      <c r="H365" s="97">
        <f t="shared" ca="1" si="56"/>
        <v>45437</v>
      </c>
      <c r="I365" s="121">
        <f ca="1">HLOOKUP($H$4,'Met Data'!$A$2:$F$368,G365,FALSE)</f>
        <v>11.1833333333333</v>
      </c>
      <c r="J365" s="121">
        <f ca="1">HLOOKUP($H$4,'Met Data'!$H$2:$M$368,G365,FALSE)*L365</f>
        <v>6.1499999999999897</v>
      </c>
      <c r="K365" s="98">
        <f ca="1">HLOOKUP($H$4,'Met Data'!$O$2:$T$368,G365,FALSE)</f>
        <v>1.02530679052105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5" t="e">
        <f t="shared" ca="1" si="57"/>
        <v>#N/A</v>
      </c>
      <c r="AH365" s="65" t="e">
        <f t="shared" ca="1" si="58"/>
        <v>#N/A</v>
      </c>
      <c r="AI365" s="3" t="e">
        <f t="shared" ca="1" si="59"/>
        <v>#N/A</v>
      </c>
    </row>
    <row r="366" spans="7:35" x14ac:dyDescent="0.3">
      <c r="G366" s="3">
        <f t="shared" ca="1" si="54"/>
        <v>148</v>
      </c>
      <c r="H366" s="97">
        <f t="shared" ca="1" si="56"/>
        <v>45438</v>
      </c>
      <c r="I366" s="121">
        <f ca="1">HLOOKUP($H$4,'Met Data'!$A$2:$F$368,G366,FALSE)</f>
        <v>10.566666666666601</v>
      </c>
      <c r="J366" s="121">
        <f ca="1">HLOOKUP($H$4,'Met Data'!$H$2:$M$368,G366,FALSE)*L366</f>
        <v>2.7666666666666599</v>
      </c>
      <c r="K366" s="98">
        <f ca="1">HLOOKUP($H$4,'Met Data'!$O$2:$T$368,G366,FALSE)</f>
        <v>1.05508542906727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5" t="e">
        <f t="shared" ca="1" si="57"/>
        <v>#N/A</v>
      </c>
      <c r="AH366" s="65" t="e">
        <f t="shared" ca="1" si="58"/>
        <v>#N/A</v>
      </c>
      <c r="AI366" s="3" t="e">
        <f t="shared" ca="1" si="59"/>
        <v>#N/A</v>
      </c>
    </row>
    <row r="367" spans="7:35" x14ac:dyDescent="0.3">
      <c r="G367" s="3">
        <f t="shared" ca="1" si="54"/>
        <v>149</v>
      </c>
      <c r="H367" s="97">
        <f t="shared" ca="1" si="56"/>
        <v>45439</v>
      </c>
      <c r="I367" s="121">
        <f ca="1">HLOOKUP($H$4,'Met Data'!$A$2:$F$368,G367,FALSE)</f>
        <v>10.283333333333299</v>
      </c>
      <c r="J367" s="121">
        <f ca="1">HLOOKUP($H$4,'Met Data'!$H$2:$M$368,G367,FALSE)*L367</f>
        <v>2.7333333333333298</v>
      </c>
      <c r="K367" s="98">
        <f ca="1">HLOOKUP($H$4,'Met Data'!$O$2:$T$368,G367,FALSE)</f>
        <v>0.96273544691676505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5" t="e">
        <f t="shared" ca="1" si="57"/>
        <v>#N/A</v>
      </c>
      <c r="AH367" s="65" t="e">
        <f t="shared" ca="1" si="58"/>
        <v>#N/A</v>
      </c>
      <c r="AI367" s="3" t="e">
        <f t="shared" ca="1" si="59"/>
        <v>#N/A</v>
      </c>
    </row>
    <row r="368" spans="7:35" x14ac:dyDescent="0.3">
      <c r="G368" s="3">
        <f t="shared" ca="1" si="54"/>
        <v>150</v>
      </c>
      <c r="H368" s="97">
        <f t="shared" ca="1" si="56"/>
        <v>45440</v>
      </c>
      <c r="I368" s="121">
        <f ca="1">HLOOKUP($H$4,'Met Data'!$A$2:$F$368,G368,FALSE)</f>
        <v>10.8</v>
      </c>
      <c r="J368" s="121">
        <f ca="1">HLOOKUP($H$4,'Met Data'!$H$2:$M$368,G368,FALSE)*L368</f>
        <v>3.2333333333333298</v>
      </c>
      <c r="K368" s="98">
        <f ca="1">HLOOKUP($H$4,'Met Data'!$O$2:$T$368,G368,FALSE)</f>
        <v>1.08816831727148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5" t="e">
        <f t="shared" ca="1" si="57"/>
        <v>#N/A</v>
      </c>
      <c r="AH368" s="65" t="e">
        <f t="shared" ca="1" si="58"/>
        <v>#N/A</v>
      </c>
      <c r="AI368" s="3" t="e">
        <f t="shared" ca="1" si="59"/>
        <v>#N/A</v>
      </c>
    </row>
    <row r="369" spans="7:35" x14ac:dyDescent="0.3">
      <c r="G369" s="3">
        <f t="shared" ca="1" si="54"/>
        <v>151</v>
      </c>
      <c r="H369" s="97">
        <f t="shared" ca="1" si="56"/>
        <v>45441</v>
      </c>
      <c r="I369" s="121">
        <f ca="1">HLOOKUP($H$4,'Met Data'!$A$2:$F$368,G369,FALSE)</f>
        <v>9.6624999999999996</v>
      </c>
      <c r="J369" s="121">
        <f ca="1">HLOOKUP($H$4,'Met Data'!$H$2:$M$368,G369,FALSE)*L369</f>
        <v>1.88333333333333</v>
      </c>
      <c r="K369" s="98">
        <f ca="1">HLOOKUP($H$4,'Met Data'!$O$2:$T$368,G369,FALSE)</f>
        <v>1.0187040175234601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5" t="e">
        <f t="shared" ca="1" si="57"/>
        <v>#N/A</v>
      </c>
      <c r="AH369" s="65" t="e">
        <f t="shared" ca="1" si="58"/>
        <v>#N/A</v>
      </c>
      <c r="AI369" s="3" t="e">
        <f t="shared" ca="1" si="59"/>
        <v>#N/A</v>
      </c>
    </row>
    <row r="370" spans="7:35" x14ac:dyDescent="0.3">
      <c r="G370" s="3">
        <f t="shared" ca="1" si="54"/>
        <v>152</v>
      </c>
      <c r="H370" s="97">
        <f t="shared" ca="1" si="56"/>
        <v>45442</v>
      </c>
      <c r="I370" s="121">
        <f ca="1">HLOOKUP($H$4,'Met Data'!$A$2:$F$368,G370,FALSE)</f>
        <v>9.7166666666666597</v>
      </c>
      <c r="J370" s="121">
        <f ca="1">HLOOKUP($H$4,'Met Data'!$H$2:$M$368,G370,FALSE)*L370</f>
        <v>4.7</v>
      </c>
      <c r="K370" s="98">
        <f ca="1">HLOOKUP($H$4,'Met Data'!$O$2:$T$368,G370,FALSE)</f>
        <v>1.10197006718848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5" t="e">
        <f t="shared" ca="1" si="57"/>
        <v>#N/A</v>
      </c>
      <c r="AH370" s="65" t="e">
        <f t="shared" ca="1" si="58"/>
        <v>#N/A</v>
      </c>
      <c r="AI370" s="3" t="e">
        <f t="shared" ca="1" si="59"/>
        <v>#N/A</v>
      </c>
    </row>
    <row r="371" spans="7:35" x14ac:dyDescent="0.3">
      <c r="G371" s="3">
        <f t="shared" ca="1" si="54"/>
        <v>153</v>
      </c>
      <c r="H371" s="97">
        <f t="shared" ca="1" si="56"/>
        <v>45443</v>
      </c>
      <c r="I371" s="121">
        <f ca="1">HLOOKUP($H$4,'Met Data'!$A$2:$F$368,G371,FALSE)</f>
        <v>10.004166666666601</v>
      </c>
      <c r="J371" s="121">
        <f ca="1">HLOOKUP($H$4,'Met Data'!$H$2:$M$368,G371,FALSE)*L371</f>
        <v>2.5</v>
      </c>
      <c r="K371" s="98">
        <f ca="1">HLOOKUP($H$4,'Met Data'!$O$2:$T$368,G371,FALSE)</f>
        <v>1.1690097853574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5" t="e">
        <f t="shared" ca="1" si="57"/>
        <v>#N/A</v>
      </c>
      <c r="AH371" s="65" t="e">
        <f t="shared" ca="1" si="58"/>
        <v>#N/A</v>
      </c>
      <c r="AI371" s="3" t="e">
        <f t="shared" ca="1" si="59"/>
        <v>#N/A</v>
      </c>
    </row>
    <row r="372" spans="7:35" x14ac:dyDescent="0.3">
      <c r="G372" s="3">
        <f t="shared" ca="1" si="54"/>
        <v>154</v>
      </c>
      <c r="H372" s="97">
        <f t="shared" ca="1" si="56"/>
        <v>45444</v>
      </c>
      <c r="I372" s="121">
        <f ca="1">HLOOKUP($H$4,'Met Data'!$A$2:$F$368,G372,FALSE)</f>
        <v>9.99583333333333</v>
      </c>
      <c r="J372" s="121">
        <f ca="1">HLOOKUP($H$4,'Met Data'!$H$2:$M$368,G372,FALSE)*L372</f>
        <v>2.7833333333333301</v>
      </c>
      <c r="K372" s="98">
        <f ca="1">HLOOKUP($H$4,'Met Data'!$O$2:$T$368,G372,FALSE)</f>
        <v>1.0280895768516001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5" t="e">
        <f t="shared" ca="1" si="57"/>
        <v>#N/A</v>
      </c>
      <c r="AH372" s="65" t="e">
        <f t="shared" ca="1" si="58"/>
        <v>#N/A</v>
      </c>
      <c r="AI372" s="3" t="e">
        <f t="shared" ca="1" si="59"/>
        <v>#N/A</v>
      </c>
    </row>
    <row r="373" spans="7:35" x14ac:dyDescent="0.3">
      <c r="G373" s="3">
        <f t="shared" ca="1" si="54"/>
        <v>155</v>
      </c>
      <c r="H373" s="97">
        <f t="shared" ca="1" si="56"/>
        <v>45445</v>
      </c>
      <c r="I373" s="121">
        <f ca="1">HLOOKUP($H$4,'Met Data'!$A$2:$F$368,G373,FALSE)</f>
        <v>9.8999999999999897</v>
      </c>
      <c r="J373" s="121">
        <f ca="1">HLOOKUP($H$4,'Met Data'!$H$2:$M$368,G373,FALSE)*L373</f>
        <v>1.7833333333333301</v>
      </c>
      <c r="K373" s="98">
        <f ca="1">HLOOKUP($H$4,'Met Data'!$O$2:$T$368,G373,FALSE)</f>
        <v>0.97110296937720297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5" t="e">
        <f t="shared" ca="1" si="57"/>
        <v>#N/A</v>
      </c>
      <c r="AH373" s="65" t="e">
        <f t="shared" ca="1" si="58"/>
        <v>#N/A</v>
      </c>
      <c r="AI373" s="3" t="e">
        <f t="shared" ca="1" si="59"/>
        <v>#N/A</v>
      </c>
    </row>
    <row r="374" spans="7:35" x14ac:dyDescent="0.3">
      <c r="G374" s="3">
        <f t="shared" ca="1" si="54"/>
        <v>156</v>
      </c>
      <c r="H374" s="97">
        <f t="shared" ca="1" si="56"/>
        <v>45446</v>
      </c>
      <c r="I374" s="121">
        <f ca="1">HLOOKUP($H$4,'Met Data'!$A$2:$F$368,G374,FALSE)</f>
        <v>10.95</v>
      </c>
      <c r="J374" s="121">
        <f ca="1">HLOOKUP($H$4,'Met Data'!$H$2:$M$368,G374,FALSE)*L374</f>
        <v>2.44999999999999</v>
      </c>
      <c r="K374" s="98">
        <f ca="1">HLOOKUP($H$4,'Met Data'!$O$2:$T$368,G374,FALSE)</f>
        <v>0.960770877493487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5" t="e">
        <f t="shared" ca="1" si="57"/>
        <v>#N/A</v>
      </c>
      <c r="AH374" s="65" t="e">
        <f t="shared" ca="1" si="58"/>
        <v>#N/A</v>
      </c>
      <c r="AI374" s="3" t="e">
        <f t="shared" ca="1" si="59"/>
        <v>#N/A</v>
      </c>
    </row>
    <row r="375" spans="7:35" x14ac:dyDescent="0.3">
      <c r="G375" s="3">
        <f t="shared" ca="1" si="54"/>
        <v>157</v>
      </c>
      <c r="H375" s="97">
        <f t="shared" ca="1" si="56"/>
        <v>45447</v>
      </c>
      <c r="I375" s="121">
        <f ca="1">HLOOKUP($H$4,'Met Data'!$A$2:$F$368,G375,FALSE)</f>
        <v>10.6875</v>
      </c>
      <c r="J375" s="121">
        <f ca="1">HLOOKUP($H$4,'Met Data'!$H$2:$M$368,G375,FALSE)*L375</f>
        <v>4.1333333333333302</v>
      </c>
      <c r="K375" s="98">
        <f ca="1">HLOOKUP($H$4,'Met Data'!$O$2:$T$368,G375,FALSE)</f>
        <v>0.84332690198160198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5" t="e">
        <f t="shared" ca="1" si="57"/>
        <v>#N/A</v>
      </c>
      <c r="AH375" s="65" t="e">
        <f t="shared" ca="1" si="58"/>
        <v>#N/A</v>
      </c>
      <c r="AI375" s="3" t="e">
        <f t="shared" ca="1" si="59"/>
        <v>#N/A</v>
      </c>
    </row>
    <row r="376" spans="7:35" x14ac:dyDescent="0.3">
      <c r="G376" s="3">
        <f t="shared" ca="1" si="54"/>
        <v>158</v>
      </c>
      <c r="H376" s="97">
        <f t="shared" ca="1" si="56"/>
        <v>45448</v>
      </c>
      <c r="I376" s="121">
        <f ca="1">HLOOKUP($H$4,'Met Data'!$A$2:$F$368,G376,FALSE)</f>
        <v>10.5625</v>
      </c>
      <c r="J376" s="121">
        <f ca="1">HLOOKUP($H$4,'Met Data'!$H$2:$M$368,G376,FALSE)*L376</f>
        <v>5.3</v>
      </c>
      <c r="K376" s="98">
        <f ca="1">HLOOKUP($H$4,'Met Data'!$O$2:$T$368,G376,FALSE)</f>
        <v>0.93242759876210701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5" t="e">
        <f t="shared" ca="1" si="57"/>
        <v>#N/A</v>
      </c>
      <c r="AH376" s="65" t="e">
        <f t="shared" ca="1" si="58"/>
        <v>#N/A</v>
      </c>
      <c r="AI376" s="3" t="e">
        <f t="shared" ca="1" si="59"/>
        <v>#N/A</v>
      </c>
    </row>
    <row r="377" spans="7:35" x14ac:dyDescent="0.3">
      <c r="G377" s="3">
        <f t="shared" ca="1" si="54"/>
        <v>159</v>
      </c>
      <c r="H377" s="97">
        <f t="shared" ca="1" si="56"/>
        <v>45449</v>
      </c>
      <c r="I377" s="121">
        <f ca="1">HLOOKUP($H$4,'Met Data'!$A$2:$F$368,G377,FALSE)</f>
        <v>10.4625</v>
      </c>
      <c r="J377" s="121">
        <f ca="1">HLOOKUP($H$4,'Met Data'!$H$2:$M$368,G377,FALSE)*L377</f>
        <v>2.44999999999999</v>
      </c>
      <c r="K377" s="98">
        <f ca="1">HLOOKUP($H$4,'Met Data'!$O$2:$T$368,G377,FALSE)</f>
        <v>0.99912564942381998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5" t="e">
        <f t="shared" ca="1" si="57"/>
        <v>#N/A</v>
      </c>
      <c r="AH377" s="65" t="e">
        <f t="shared" ca="1" si="58"/>
        <v>#N/A</v>
      </c>
      <c r="AI377" s="3" t="e">
        <f t="shared" ca="1" si="59"/>
        <v>#N/A</v>
      </c>
    </row>
    <row r="378" spans="7:35" x14ac:dyDescent="0.3">
      <c r="G378" s="3">
        <f t="shared" ca="1" si="54"/>
        <v>160</v>
      </c>
      <c r="H378" s="97">
        <f t="shared" ca="1" si="56"/>
        <v>45450</v>
      </c>
      <c r="I378" s="121">
        <f ca="1">HLOOKUP($H$4,'Met Data'!$A$2:$F$368,G378,FALSE)</f>
        <v>9.5875000000000004</v>
      </c>
      <c r="J378" s="121">
        <f ca="1">HLOOKUP($H$4,'Met Data'!$H$2:$M$368,G378,FALSE)*L378</f>
        <v>1.7333333333333301</v>
      </c>
      <c r="K378" s="98">
        <f ca="1">HLOOKUP($H$4,'Met Data'!$O$2:$T$368,G378,FALSE)</f>
        <v>1.0839051549829499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5" t="e">
        <f t="shared" ca="1" si="57"/>
        <v>#N/A</v>
      </c>
      <c r="AH378" s="65" t="e">
        <f t="shared" ca="1" si="58"/>
        <v>#N/A</v>
      </c>
      <c r="AI378" s="3" t="e">
        <f t="shared" ca="1" si="59"/>
        <v>#N/A</v>
      </c>
    </row>
    <row r="379" spans="7:35" x14ac:dyDescent="0.3">
      <c r="G379" s="3">
        <f t="shared" ca="1" si="54"/>
        <v>161</v>
      </c>
      <c r="H379" s="97">
        <f t="shared" ca="1" si="56"/>
        <v>45451</v>
      </c>
      <c r="I379" s="121">
        <f ca="1">HLOOKUP($H$4,'Met Data'!$A$2:$F$368,G379,FALSE)</f>
        <v>9.4875000000000007</v>
      </c>
      <c r="J379" s="121">
        <f ca="1">HLOOKUP($H$4,'Met Data'!$H$2:$M$368,G379,FALSE)*L379</f>
        <v>1.55</v>
      </c>
      <c r="K379" s="98">
        <f ca="1">HLOOKUP($H$4,'Met Data'!$O$2:$T$368,G379,FALSE)</f>
        <v>0.94567596592895498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5" t="e">
        <f t="shared" ca="1" si="57"/>
        <v>#N/A</v>
      </c>
      <c r="AH379" s="65" t="e">
        <f t="shared" ca="1" si="58"/>
        <v>#N/A</v>
      </c>
      <c r="AI379" s="3" t="e">
        <f t="shared" ca="1" si="59"/>
        <v>#N/A</v>
      </c>
    </row>
    <row r="380" spans="7:35" x14ac:dyDescent="0.3">
      <c r="G380" s="3">
        <f t="shared" ca="1" si="54"/>
        <v>162</v>
      </c>
      <c r="H380" s="97">
        <f t="shared" ca="1" si="56"/>
        <v>45452</v>
      </c>
      <c r="I380" s="121">
        <f ca="1">HLOOKUP($H$4,'Met Data'!$A$2:$F$368,G380,FALSE)</f>
        <v>10.9</v>
      </c>
      <c r="J380" s="121">
        <f ca="1">HLOOKUP($H$4,'Met Data'!$H$2:$M$368,G380,FALSE)*L380</f>
        <v>4.8363636363636298</v>
      </c>
      <c r="K380" s="98">
        <f ca="1">HLOOKUP($H$4,'Met Data'!$O$2:$T$368,G380,FALSE)</f>
        <v>0.77149259834587403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5" t="e">
        <f t="shared" ca="1" si="57"/>
        <v>#N/A</v>
      </c>
      <c r="AH380" s="65" t="e">
        <f t="shared" ca="1" si="58"/>
        <v>#N/A</v>
      </c>
      <c r="AI380" s="3" t="e">
        <f t="shared" ca="1" si="59"/>
        <v>#N/A</v>
      </c>
    </row>
    <row r="381" spans="7:35" x14ac:dyDescent="0.3">
      <c r="G381" s="3">
        <f t="shared" ca="1" si="54"/>
        <v>163</v>
      </c>
      <c r="H381" s="97">
        <f t="shared" ca="1" si="56"/>
        <v>45453</v>
      </c>
      <c r="I381" s="121">
        <f ca="1">HLOOKUP($H$4,'Met Data'!$A$2:$F$368,G381,FALSE)</f>
        <v>10.8954545454545</v>
      </c>
      <c r="J381" s="121">
        <f ca="1">HLOOKUP($H$4,'Met Data'!$H$2:$M$368,G381,FALSE)*L381</f>
        <v>7.1454545454545402</v>
      </c>
      <c r="K381" s="98">
        <f ca="1">HLOOKUP($H$4,'Met Data'!$O$2:$T$368,G381,FALSE)</f>
        <v>0.76887644299908198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5" t="e">
        <f t="shared" ca="1" si="57"/>
        <v>#N/A</v>
      </c>
      <c r="AH381" s="65" t="e">
        <f t="shared" ca="1" si="58"/>
        <v>#N/A</v>
      </c>
      <c r="AI381" s="3" t="e">
        <f t="shared" ca="1" si="59"/>
        <v>#N/A</v>
      </c>
    </row>
    <row r="382" spans="7:35" x14ac:dyDescent="0.3">
      <c r="G382" s="3">
        <f t="shared" ca="1" si="54"/>
        <v>164</v>
      </c>
      <c r="H382" s="97">
        <f t="shared" ca="1" si="56"/>
        <v>45454</v>
      </c>
      <c r="I382" s="121">
        <f ca="1">HLOOKUP($H$4,'Met Data'!$A$2:$F$368,G382,FALSE)</f>
        <v>11.8375</v>
      </c>
      <c r="J382" s="121">
        <f ca="1">HLOOKUP($H$4,'Met Data'!$H$2:$M$368,G382,FALSE)*L382</f>
        <v>0.88333333333333297</v>
      </c>
      <c r="K382" s="98">
        <f ca="1">HLOOKUP($H$4,'Met Data'!$O$2:$T$368,G382,FALSE)</f>
        <v>0.886573255907814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5" t="e">
        <f t="shared" ca="1" si="57"/>
        <v>#N/A</v>
      </c>
      <c r="AH382" s="65" t="e">
        <f t="shared" ca="1" si="58"/>
        <v>#N/A</v>
      </c>
      <c r="AI382" s="3" t="e">
        <f t="shared" ca="1" si="59"/>
        <v>#N/A</v>
      </c>
    </row>
    <row r="383" spans="7:35" x14ac:dyDescent="0.3">
      <c r="G383" s="3">
        <f t="shared" ca="1" si="54"/>
        <v>165</v>
      </c>
      <c r="H383" s="97">
        <f t="shared" ca="1" si="56"/>
        <v>45455</v>
      </c>
      <c r="I383" s="121">
        <f ca="1">HLOOKUP($H$4,'Met Data'!$A$2:$F$368,G383,FALSE)</f>
        <v>10.4916666666666</v>
      </c>
      <c r="J383" s="121">
        <f ca="1">HLOOKUP($H$4,'Met Data'!$H$2:$M$368,G383,FALSE)*L383</f>
        <v>5.3166666666666602</v>
      </c>
      <c r="K383" s="98">
        <f ca="1">HLOOKUP($H$4,'Met Data'!$O$2:$T$368,G383,FALSE)</f>
        <v>0.75300621765048603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5" t="e">
        <f t="shared" ca="1" si="57"/>
        <v>#N/A</v>
      </c>
      <c r="AH383" s="65" t="e">
        <f t="shared" ca="1" si="58"/>
        <v>#N/A</v>
      </c>
      <c r="AI383" s="3" t="e">
        <f t="shared" ca="1" si="59"/>
        <v>#N/A</v>
      </c>
    </row>
    <row r="384" spans="7:35" x14ac:dyDescent="0.3">
      <c r="G384" s="3">
        <f t="shared" ca="1" si="54"/>
        <v>166</v>
      </c>
      <c r="H384" s="97">
        <f t="shared" ca="1" si="56"/>
        <v>45456</v>
      </c>
      <c r="I384" s="121">
        <f ca="1">HLOOKUP($H$4,'Met Data'!$A$2:$F$368,G384,FALSE)</f>
        <v>10.133333333333301</v>
      </c>
      <c r="J384" s="121">
        <f ca="1">HLOOKUP($H$4,'Met Data'!$H$2:$M$368,G384,FALSE)*L384</f>
        <v>1.2</v>
      </c>
      <c r="K384" s="98">
        <f ca="1">HLOOKUP($H$4,'Met Data'!$O$2:$T$368,G384,FALSE)</f>
        <v>1.0949815777606999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5" t="e">
        <f t="shared" ca="1" si="57"/>
        <v>#N/A</v>
      </c>
      <c r="AH384" s="65" t="e">
        <f t="shared" ca="1" si="58"/>
        <v>#N/A</v>
      </c>
      <c r="AI384" s="3" t="e">
        <f t="shared" ca="1" si="59"/>
        <v>#N/A</v>
      </c>
    </row>
    <row r="385" spans="7:35" x14ac:dyDescent="0.3">
      <c r="G385" s="3">
        <f t="shared" ca="1" si="54"/>
        <v>167</v>
      </c>
      <c r="H385" s="97">
        <f t="shared" ca="1" si="56"/>
        <v>45457</v>
      </c>
      <c r="I385" s="121">
        <f ca="1">HLOOKUP($H$4,'Met Data'!$A$2:$F$368,G385,FALSE)</f>
        <v>9.0291666666666597</v>
      </c>
      <c r="J385" s="121">
        <f ca="1">HLOOKUP($H$4,'Met Data'!$H$2:$M$368,G385,FALSE)*L385</f>
        <v>2.0499999999999998</v>
      </c>
      <c r="K385" s="98">
        <f ca="1">HLOOKUP($H$4,'Met Data'!$O$2:$T$368,G385,FALSE)</f>
        <v>0.76363291076582096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5" t="e">
        <f t="shared" ca="1" si="57"/>
        <v>#N/A</v>
      </c>
      <c r="AH385" s="65" t="e">
        <f t="shared" ca="1" si="58"/>
        <v>#N/A</v>
      </c>
      <c r="AI385" s="3" t="e">
        <f t="shared" ca="1" si="59"/>
        <v>#N/A</v>
      </c>
    </row>
    <row r="386" spans="7:35" x14ac:dyDescent="0.3">
      <c r="G386" s="3">
        <f t="shared" ca="1" si="54"/>
        <v>168</v>
      </c>
      <c r="H386" s="97">
        <f t="shared" ca="1" si="56"/>
        <v>45458</v>
      </c>
      <c r="I386" s="121">
        <f ca="1">HLOOKUP($H$4,'Met Data'!$A$2:$F$368,G386,FALSE)</f>
        <v>10.125</v>
      </c>
      <c r="J386" s="121">
        <f ca="1">HLOOKUP($H$4,'Met Data'!$H$2:$M$368,G386,FALSE)*L386</f>
        <v>2.68333333333333</v>
      </c>
      <c r="K386" s="98">
        <f ca="1">HLOOKUP($H$4,'Met Data'!$O$2:$T$368,G386,FALSE)</f>
        <v>0.84633721178312304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5" t="e">
        <f t="shared" ca="1" si="57"/>
        <v>#N/A</v>
      </c>
      <c r="AH386" s="65" t="e">
        <f t="shared" ca="1" si="58"/>
        <v>#N/A</v>
      </c>
      <c r="AI386" s="3" t="e">
        <f t="shared" ca="1" si="59"/>
        <v>#N/A</v>
      </c>
    </row>
    <row r="387" spans="7:35" x14ac:dyDescent="0.3">
      <c r="G387" s="3">
        <f t="shared" ca="1" si="54"/>
        <v>169</v>
      </c>
      <c r="H387" s="97">
        <f t="shared" ca="1" si="56"/>
        <v>45459</v>
      </c>
      <c r="I387" s="121">
        <f ca="1">HLOOKUP($H$4,'Met Data'!$A$2:$F$368,G387,FALSE)</f>
        <v>10.2291666666666</v>
      </c>
      <c r="J387" s="121">
        <f ca="1">HLOOKUP($H$4,'Met Data'!$H$2:$M$368,G387,FALSE)*L387</f>
        <v>2.5333333333333301</v>
      </c>
      <c r="K387" s="98">
        <f ca="1">HLOOKUP($H$4,'Met Data'!$O$2:$T$368,G387,FALSE)</f>
        <v>0.91611783655738799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5" t="e">
        <f t="shared" ca="1" si="57"/>
        <v>#N/A</v>
      </c>
      <c r="AH387" s="65" t="e">
        <f t="shared" ca="1" si="58"/>
        <v>#N/A</v>
      </c>
      <c r="AI387" s="3" t="e">
        <f t="shared" ca="1" si="59"/>
        <v>#N/A</v>
      </c>
    </row>
    <row r="388" spans="7:35" x14ac:dyDescent="0.3">
      <c r="G388" s="3">
        <f t="shared" ca="1" si="54"/>
        <v>170</v>
      </c>
      <c r="H388" s="97">
        <f t="shared" ca="1" si="56"/>
        <v>45460</v>
      </c>
      <c r="I388" s="121">
        <f ca="1">HLOOKUP($H$4,'Met Data'!$A$2:$F$368,G388,FALSE)</f>
        <v>10.316666666666601</v>
      </c>
      <c r="J388" s="121">
        <f ca="1">HLOOKUP($H$4,'Met Data'!$H$2:$M$368,G388,FALSE)*L388</f>
        <v>5.5</v>
      </c>
      <c r="K388" s="98">
        <f ca="1">HLOOKUP($H$4,'Met Data'!$O$2:$T$368,G388,FALSE)</f>
        <v>0.749895043982166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5" t="e">
        <f t="shared" ca="1" si="57"/>
        <v>#N/A</v>
      </c>
      <c r="AH388" s="65" t="e">
        <f t="shared" ca="1" si="58"/>
        <v>#N/A</v>
      </c>
      <c r="AI388" s="3" t="e">
        <f t="shared" ca="1" si="59"/>
        <v>#N/A</v>
      </c>
    </row>
    <row r="389" spans="7:35" x14ac:dyDescent="0.3">
      <c r="G389" s="3">
        <f t="shared" ca="1" si="54"/>
        <v>171</v>
      </c>
      <c r="H389" s="97">
        <f t="shared" ca="1" si="56"/>
        <v>45461</v>
      </c>
      <c r="I389" s="121">
        <f ca="1">HLOOKUP($H$4,'Met Data'!$A$2:$F$368,G389,FALSE)</f>
        <v>10.6666666666666</v>
      </c>
      <c r="J389" s="121">
        <f ca="1">HLOOKUP($H$4,'Met Data'!$H$2:$M$368,G389,FALSE)*L389</f>
        <v>11.883333333333301</v>
      </c>
      <c r="K389" s="98">
        <f ca="1">HLOOKUP($H$4,'Met Data'!$O$2:$T$368,G389,FALSE)</f>
        <v>0.72031723210574305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5" t="e">
        <f t="shared" ca="1" si="57"/>
        <v>#N/A</v>
      </c>
      <c r="AH389" s="65" t="e">
        <f t="shared" ca="1" si="58"/>
        <v>#N/A</v>
      </c>
      <c r="AI389" s="3" t="e">
        <f t="shared" ca="1" si="59"/>
        <v>#N/A</v>
      </c>
    </row>
    <row r="390" spans="7:35" x14ac:dyDescent="0.3">
      <c r="G390" s="3">
        <f t="shared" ca="1" si="54"/>
        <v>172</v>
      </c>
      <c r="H390" s="97">
        <f t="shared" ca="1" si="56"/>
        <v>45462</v>
      </c>
      <c r="I390" s="121">
        <f ca="1">HLOOKUP($H$4,'Met Data'!$A$2:$F$368,G390,FALSE)</f>
        <v>10.6181818181818</v>
      </c>
      <c r="J390" s="121">
        <f ca="1">HLOOKUP($H$4,'Met Data'!$H$2:$M$368,G390,FALSE)*L390</f>
        <v>9.0181818181818105</v>
      </c>
      <c r="K390" s="98">
        <f ca="1">HLOOKUP($H$4,'Met Data'!$O$2:$T$368,G390,FALSE)</f>
        <v>0.829345309973199</v>
      </c>
      <c r="L390">
        <f t="shared" ref="L390:L453" ca="1" si="60">IF(H390&lt;$B$31,$J$3,$J$4)</f>
        <v>1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>
        <f t="shared" ref="AE390:AE453" ca="1" si="63">IFERROR(U390,0)</f>
        <v>0</v>
      </c>
      <c r="AG390" s="65" t="e">
        <f t="shared" ca="1" si="57"/>
        <v>#N/A</v>
      </c>
      <c r="AH390" s="65" t="e">
        <f t="shared" ca="1" si="58"/>
        <v>#N/A</v>
      </c>
      <c r="AI390" s="3" t="e">
        <f t="shared" ca="1" si="59"/>
        <v>#N/A</v>
      </c>
    </row>
    <row r="391" spans="7:35" x14ac:dyDescent="0.3">
      <c r="G391" s="3">
        <f t="shared" ref="G391:G454" ca="1" si="64">H391-DATE(YEAR(H391),1,0)+1</f>
        <v>173</v>
      </c>
      <c r="H391" s="97">
        <f t="shared" ca="1" si="56"/>
        <v>45463</v>
      </c>
      <c r="I391" s="121">
        <f ca="1">HLOOKUP($H$4,'Met Data'!$A$2:$F$368,G391,FALSE)</f>
        <v>10.0318181818181</v>
      </c>
      <c r="J391" s="121">
        <f ca="1">HLOOKUP($H$4,'Met Data'!$H$2:$M$368,G391,FALSE)*L391</f>
        <v>1.9090909090909001</v>
      </c>
      <c r="K391" s="98">
        <f ca="1">HLOOKUP($H$4,'Met Data'!$O$2:$T$368,G391,FALSE)</f>
        <v>0.90574236110997597</v>
      </c>
      <c r="L391">
        <f t="shared" ca="1" si="60"/>
        <v>1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>
        <f t="shared" ca="1" si="63"/>
        <v>0</v>
      </c>
      <c r="AG391" s="65" t="e">
        <f t="shared" ca="1" si="57"/>
        <v>#N/A</v>
      </c>
      <c r="AH391" s="65" t="e">
        <f t="shared" ca="1" si="58"/>
        <v>#N/A</v>
      </c>
      <c r="AI391" s="3" t="e">
        <f t="shared" ca="1" si="59"/>
        <v>#N/A</v>
      </c>
    </row>
    <row r="392" spans="7:35" x14ac:dyDescent="0.3">
      <c r="G392" s="3">
        <f t="shared" ca="1" si="64"/>
        <v>174</v>
      </c>
      <c r="H392" s="97">
        <f t="shared" ref="H392:H455" ca="1" si="66">H391+1</f>
        <v>45464</v>
      </c>
      <c r="I392" s="121">
        <f ca="1">HLOOKUP($H$4,'Met Data'!$A$2:$F$368,G392,FALSE)</f>
        <v>8.9727272727272709</v>
      </c>
      <c r="J392" s="121">
        <f ca="1">HLOOKUP($H$4,'Met Data'!$H$2:$M$368,G392,FALSE)*L392</f>
        <v>1.9636363636363601</v>
      </c>
      <c r="K392" s="98">
        <f ca="1">HLOOKUP($H$4,'Met Data'!$O$2:$T$368,G392,FALSE)</f>
        <v>0.89904843691310898</v>
      </c>
      <c r="L392">
        <f t="shared" ca="1" si="60"/>
        <v>1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5" t="e">
        <f t="shared" ca="1" si="57"/>
        <v>#N/A</v>
      </c>
      <c r="AH392" s="65" t="e">
        <f t="shared" ca="1" si="58"/>
        <v>#N/A</v>
      </c>
      <c r="AI392" s="3" t="e">
        <f t="shared" ca="1" si="59"/>
        <v>#N/A</v>
      </c>
    </row>
    <row r="393" spans="7:35" x14ac:dyDescent="0.3">
      <c r="G393" s="3">
        <f t="shared" ca="1" si="64"/>
        <v>175</v>
      </c>
      <c r="H393" s="97">
        <f t="shared" ca="1" si="66"/>
        <v>45465</v>
      </c>
      <c r="I393" s="121">
        <f ca="1">HLOOKUP($H$4,'Met Data'!$A$2:$F$368,G393,FALSE)</f>
        <v>9.0227272727272698</v>
      </c>
      <c r="J393" s="121">
        <f ca="1">HLOOKUP($H$4,'Met Data'!$H$2:$M$368,G393,FALSE)*L393</f>
        <v>3.0181818181818101</v>
      </c>
      <c r="K393" s="98">
        <f ca="1">HLOOKUP($H$4,'Met Data'!$O$2:$T$368,G393,FALSE)</f>
        <v>0.82913615112138495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5" t="e">
        <f t="shared" ca="1" si="57"/>
        <v>#N/A</v>
      </c>
      <c r="AH393" s="65" t="e">
        <f t="shared" ca="1" si="58"/>
        <v>#N/A</v>
      </c>
      <c r="AI393" s="3" t="e">
        <f t="shared" ca="1" si="59"/>
        <v>#N/A</v>
      </c>
    </row>
    <row r="394" spans="7:35" x14ac:dyDescent="0.3">
      <c r="G394" s="3">
        <f t="shared" ca="1" si="64"/>
        <v>176</v>
      </c>
      <c r="H394" s="97">
        <f t="shared" ca="1" si="66"/>
        <v>45466</v>
      </c>
      <c r="I394" s="121">
        <f ca="1">HLOOKUP($H$4,'Met Data'!$A$2:$F$368,G394,FALSE)</f>
        <v>10.3590909090909</v>
      </c>
      <c r="J394" s="121">
        <f ca="1">HLOOKUP($H$4,'Met Data'!$H$2:$M$368,G394,FALSE)*L394</f>
        <v>3.7454545454545398</v>
      </c>
      <c r="K394" s="98">
        <f ca="1">HLOOKUP($H$4,'Met Data'!$O$2:$T$368,G394,FALSE)</f>
        <v>0.88746237543267503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5" t="e">
        <f t="shared" ca="1" si="57"/>
        <v>#N/A</v>
      </c>
      <c r="AH394" s="65" t="e">
        <f t="shared" ca="1" si="58"/>
        <v>#N/A</v>
      </c>
      <c r="AI394" s="3" t="e">
        <f t="shared" ca="1" si="59"/>
        <v>#N/A</v>
      </c>
    </row>
    <row r="395" spans="7:35" x14ac:dyDescent="0.3">
      <c r="G395" s="3">
        <f t="shared" ca="1" si="64"/>
        <v>177</v>
      </c>
      <c r="H395" s="97">
        <f t="shared" ca="1" si="66"/>
        <v>45467</v>
      </c>
      <c r="I395" s="121">
        <f ca="1">HLOOKUP($H$4,'Met Data'!$A$2:$F$368,G395,FALSE)</f>
        <v>9.5090909090909097</v>
      </c>
      <c r="J395" s="121">
        <f ca="1">HLOOKUP($H$4,'Met Data'!$H$2:$M$368,G395,FALSE)*L395</f>
        <v>3.1090909090909</v>
      </c>
      <c r="K395" s="98">
        <f ca="1">HLOOKUP($H$4,'Met Data'!$O$2:$T$368,G395,FALSE)</f>
        <v>0.97866599470650895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5" t="e">
        <f t="shared" ref="AG395:AG458" ca="1" si="67">Q394+S395+T395+U395</f>
        <v>#N/A</v>
      </c>
      <c r="AH395" s="65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 x14ac:dyDescent="0.3">
      <c r="G396" s="3">
        <f t="shared" ca="1" si="64"/>
        <v>178</v>
      </c>
      <c r="H396" s="97">
        <f t="shared" ca="1" si="66"/>
        <v>45468</v>
      </c>
      <c r="I396" s="121">
        <f ca="1">HLOOKUP($H$4,'Met Data'!$A$2:$F$368,G396,FALSE)</f>
        <v>9.1272727272727199</v>
      </c>
      <c r="J396" s="121">
        <f ca="1">HLOOKUP($H$4,'Met Data'!$H$2:$M$368,G396,FALSE)*L396</f>
        <v>1.25454545454545</v>
      </c>
      <c r="K396" s="98">
        <f ca="1">HLOOKUP($H$4,'Met Data'!$O$2:$T$368,G396,FALSE)</f>
        <v>1.0040569739087299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5" t="e">
        <f t="shared" ca="1" si="67"/>
        <v>#N/A</v>
      </c>
      <c r="AH396" s="65" t="e">
        <f t="shared" ca="1" si="68"/>
        <v>#N/A</v>
      </c>
      <c r="AI396" s="3" t="e">
        <f t="shared" ca="1" si="69"/>
        <v>#N/A</v>
      </c>
    </row>
    <row r="397" spans="7:35" x14ac:dyDescent="0.3">
      <c r="G397" s="3">
        <f t="shared" ca="1" si="64"/>
        <v>179</v>
      </c>
      <c r="H397" s="97">
        <f t="shared" ca="1" si="66"/>
        <v>45469</v>
      </c>
      <c r="I397" s="121">
        <f ca="1">HLOOKUP($H$4,'Met Data'!$A$2:$F$368,G397,FALSE)</f>
        <v>8.7727272727272698</v>
      </c>
      <c r="J397" s="121">
        <f ca="1">HLOOKUP($H$4,'Met Data'!$H$2:$M$368,G397,FALSE)*L397</f>
        <v>2.9818181818181801</v>
      </c>
      <c r="K397" s="98">
        <f ca="1">HLOOKUP($H$4,'Met Data'!$O$2:$T$368,G397,FALSE)</f>
        <v>0.89055521132494797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5" t="e">
        <f t="shared" ca="1" si="67"/>
        <v>#N/A</v>
      </c>
      <c r="AH397" s="65" t="e">
        <f t="shared" ca="1" si="68"/>
        <v>#N/A</v>
      </c>
      <c r="AI397" s="3" t="e">
        <f t="shared" ca="1" si="69"/>
        <v>#N/A</v>
      </c>
    </row>
    <row r="398" spans="7:35" x14ac:dyDescent="0.3">
      <c r="G398" s="3">
        <f t="shared" ca="1" si="64"/>
        <v>180</v>
      </c>
      <c r="H398" s="97">
        <f t="shared" ca="1" si="66"/>
        <v>45470</v>
      </c>
      <c r="I398" s="121">
        <f ca="1">HLOOKUP($H$4,'Met Data'!$A$2:$F$368,G398,FALSE)</f>
        <v>8.8363636363636306</v>
      </c>
      <c r="J398" s="121">
        <f ca="1">HLOOKUP($H$4,'Met Data'!$H$2:$M$368,G398,FALSE)*L398</f>
        <v>0.90909090909090895</v>
      </c>
      <c r="K398" s="98">
        <f ca="1">HLOOKUP($H$4,'Met Data'!$O$2:$T$368,G398,FALSE)</f>
        <v>0.949335994975394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5" t="e">
        <f t="shared" ca="1" si="67"/>
        <v>#N/A</v>
      </c>
      <c r="AH398" s="65" t="e">
        <f t="shared" ca="1" si="68"/>
        <v>#N/A</v>
      </c>
      <c r="AI398" s="3" t="e">
        <f t="shared" ca="1" si="69"/>
        <v>#N/A</v>
      </c>
    </row>
    <row r="399" spans="7:35" x14ac:dyDescent="0.3">
      <c r="G399" s="3">
        <f t="shared" ca="1" si="64"/>
        <v>181</v>
      </c>
      <c r="H399" s="97">
        <f t="shared" ca="1" si="66"/>
        <v>45471</v>
      </c>
      <c r="I399" s="121">
        <f ca="1">HLOOKUP($H$4,'Met Data'!$A$2:$F$368,G399,FALSE)</f>
        <v>8.7136363636363594</v>
      </c>
      <c r="J399" s="121">
        <f ca="1">HLOOKUP($H$4,'Met Data'!$H$2:$M$368,G399,FALSE)*L399</f>
        <v>1.7833333333333301</v>
      </c>
      <c r="K399" s="98">
        <f ca="1">HLOOKUP($H$4,'Met Data'!$O$2:$T$368,G399,FALSE)</f>
        <v>0.92539172734817898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5" t="e">
        <f t="shared" ca="1" si="67"/>
        <v>#N/A</v>
      </c>
      <c r="AH399" s="65" t="e">
        <f t="shared" ca="1" si="68"/>
        <v>#N/A</v>
      </c>
      <c r="AI399" s="3" t="e">
        <f t="shared" ca="1" si="69"/>
        <v>#N/A</v>
      </c>
    </row>
    <row r="400" spans="7:35" x14ac:dyDescent="0.3">
      <c r="G400" s="3">
        <f t="shared" ca="1" si="64"/>
        <v>182</v>
      </c>
      <c r="H400" s="97">
        <f t="shared" ca="1" si="66"/>
        <v>45472</v>
      </c>
      <c r="I400" s="121">
        <f ca="1">HLOOKUP($H$4,'Met Data'!$A$2:$F$368,G400,FALSE)</f>
        <v>8.5291666666666597</v>
      </c>
      <c r="J400" s="121">
        <f ca="1">HLOOKUP($H$4,'Met Data'!$H$2:$M$368,G400,FALSE)*L400</f>
        <v>2.5833333333333299</v>
      </c>
      <c r="K400" s="98">
        <f ca="1">HLOOKUP($H$4,'Met Data'!$O$2:$T$368,G400,FALSE)</f>
        <v>0.82623977006466498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5" t="e">
        <f t="shared" ca="1" si="67"/>
        <v>#N/A</v>
      </c>
      <c r="AH400" s="65" t="e">
        <f t="shared" ca="1" si="68"/>
        <v>#N/A</v>
      </c>
      <c r="AI400" s="3" t="e">
        <f t="shared" ca="1" si="69"/>
        <v>#N/A</v>
      </c>
    </row>
    <row r="401" spans="7:35" x14ac:dyDescent="0.3">
      <c r="G401" s="3">
        <f t="shared" ca="1" si="64"/>
        <v>183</v>
      </c>
      <c r="H401" s="97">
        <f t="shared" ca="1" si="66"/>
        <v>45473</v>
      </c>
      <c r="I401" s="121">
        <f ca="1">HLOOKUP($H$4,'Met Data'!$A$2:$F$368,G401,FALSE)</f>
        <v>8.8208333333333293</v>
      </c>
      <c r="J401" s="121">
        <f ca="1">HLOOKUP($H$4,'Met Data'!$H$2:$M$368,G401,FALSE)*L401</f>
        <v>2.1333333333333302</v>
      </c>
      <c r="K401" s="98">
        <f ca="1">HLOOKUP($H$4,'Met Data'!$O$2:$T$368,G401,FALSE)</f>
        <v>0.80690048817841498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5" t="e">
        <f t="shared" ca="1" si="67"/>
        <v>#N/A</v>
      </c>
      <c r="AH401" s="65" t="e">
        <f t="shared" ca="1" si="68"/>
        <v>#N/A</v>
      </c>
      <c r="AI401" s="3" t="e">
        <f t="shared" ca="1" si="69"/>
        <v>#N/A</v>
      </c>
    </row>
    <row r="402" spans="7:35" x14ac:dyDescent="0.3">
      <c r="G402" s="3">
        <f t="shared" ca="1" si="64"/>
        <v>184</v>
      </c>
      <c r="H402" s="97">
        <f t="shared" ca="1" si="66"/>
        <v>45474</v>
      </c>
      <c r="I402" s="121">
        <f ca="1">HLOOKUP($H$4,'Met Data'!$A$2:$F$368,G402,FALSE)</f>
        <v>8.2249999999999996</v>
      </c>
      <c r="J402" s="121">
        <f ca="1">HLOOKUP($H$4,'Met Data'!$H$2:$M$368,G402,FALSE)*L402</f>
        <v>0.83333333333333304</v>
      </c>
      <c r="K402" s="98">
        <f ca="1">HLOOKUP($H$4,'Met Data'!$O$2:$T$368,G402,FALSE)</f>
        <v>1.0149186441071101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5" t="e">
        <f t="shared" ca="1" si="67"/>
        <v>#N/A</v>
      </c>
      <c r="AH402" s="65" t="e">
        <f t="shared" ca="1" si="68"/>
        <v>#N/A</v>
      </c>
      <c r="AI402" s="3" t="e">
        <f t="shared" ca="1" si="69"/>
        <v>#N/A</v>
      </c>
    </row>
    <row r="403" spans="7:35" x14ac:dyDescent="0.3">
      <c r="G403" s="3">
        <f t="shared" ca="1" si="64"/>
        <v>185</v>
      </c>
      <c r="H403" s="97">
        <f t="shared" ca="1" si="66"/>
        <v>45475</v>
      </c>
      <c r="I403" s="121">
        <f ca="1">HLOOKUP($H$4,'Met Data'!$A$2:$F$368,G403,FALSE)</f>
        <v>8.8333333333333304</v>
      </c>
      <c r="J403" s="121">
        <f ca="1">HLOOKUP($H$4,'Met Data'!$H$2:$M$368,G403,FALSE)*L403</f>
        <v>3.5666666666666602</v>
      </c>
      <c r="K403" s="98">
        <f ca="1">HLOOKUP($H$4,'Met Data'!$O$2:$T$368,G403,FALSE)</f>
        <v>0.89125379504041602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5" t="e">
        <f t="shared" ca="1" si="67"/>
        <v>#N/A</v>
      </c>
      <c r="AH403" s="65" t="e">
        <f t="shared" ca="1" si="68"/>
        <v>#N/A</v>
      </c>
      <c r="AI403" s="3" t="e">
        <f t="shared" ca="1" si="69"/>
        <v>#N/A</v>
      </c>
    </row>
    <row r="404" spans="7:35" x14ac:dyDescent="0.3">
      <c r="G404" s="3">
        <f t="shared" ca="1" si="64"/>
        <v>186</v>
      </c>
      <c r="H404" s="97">
        <f t="shared" ca="1" si="66"/>
        <v>45476</v>
      </c>
      <c r="I404" s="121">
        <f ca="1">HLOOKUP($H$4,'Met Data'!$A$2:$F$368,G404,FALSE)</f>
        <v>8.6</v>
      </c>
      <c r="J404" s="121">
        <f ca="1">HLOOKUP($H$4,'Met Data'!$H$2:$M$368,G404,FALSE)*L404</f>
        <v>0.73333333333333295</v>
      </c>
      <c r="K404" s="98">
        <f ca="1">HLOOKUP($H$4,'Met Data'!$O$2:$T$368,G404,FALSE)</f>
        <v>0.87224086772784204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5" t="e">
        <f t="shared" ca="1" si="67"/>
        <v>#N/A</v>
      </c>
      <c r="AH404" s="65" t="e">
        <f t="shared" ca="1" si="68"/>
        <v>#N/A</v>
      </c>
      <c r="AI404" s="3" t="e">
        <f t="shared" ca="1" si="69"/>
        <v>#N/A</v>
      </c>
    </row>
    <row r="405" spans="7:35" x14ac:dyDescent="0.3">
      <c r="G405" s="3">
        <f t="shared" ca="1" si="64"/>
        <v>187</v>
      </c>
      <c r="H405" s="97">
        <f t="shared" ca="1" si="66"/>
        <v>45477</v>
      </c>
      <c r="I405" s="121">
        <f ca="1">HLOOKUP($H$4,'Met Data'!$A$2:$F$368,G405,FALSE)</f>
        <v>9.4</v>
      </c>
      <c r="J405" s="121">
        <f ca="1">HLOOKUP($H$4,'Met Data'!$H$2:$M$368,G405,FALSE)*L405</f>
        <v>9.9999999999999895E-2</v>
      </c>
      <c r="K405" s="98">
        <f ca="1">HLOOKUP($H$4,'Met Data'!$O$2:$T$368,G405,FALSE)</f>
        <v>0.96939333533810901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5" t="e">
        <f t="shared" ca="1" si="67"/>
        <v>#N/A</v>
      </c>
      <c r="AH405" s="65" t="e">
        <f t="shared" ca="1" si="68"/>
        <v>#N/A</v>
      </c>
      <c r="AI405" s="3" t="e">
        <f t="shared" ca="1" si="69"/>
        <v>#N/A</v>
      </c>
    </row>
    <row r="406" spans="7:35" x14ac:dyDescent="0.3">
      <c r="G406" s="3">
        <f t="shared" ca="1" si="64"/>
        <v>188</v>
      </c>
      <c r="H406" s="97">
        <f t="shared" ca="1" si="66"/>
        <v>45478</v>
      </c>
      <c r="I406" s="121">
        <f ca="1">HLOOKUP($H$4,'Met Data'!$A$2:$F$368,G406,FALSE)</f>
        <v>9.12083333333333</v>
      </c>
      <c r="J406" s="121">
        <f ca="1">HLOOKUP($H$4,'Met Data'!$H$2:$M$368,G406,FALSE)*L406</f>
        <v>2.18333333333333</v>
      </c>
      <c r="K406" s="98">
        <f ca="1">HLOOKUP($H$4,'Met Data'!$O$2:$T$368,G406,FALSE)</f>
        <v>0.851628840058262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5" t="e">
        <f t="shared" ca="1" si="67"/>
        <v>#N/A</v>
      </c>
      <c r="AH406" s="65" t="e">
        <f t="shared" ca="1" si="68"/>
        <v>#N/A</v>
      </c>
      <c r="AI406" s="3" t="e">
        <f t="shared" ca="1" si="69"/>
        <v>#N/A</v>
      </c>
    </row>
    <row r="407" spans="7:35" x14ac:dyDescent="0.3">
      <c r="G407" s="3">
        <f t="shared" ca="1" si="64"/>
        <v>189</v>
      </c>
      <c r="H407" s="97">
        <f t="shared" ca="1" si="66"/>
        <v>45479</v>
      </c>
      <c r="I407" s="121">
        <f ca="1">HLOOKUP($H$4,'Met Data'!$A$2:$F$368,G407,FALSE)</f>
        <v>9.6583333333333297</v>
      </c>
      <c r="J407" s="121">
        <f ca="1">HLOOKUP($H$4,'Met Data'!$H$2:$M$368,G407,FALSE)*L407</f>
        <v>4.5666666666666602</v>
      </c>
      <c r="K407" s="98">
        <f ca="1">HLOOKUP($H$4,'Met Data'!$O$2:$T$368,G407,FALSE)</f>
        <v>0.80851868655974801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5" t="e">
        <f t="shared" ca="1" si="67"/>
        <v>#N/A</v>
      </c>
      <c r="AH407" s="65" t="e">
        <f t="shared" ca="1" si="68"/>
        <v>#N/A</v>
      </c>
      <c r="AI407" s="3" t="e">
        <f t="shared" ca="1" si="69"/>
        <v>#N/A</v>
      </c>
    </row>
    <row r="408" spans="7:35" x14ac:dyDescent="0.3">
      <c r="G408" s="3">
        <f t="shared" ca="1" si="64"/>
        <v>190</v>
      </c>
      <c r="H408" s="97">
        <f t="shared" ca="1" si="66"/>
        <v>45480</v>
      </c>
      <c r="I408" s="121">
        <f ca="1">HLOOKUP($H$4,'Met Data'!$A$2:$F$368,G408,FALSE)</f>
        <v>8.5291666666666597</v>
      </c>
      <c r="J408" s="121">
        <f ca="1">HLOOKUP($H$4,'Met Data'!$H$2:$M$368,G408,FALSE)*L408</f>
        <v>3.7833333333333301</v>
      </c>
      <c r="K408" s="98">
        <f ca="1">HLOOKUP($H$4,'Met Data'!$O$2:$T$368,G408,FALSE)</f>
        <v>1.09493770994468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5" t="e">
        <f t="shared" ca="1" si="67"/>
        <v>#N/A</v>
      </c>
      <c r="AH408" s="65" t="e">
        <f t="shared" ca="1" si="68"/>
        <v>#N/A</v>
      </c>
      <c r="AI408" s="3" t="e">
        <f t="shared" ca="1" si="69"/>
        <v>#N/A</v>
      </c>
    </row>
    <row r="409" spans="7:35" x14ac:dyDescent="0.3">
      <c r="G409" s="3">
        <f t="shared" ca="1" si="64"/>
        <v>191</v>
      </c>
      <c r="H409" s="97">
        <f t="shared" ca="1" si="66"/>
        <v>45481</v>
      </c>
      <c r="I409" s="121">
        <f ca="1">HLOOKUP($H$4,'Met Data'!$A$2:$F$368,G409,FALSE)</f>
        <v>8.1583333333333297</v>
      </c>
      <c r="J409" s="121">
        <f ca="1">HLOOKUP($H$4,'Met Data'!$H$2:$M$368,G409,FALSE)*L409</f>
        <v>4.18333333333333</v>
      </c>
      <c r="K409" s="98">
        <f ca="1">HLOOKUP($H$4,'Met Data'!$O$2:$T$368,G409,FALSE)</f>
        <v>0.89025740200721304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5" t="e">
        <f t="shared" ca="1" si="67"/>
        <v>#N/A</v>
      </c>
      <c r="AH409" s="65" t="e">
        <f t="shared" ca="1" si="68"/>
        <v>#N/A</v>
      </c>
      <c r="AI409" s="3" t="e">
        <f t="shared" ca="1" si="69"/>
        <v>#N/A</v>
      </c>
    </row>
    <row r="410" spans="7:35" x14ac:dyDescent="0.3">
      <c r="G410" s="3">
        <f t="shared" ca="1" si="64"/>
        <v>192</v>
      </c>
      <c r="H410" s="97">
        <f t="shared" ca="1" si="66"/>
        <v>45482</v>
      </c>
      <c r="I410" s="121">
        <f ca="1">HLOOKUP($H$4,'Met Data'!$A$2:$F$368,G410,FALSE)</f>
        <v>8.24166666666666</v>
      </c>
      <c r="J410" s="121">
        <f ca="1">HLOOKUP($H$4,'Met Data'!$H$2:$M$368,G410,FALSE)*L410</f>
        <v>2.2666666666666599</v>
      </c>
      <c r="K410" s="98">
        <f ca="1">HLOOKUP($H$4,'Met Data'!$O$2:$T$368,G410,FALSE)</f>
        <v>1.06467045295546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5" t="e">
        <f t="shared" ca="1" si="67"/>
        <v>#N/A</v>
      </c>
      <c r="AH410" s="65" t="e">
        <f t="shared" ca="1" si="68"/>
        <v>#N/A</v>
      </c>
      <c r="AI410" s="3" t="e">
        <f t="shared" ca="1" si="69"/>
        <v>#N/A</v>
      </c>
    </row>
    <row r="411" spans="7:35" x14ac:dyDescent="0.3">
      <c r="G411" s="3">
        <f t="shared" ca="1" si="64"/>
        <v>193</v>
      </c>
      <c r="H411" s="97">
        <f t="shared" ca="1" si="66"/>
        <v>45483</v>
      </c>
      <c r="I411" s="121">
        <f ca="1">HLOOKUP($H$4,'Met Data'!$A$2:$F$368,G411,FALSE)</f>
        <v>8.0333333333333297</v>
      </c>
      <c r="J411" s="121">
        <f ca="1">HLOOKUP($H$4,'Met Data'!$H$2:$M$368,G411,FALSE)*L411</f>
        <v>4.6500000000000004</v>
      </c>
      <c r="K411" s="98">
        <f ca="1">HLOOKUP($H$4,'Met Data'!$O$2:$T$368,G411,FALSE)</f>
        <v>1.03430816091664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5" t="e">
        <f t="shared" ca="1" si="67"/>
        <v>#N/A</v>
      </c>
      <c r="AH411" s="65" t="e">
        <f t="shared" ca="1" si="68"/>
        <v>#N/A</v>
      </c>
      <c r="AI411" s="3" t="e">
        <f t="shared" ca="1" si="69"/>
        <v>#N/A</v>
      </c>
    </row>
    <row r="412" spans="7:35" x14ac:dyDescent="0.3">
      <c r="G412" s="3">
        <f t="shared" ca="1" si="64"/>
        <v>194</v>
      </c>
      <c r="H412" s="97">
        <f t="shared" ca="1" si="66"/>
        <v>45484</v>
      </c>
      <c r="I412" s="121">
        <f ca="1">HLOOKUP($H$4,'Met Data'!$A$2:$F$368,G412,FALSE)</f>
        <v>8.37083333333333</v>
      </c>
      <c r="J412" s="121">
        <f ca="1">HLOOKUP($H$4,'Met Data'!$H$2:$M$368,G412,FALSE)*L412</f>
        <v>1.61666666666666</v>
      </c>
      <c r="K412" s="98">
        <f ca="1">HLOOKUP($H$4,'Met Data'!$O$2:$T$368,G412,FALSE)</f>
        <v>1.0039262064680501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5" t="e">
        <f t="shared" ca="1" si="67"/>
        <v>#N/A</v>
      </c>
      <c r="AH412" s="65" t="e">
        <f t="shared" ca="1" si="68"/>
        <v>#N/A</v>
      </c>
      <c r="AI412" s="3" t="e">
        <f t="shared" ca="1" si="69"/>
        <v>#N/A</v>
      </c>
    </row>
    <row r="413" spans="7:35" x14ac:dyDescent="0.3">
      <c r="G413" s="3">
        <f t="shared" ca="1" si="64"/>
        <v>195</v>
      </c>
      <c r="H413" s="97">
        <f t="shared" ca="1" si="66"/>
        <v>45485</v>
      </c>
      <c r="I413" s="121">
        <f ca="1">HLOOKUP($H$4,'Met Data'!$A$2:$F$368,G413,FALSE)</f>
        <v>8.0916666666666597</v>
      </c>
      <c r="J413" s="121">
        <f ca="1">HLOOKUP($H$4,'Met Data'!$H$2:$M$368,G413,FALSE)*L413</f>
        <v>5.0666666666666602</v>
      </c>
      <c r="K413" s="98">
        <f ca="1">HLOOKUP($H$4,'Met Data'!$O$2:$T$368,G413,FALSE)</f>
        <v>0.87492032925951801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5" t="e">
        <f t="shared" ca="1" si="67"/>
        <v>#N/A</v>
      </c>
      <c r="AH413" s="65" t="e">
        <f t="shared" ca="1" si="68"/>
        <v>#N/A</v>
      </c>
      <c r="AI413" s="3" t="e">
        <f t="shared" ca="1" si="69"/>
        <v>#N/A</v>
      </c>
    </row>
    <row r="414" spans="7:35" x14ac:dyDescent="0.3">
      <c r="G414" s="3">
        <f t="shared" ca="1" si="64"/>
        <v>196</v>
      </c>
      <c r="H414" s="97">
        <f t="shared" ca="1" si="66"/>
        <v>45486</v>
      </c>
      <c r="I414" s="121">
        <f ca="1">HLOOKUP($H$4,'Met Data'!$A$2:$F$368,G414,FALSE)</f>
        <v>7.9156250000000004</v>
      </c>
      <c r="J414" s="121">
        <f ca="1">HLOOKUP($H$4,'Met Data'!$H$2:$M$368,G414,FALSE)*L414</f>
        <v>4.1666666666666599</v>
      </c>
      <c r="K414" s="98">
        <f ca="1">HLOOKUP($H$4,'Met Data'!$O$2:$T$368,G414,FALSE)</f>
        <v>0.80250527716076203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5" t="e">
        <f t="shared" ca="1" si="67"/>
        <v>#N/A</v>
      </c>
      <c r="AH414" s="65" t="e">
        <f t="shared" ca="1" si="68"/>
        <v>#N/A</v>
      </c>
      <c r="AI414" s="3" t="e">
        <f t="shared" ca="1" si="69"/>
        <v>#N/A</v>
      </c>
    </row>
    <row r="415" spans="7:35" x14ac:dyDescent="0.3">
      <c r="G415" s="3">
        <f t="shared" ca="1" si="64"/>
        <v>197</v>
      </c>
      <c r="H415" s="97">
        <f t="shared" ca="1" si="66"/>
        <v>45487</v>
      </c>
      <c r="I415" s="121">
        <f ca="1">HLOOKUP($H$4,'Met Data'!$A$2:$F$368,G415,FALSE)</f>
        <v>8.8590909090909093</v>
      </c>
      <c r="J415" s="121">
        <f ca="1">HLOOKUP($H$4,'Met Data'!$H$2:$M$368,G415,FALSE)*L415</f>
        <v>2.0666666666666602</v>
      </c>
      <c r="K415" s="98">
        <f ca="1">HLOOKUP($H$4,'Met Data'!$O$2:$T$368,G415,FALSE)</f>
        <v>0.97822362204517799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5" t="e">
        <f t="shared" ca="1" si="67"/>
        <v>#N/A</v>
      </c>
      <c r="AH415" s="65" t="e">
        <f t="shared" ca="1" si="68"/>
        <v>#N/A</v>
      </c>
      <c r="AI415" s="3" t="e">
        <f t="shared" ca="1" si="69"/>
        <v>#N/A</v>
      </c>
    </row>
    <row r="416" spans="7:35" x14ac:dyDescent="0.3">
      <c r="G416" s="3">
        <f t="shared" ca="1" si="64"/>
        <v>198</v>
      </c>
      <c r="H416" s="97">
        <f t="shared" ca="1" si="66"/>
        <v>45488</v>
      </c>
      <c r="I416" s="121">
        <f ca="1">HLOOKUP($H$4,'Met Data'!$A$2:$F$368,G416,FALSE)</f>
        <v>8.8590909090909093</v>
      </c>
      <c r="J416" s="121">
        <f ca="1">HLOOKUP($H$4,'Met Data'!$H$2:$M$368,G416,FALSE)*L416</f>
        <v>6.0666666666666602</v>
      </c>
      <c r="K416" s="98">
        <f ca="1">HLOOKUP($H$4,'Met Data'!$O$2:$T$368,G416,FALSE)</f>
        <v>0.78802331007485205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5" t="e">
        <f t="shared" ca="1" si="67"/>
        <v>#N/A</v>
      </c>
      <c r="AH416" s="65" t="e">
        <f t="shared" ca="1" si="68"/>
        <v>#N/A</v>
      </c>
      <c r="AI416" s="3" t="e">
        <f t="shared" ca="1" si="69"/>
        <v>#N/A</v>
      </c>
    </row>
    <row r="417" spans="7:35" x14ac:dyDescent="0.3">
      <c r="G417" s="3">
        <f t="shared" ca="1" si="64"/>
        <v>199</v>
      </c>
      <c r="H417" s="97">
        <f t="shared" ca="1" si="66"/>
        <v>45489</v>
      </c>
      <c r="I417" s="121">
        <f ca="1">HLOOKUP($H$4,'Met Data'!$A$2:$F$368,G417,FALSE)</f>
        <v>9.5909090909090899</v>
      </c>
      <c r="J417" s="121">
        <f ca="1">HLOOKUP($H$4,'Met Data'!$H$2:$M$368,G417,FALSE)*L417</f>
        <v>4.5999999999999996</v>
      </c>
      <c r="K417" s="98">
        <f ca="1">HLOOKUP($H$4,'Met Data'!$O$2:$T$368,G417,FALSE)</f>
        <v>0.944748845250029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5" t="e">
        <f t="shared" ca="1" si="67"/>
        <v>#N/A</v>
      </c>
      <c r="AH417" s="65" t="e">
        <f t="shared" ca="1" si="68"/>
        <v>#N/A</v>
      </c>
      <c r="AI417" s="3" t="e">
        <f t="shared" ca="1" si="69"/>
        <v>#N/A</v>
      </c>
    </row>
    <row r="418" spans="7:35" x14ac:dyDescent="0.3">
      <c r="G418" s="3">
        <f t="shared" ca="1" si="64"/>
        <v>200</v>
      </c>
      <c r="H418" s="97">
        <f t="shared" ca="1" si="66"/>
        <v>45490</v>
      </c>
      <c r="I418" s="121">
        <f ca="1">HLOOKUP($H$4,'Met Data'!$A$2:$F$368,G418,FALSE)</f>
        <v>8.8450000000000006</v>
      </c>
      <c r="J418" s="121">
        <f ca="1">HLOOKUP($H$4,'Met Data'!$H$2:$M$368,G418,FALSE)*L418</f>
        <v>1.1000000000000001</v>
      </c>
      <c r="K418" s="98">
        <f ca="1">HLOOKUP($H$4,'Met Data'!$O$2:$T$368,G418,FALSE)</f>
        <v>1.0240187106181899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5" t="e">
        <f t="shared" ca="1" si="67"/>
        <v>#N/A</v>
      </c>
      <c r="AH418" s="65" t="e">
        <f t="shared" ca="1" si="68"/>
        <v>#N/A</v>
      </c>
      <c r="AI418" s="3" t="e">
        <f t="shared" ca="1" si="69"/>
        <v>#N/A</v>
      </c>
    </row>
    <row r="419" spans="7:35" x14ac:dyDescent="0.3">
      <c r="G419" s="3">
        <f t="shared" ca="1" si="64"/>
        <v>201</v>
      </c>
      <c r="H419" s="97">
        <f t="shared" ca="1" si="66"/>
        <v>45491</v>
      </c>
      <c r="I419" s="121">
        <f ca="1">HLOOKUP($H$4,'Met Data'!$A$2:$F$368,G419,FALSE)</f>
        <v>8.99166666666666</v>
      </c>
      <c r="J419" s="121">
        <f ca="1">HLOOKUP($H$4,'Met Data'!$H$2:$M$368,G419,FALSE)*L419</f>
        <v>1.3499999999999901</v>
      </c>
      <c r="K419" s="98">
        <f ca="1">HLOOKUP($H$4,'Met Data'!$O$2:$T$368,G419,FALSE)</f>
        <v>1.16174529470798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5" t="e">
        <f t="shared" ca="1" si="67"/>
        <v>#N/A</v>
      </c>
      <c r="AH419" s="65" t="e">
        <f t="shared" ca="1" si="68"/>
        <v>#N/A</v>
      </c>
      <c r="AI419" s="3" t="e">
        <f t="shared" ca="1" si="69"/>
        <v>#N/A</v>
      </c>
    </row>
    <row r="420" spans="7:35" x14ac:dyDescent="0.3">
      <c r="G420" s="3">
        <f t="shared" ca="1" si="64"/>
        <v>202</v>
      </c>
      <c r="H420" s="97">
        <f t="shared" ca="1" si="66"/>
        <v>45492</v>
      </c>
      <c r="I420" s="121">
        <f ca="1">HLOOKUP($H$4,'Met Data'!$A$2:$F$368,G420,FALSE)</f>
        <v>9.5</v>
      </c>
      <c r="J420" s="121">
        <f ca="1">HLOOKUP($H$4,'Met Data'!$H$2:$M$368,G420,FALSE)*L420</f>
        <v>2.75</v>
      </c>
      <c r="K420" s="98">
        <f ca="1">HLOOKUP($H$4,'Met Data'!$O$2:$T$368,G420,FALSE)</f>
        <v>0.94669865516537999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5" t="e">
        <f t="shared" ca="1" si="67"/>
        <v>#N/A</v>
      </c>
      <c r="AH420" s="65" t="e">
        <f t="shared" ca="1" si="68"/>
        <v>#N/A</v>
      </c>
      <c r="AI420" s="3" t="e">
        <f t="shared" ca="1" si="69"/>
        <v>#N/A</v>
      </c>
    </row>
    <row r="421" spans="7:35" x14ac:dyDescent="0.3">
      <c r="G421" s="3">
        <f t="shared" ca="1" si="64"/>
        <v>203</v>
      </c>
      <c r="H421" s="97">
        <f t="shared" ca="1" si="66"/>
        <v>45493</v>
      </c>
      <c r="I421" s="121">
        <f ca="1">HLOOKUP($H$4,'Met Data'!$A$2:$F$368,G421,FALSE)</f>
        <v>9.8333333333333304</v>
      </c>
      <c r="J421" s="121">
        <f ca="1">HLOOKUP($H$4,'Met Data'!$H$2:$M$368,G421,FALSE)*L421</f>
        <v>3.6333333333333302</v>
      </c>
      <c r="K421" s="98">
        <f ca="1">HLOOKUP($H$4,'Met Data'!$O$2:$T$368,G421,FALSE)</f>
        <v>1.0815395194790001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5" t="e">
        <f t="shared" ca="1" si="67"/>
        <v>#N/A</v>
      </c>
      <c r="AH421" s="65" t="e">
        <f t="shared" ca="1" si="68"/>
        <v>#N/A</v>
      </c>
      <c r="AI421" s="3" t="e">
        <f t="shared" ca="1" si="69"/>
        <v>#N/A</v>
      </c>
    </row>
    <row r="422" spans="7:35" x14ac:dyDescent="0.3">
      <c r="G422" s="3">
        <f t="shared" ca="1" si="64"/>
        <v>204</v>
      </c>
      <c r="H422" s="97">
        <f t="shared" ca="1" si="66"/>
        <v>45494</v>
      </c>
      <c r="I422" s="121">
        <f ca="1">HLOOKUP($H$4,'Met Data'!$A$2:$F$368,G422,FALSE)</f>
        <v>10.029166666666599</v>
      </c>
      <c r="J422" s="121">
        <f ca="1">HLOOKUP($H$4,'Met Data'!$H$2:$M$368,G422,FALSE)*L422</f>
        <v>4.68333333333333</v>
      </c>
      <c r="K422" s="98">
        <f ca="1">HLOOKUP($H$4,'Met Data'!$O$2:$T$368,G422,FALSE)</f>
        <v>1.0771273773513399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5" t="e">
        <f t="shared" ca="1" si="67"/>
        <v>#N/A</v>
      </c>
      <c r="AH422" s="65" t="e">
        <f t="shared" ca="1" si="68"/>
        <v>#N/A</v>
      </c>
      <c r="AI422" s="3" t="e">
        <f t="shared" ca="1" si="69"/>
        <v>#N/A</v>
      </c>
    </row>
    <row r="423" spans="7:35" x14ac:dyDescent="0.3">
      <c r="G423" s="3">
        <f t="shared" ca="1" si="64"/>
        <v>205</v>
      </c>
      <c r="H423" s="97">
        <f t="shared" ca="1" si="66"/>
        <v>45495</v>
      </c>
      <c r="I423" s="121">
        <f ca="1">HLOOKUP($H$4,'Met Data'!$A$2:$F$368,G423,FALSE)</f>
        <v>9.4250000000000007</v>
      </c>
      <c r="J423" s="121">
        <f ca="1">HLOOKUP($H$4,'Met Data'!$H$2:$M$368,G423,FALSE)*L423</f>
        <v>5.2666666666666604</v>
      </c>
      <c r="K423" s="98">
        <f ca="1">HLOOKUP($H$4,'Met Data'!$O$2:$T$368,G423,FALSE)</f>
        <v>0.87955885998233896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5" t="e">
        <f t="shared" ca="1" si="67"/>
        <v>#N/A</v>
      </c>
      <c r="AH423" s="65" t="e">
        <f t="shared" ca="1" si="68"/>
        <v>#N/A</v>
      </c>
      <c r="AI423" s="3" t="e">
        <f t="shared" ca="1" si="69"/>
        <v>#N/A</v>
      </c>
    </row>
    <row r="424" spans="7:35" x14ac:dyDescent="0.3">
      <c r="G424" s="3">
        <f t="shared" ca="1" si="64"/>
        <v>206</v>
      </c>
      <c r="H424" s="97">
        <f t="shared" ca="1" si="66"/>
        <v>45496</v>
      </c>
      <c r="I424" s="121">
        <f ca="1">HLOOKUP($H$4,'Met Data'!$A$2:$F$368,G424,FALSE)</f>
        <v>9.4</v>
      </c>
      <c r="J424" s="121">
        <f ca="1">HLOOKUP($H$4,'Met Data'!$H$2:$M$368,G424,FALSE)*L424</f>
        <v>2.0499999999999998</v>
      </c>
      <c r="K424" s="98">
        <f ca="1">HLOOKUP($H$4,'Met Data'!$O$2:$T$368,G424,FALSE)</f>
        <v>0.953998897248024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5" t="e">
        <f t="shared" ca="1" si="67"/>
        <v>#N/A</v>
      </c>
      <c r="AH424" s="65" t="e">
        <f t="shared" ca="1" si="68"/>
        <v>#N/A</v>
      </c>
      <c r="AI424" s="3" t="e">
        <f t="shared" ca="1" si="69"/>
        <v>#N/A</v>
      </c>
    </row>
    <row r="425" spans="7:35" x14ac:dyDescent="0.3">
      <c r="G425" s="3">
        <f t="shared" ca="1" si="64"/>
        <v>207</v>
      </c>
      <c r="H425" s="97">
        <f t="shared" ca="1" si="66"/>
        <v>45497</v>
      </c>
      <c r="I425" s="121">
        <f ca="1">HLOOKUP($H$4,'Met Data'!$A$2:$F$368,G425,FALSE)</f>
        <v>8.92916666666666</v>
      </c>
      <c r="J425" s="121">
        <f ca="1">HLOOKUP($H$4,'Met Data'!$H$2:$M$368,G425,FALSE)*L425</f>
        <v>1.1499999999999999</v>
      </c>
      <c r="K425" s="98">
        <f ca="1">HLOOKUP($H$4,'Met Data'!$O$2:$T$368,G425,FALSE)</f>
        <v>1.2467505566806001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5" t="e">
        <f t="shared" ca="1" si="67"/>
        <v>#N/A</v>
      </c>
      <c r="AH425" s="65" t="e">
        <f t="shared" ca="1" si="68"/>
        <v>#N/A</v>
      </c>
      <c r="AI425" s="3" t="e">
        <f t="shared" ca="1" si="69"/>
        <v>#N/A</v>
      </c>
    </row>
    <row r="426" spans="7:35" x14ac:dyDescent="0.3">
      <c r="G426" s="3">
        <f t="shared" ca="1" si="64"/>
        <v>208</v>
      </c>
      <c r="H426" s="97">
        <f t="shared" ca="1" si="66"/>
        <v>45498</v>
      </c>
      <c r="I426" s="121">
        <f ca="1">HLOOKUP($H$4,'Met Data'!$A$2:$F$368,G426,FALSE)</f>
        <v>8.7624999999999993</v>
      </c>
      <c r="J426" s="121">
        <f ca="1">HLOOKUP($H$4,'Met Data'!$H$2:$M$368,G426,FALSE)*L426</f>
        <v>0.45</v>
      </c>
      <c r="K426" s="98">
        <f ca="1">HLOOKUP($H$4,'Met Data'!$O$2:$T$368,G426,FALSE)</f>
        <v>1.3150067848265401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5" t="e">
        <f t="shared" ca="1" si="67"/>
        <v>#N/A</v>
      </c>
      <c r="AH426" s="65" t="e">
        <f t="shared" ca="1" si="68"/>
        <v>#N/A</v>
      </c>
      <c r="AI426" s="3" t="e">
        <f t="shared" ca="1" si="69"/>
        <v>#N/A</v>
      </c>
    </row>
    <row r="427" spans="7:35" x14ac:dyDescent="0.3">
      <c r="G427" s="3">
        <f t="shared" ca="1" si="64"/>
        <v>209</v>
      </c>
      <c r="H427" s="97">
        <f t="shared" ca="1" si="66"/>
        <v>45499</v>
      </c>
      <c r="I427" s="121">
        <f ca="1">HLOOKUP($H$4,'Met Data'!$A$2:$F$368,G427,FALSE)</f>
        <v>9.3333333333333304</v>
      </c>
      <c r="J427" s="121">
        <f ca="1">HLOOKUP($H$4,'Met Data'!$H$2:$M$368,G427,FALSE)*L427</f>
        <v>2.0166666666666599</v>
      </c>
      <c r="K427" s="98">
        <f ca="1">HLOOKUP($H$4,'Met Data'!$O$2:$T$368,G427,FALSE)</f>
        <v>1.11956275252086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5" t="e">
        <f t="shared" ca="1" si="67"/>
        <v>#N/A</v>
      </c>
      <c r="AH427" s="65" t="e">
        <f t="shared" ca="1" si="68"/>
        <v>#N/A</v>
      </c>
      <c r="AI427" s="3" t="e">
        <f t="shared" ca="1" si="69"/>
        <v>#N/A</v>
      </c>
    </row>
    <row r="428" spans="7:35" x14ac:dyDescent="0.3">
      <c r="G428" s="3">
        <f t="shared" ca="1" si="64"/>
        <v>210</v>
      </c>
      <c r="H428" s="97">
        <f t="shared" ca="1" si="66"/>
        <v>45500</v>
      </c>
      <c r="I428" s="121">
        <f ca="1">HLOOKUP($H$4,'Met Data'!$A$2:$F$368,G428,FALSE)</f>
        <v>8.9875000000000007</v>
      </c>
      <c r="J428" s="121">
        <f ca="1">HLOOKUP($H$4,'Met Data'!$H$2:$M$368,G428,FALSE)*L428</f>
        <v>1.2666666666666599</v>
      </c>
      <c r="K428" s="98">
        <f ca="1">HLOOKUP($H$4,'Met Data'!$O$2:$T$368,G428,FALSE)</f>
        <v>1.28515382274214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5" t="e">
        <f t="shared" ca="1" si="67"/>
        <v>#N/A</v>
      </c>
      <c r="AH428" s="65" t="e">
        <f t="shared" ca="1" si="68"/>
        <v>#N/A</v>
      </c>
      <c r="AI428" s="3" t="e">
        <f t="shared" ca="1" si="69"/>
        <v>#N/A</v>
      </c>
    </row>
    <row r="429" spans="7:35" x14ac:dyDescent="0.3">
      <c r="G429" s="3">
        <f t="shared" ca="1" si="64"/>
        <v>211</v>
      </c>
      <c r="H429" s="97">
        <f t="shared" ca="1" si="66"/>
        <v>45501</v>
      </c>
      <c r="I429" s="121">
        <f ca="1">HLOOKUP($H$4,'Met Data'!$A$2:$F$368,G429,FALSE)</f>
        <v>9.0374999999999996</v>
      </c>
      <c r="J429" s="121">
        <f ca="1">HLOOKUP($H$4,'Met Data'!$H$2:$M$368,G429,FALSE)*L429</f>
        <v>2.7999999999999901</v>
      </c>
      <c r="K429" s="98">
        <f ca="1">HLOOKUP($H$4,'Met Data'!$O$2:$T$368,G429,FALSE)</f>
        <v>1.1959337492079301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5" t="e">
        <f t="shared" ca="1" si="67"/>
        <v>#N/A</v>
      </c>
      <c r="AH429" s="65" t="e">
        <f t="shared" ca="1" si="68"/>
        <v>#N/A</v>
      </c>
      <c r="AI429" s="3" t="e">
        <f t="shared" ca="1" si="69"/>
        <v>#N/A</v>
      </c>
    </row>
    <row r="430" spans="7:35" x14ac:dyDescent="0.3">
      <c r="G430" s="3">
        <f t="shared" ca="1" si="64"/>
        <v>212</v>
      </c>
      <c r="H430" s="97">
        <f t="shared" ca="1" si="66"/>
        <v>45502</v>
      </c>
      <c r="I430" s="121">
        <f ca="1">HLOOKUP($H$4,'Met Data'!$A$2:$F$368,G430,FALSE)</f>
        <v>8.17916666666666</v>
      </c>
      <c r="J430" s="121">
        <f ca="1">HLOOKUP($H$4,'Met Data'!$H$2:$M$368,G430,FALSE)*L430</f>
        <v>1.55</v>
      </c>
      <c r="K430" s="98">
        <f ca="1">HLOOKUP($H$4,'Met Data'!$O$2:$T$368,G430,FALSE)</f>
        <v>1.3658842309244701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5" t="e">
        <f t="shared" ca="1" si="67"/>
        <v>#N/A</v>
      </c>
      <c r="AH430" s="65" t="e">
        <f t="shared" ca="1" si="68"/>
        <v>#N/A</v>
      </c>
      <c r="AI430" s="3" t="e">
        <f t="shared" ca="1" si="69"/>
        <v>#N/A</v>
      </c>
    </row>
    <row r="431" spans="7:35" x14ac:dyDescent="0.3">
      <c r="G431" s="3">
        <f t="shared" ca="1" si="64"/>
        <v>213</v>
      </c>
      <c r="H431" s="97">
        <f t="shared" ca="1" si="66"/>
        <v>45503</v>
      </c>
      <c r="I431" s="121">
        <f ca="1">HLOOKUP($H$4,'Met Data'!$A$2:$F$368,G431,FALSE)</f>
        <v>8.75</v>
      </c>
      <c r="J431" s="121">
        <f ca="1">HLOOKUP($H$4,'Met Data'!$H$2:$M$368,G431,FALSE)*L431</f>
        <v>2.44999999999999</v>
      </c>
      <c r="K431" s="98">
        <f ca="1">HLOOKUP($H$4,'Met Data'!$O$2:$T$368,G431,FALSE)</f>
        <v>0.89818915942500899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5" t="e">
        <f t="shared" ca="1" si="67"/>
        <v>#N/A</v>
      </c>
      <c r="AH431" s="65" t="e">
        <f t="shared" ca="1" si="68"/>
        <v>#N/A</v>
      </c>
      <c r="AI431" s="3" t="e">
        <f t="shared" ca="1" si="69"/>
        <v>#N/A</v>
      </c>
    </row>
    <row r="432" spans="7:35" x14ac:dyDescent="0.3">
      <c r="G432" s="3">
        <f t="shared" ca="1" si="64"/>
        <v>214</v>
      </c>
      <c r="H432" s="97">
        <f t="shared" ca="1" si="66"/>
        <v>45504</v>
      </c>
      <c r="I432" s="121">
        <f ca="1">HLOOKUP($H$4,'Met Data'!$A$2:$F$368,G432,FALSE)</f>
        <v>10.3375</v>
      </c>
      <c r="J432" s="121">
        <f ca="1">HLOOKUP($H$4,'Met Data'!$H$2:$M$368,G432,FALSE)*L432</f>
        <v>5.2666666666666604</v>
      </c>
      <c r="K432" s="98">
        <f ca="1">HLOOKUP($H$4,'Met Data'!$O$2:$T$368,G432,FALSE)</f>
        <v>0.94454335980482496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5" t="e">
        <f t="shared" ca="1" si="67"/>
        <v>#N/A</v>
      </c>
      <c r="AH432" s="65" t="e">
        <f t="shared" ca="1" si="68"/>
        <v>#N/A</v>
      </c>
      <c r="AI432" s="3" t="e">
        <f t="shared" ca="1" si="69"/>
        <v>#N/A</v>
      </c>
    </row>
    <row r="433" spans="7:35" x14ac:dyDescent="0.3">
      <c r="G433" s="3">
        <f t="shared" ca="1" si="64"/>
        <v>215</v>
      </c>
      <c r="H433" s="97">
        <f t="shared" ca="1" si="66"/>
        <v>45505</v>
      </c>
      <c r="I433" s="121">
        <f ca="1">HLOOKUP($H$4,'Met Data'!$A$2:$F$368,G433,FALSE)</f>
        <v>10.595454545454499</v>
      </c>
      <c r="J433" s="121">
        <f ca="1">HLOOKUP($H$4,'Met Data'!$H$2:$M$368,G433,FALSE)*L433</f>
        <v>4.4166666666666599</v>
      </c>
      <c r="K433" s="98">
        <f ca="1">HLOOKUP($H$4,'Met Data'!$O$2:$T$368,G433,FALSE)</f>
        <v>1.0832642567801201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5" t="e">
        <f t="shared" ca="1" si="67"/>
        <v>#N/A</v>
      </c>
      <c r="AH433" s="65" t="e">
        <f t="shared" ca="1" si="68"/>
        <v>#N/A</v>
      </c>
      <c r="AI433" s="3" t="e">
        <f t="shared" ca="1" si="69"/>
        <v>#N/A</v>
      </c>
    </row>
    <row r="434" spans="7:35" x14ac:dyDescent="0.3">
      <c r="G434" s="3">
        <f t="shared" ca="1" si="64"/>
        <v>216</v>
      </c>
      <c r="H434" s="97">
        <f t="shared" ca="1" si="66"/>
        <v>45506</v>
      </c>
      <c r="I434" s="121">
        <f ca="1">HLOOKUP($H$4,'Met Data'!$A$2:$F$368,G434,FALSE)</f>
        <v>10.1041666666666</v>
      </c>
      <c r="J434" s="121">
        <f ca="1">HLOOKUP($H$4,'Met Data'!$H$2:$M$368,G434,FALSE)*L434</f>
        <v>2.0833333333333299</v>
      </c>
      <c r="K434" s="98">
        <f ca="1">HLOOKUP($H$4,'Met Data'!$O$2:$T$368,G434,FALSE)</f>
        <v>1.39183263100002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5" t="e">
        <f t="shared" ca="1" si="67"/>
        <v>#N/A</v>
      </c>
      <c r="AH434" s="65" t="e">
        <f t="shared" ca="1" si="68"/>
        <v>#N/A</v>
      </c>
      <c r="AI434" s="3" t="e">
        <f t="shared" ca="1" si="69"/>
        <v>#N/A</v>
      </c>
    </row>
    <row r="435" spans="7:35" x14ac:dyDescent="0.3">
      <c r="G435" s="3">
        <f t="shared" ca="1" si="64"/>
        <v>217</v>
      </c>
      <c r="H435" s="97">
        <f t="shared" ca="1" si="66"/>
        <v>45507</v>
      </c>
      <c r="I435" s="121">
        <f ca="1">HLOOKUP($H$4,'Met Data'!$A$2:$F$368,G435,FALSE)</f>
        <v>10.1833333333333</v>
      </c>
      <c r="J435" s="121">
        <f ca="1">HLOOKUP($H$4,'Met Data'!$H$2:$M$368,G435,FALSE)*L435</f>
        <v>5.9833333333333298</v>
      </c>
      <c r="K435" s="98">
        <f ca="1">HLOOKUP($H$4,'Met Data'!$O$2:$T$368,G435,FALSE)</f>
        <v>1.0301492818772899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5" t="e">
        <f t="shared" ca="1" si="67"/>
        <v>#N/A</v>
      </c>
      <c r="AH435" s="65" t="e">
        <f t="shared" ca="1" si="68"/>
        <v>#N/A</v>
      </c>
      <c r="AI435" s="3" t="e">
        <f t="shared" ca="1" si="69"/>
        <v>#N/A</v>
      </c>
    </row>
    <row r="436" spans="7:35" x14ac:dyDescent="0.3">
      <c r="G436" s="3">
        <f t="shared" ca="1" si="64"/>
        <v>218</v>
      </c>
      <c r="H436" s="97">
        <f t="shared" ca="1" si="66"/>
        <v>45508</v>
      </c>
      <c r="I436" s="121">
        <f ca="1">HLOOKUP($H$4,'Met Data'!$A$2:$F$368,G436,FALSE)</f>
        <v>9.7708333333333304</v>
      </c>
      <c r="J436" s="121">
        <f ca="1">HLOOKUP($H$4,'Met Data'!$H$2:$M$368,G436,FALSE)*L436</f>
        <v>2.9833333333333298</v>
      </c>
      <c r="K436" s="98">
        <f ca="1">HLOOKUP($H$4,'Met Data'!$O$2:$T$368,G436,FALSE)</f>
        <v>1.3432284560273799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5" t="e">
        <f t="shared" ca="1" si="67"/>
        <v>#N/A</v>
      </c>
      <c r="AH436" s="65" t="e">
        <f t="shared" ca="1" si="68"/>
        <v>#N/A</v>
      </c>
      <c r="AI436" s="3" t="e">
        <f t="shared" ca="1" si="69"/>
        <v>#N/A</v>
      </c>
    </row>
    <row r="437" spans="7:35" x14ac:dyDescent="0.3">
      <c r="G437" s="3">
        <f t="shared" ca="1" si="64"/>
        <v>219</v>
      </c>
      <c r="H437" s="97">
        <f t="shared" ca="1" si="66"/>
        <v>45509</v>
      </c>
      <c r="I437" s="121">
        <f ca="1">HLOOKUP($H$4,'Met Data'!$A$2:$F$368,G437,FALSE)</f>
        <v>9.8791666666666593</v>
      </c>
      <c r="J437" s="121">
        <f ca="1">HLOOKUP($H$4,'Met Data'!$H$2:$M$368,G437,FALSE)*L437</f>
        <v>4.4833333333333298</v>
      </c>
      <c r="K437" s="98">
        <f ca="1">HLOOKUP($H$4,'Met Data'!$O$2:$T$368,G437,FALSE)</f>
        <v>1.0259838566514501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5" t="e">
        <f t="shared" ca="1" si="67"/>
        <v>#N/A</v>
      </c>
      <c r="AH437" s="65" t="e">
        <f t="shared" ca="1" si="68"/>
        <v>#N/A</v>
      </c>
      <c r="AI437" s="3" t="e">
        <f t="shared" ca="1" si="69"/>
        <v>#N/A</v>
      </c>
    </row>
    <row r="438" spans="7:35" x14ac:dyDescent="0.3">
      <c r="G438" s="3">
        <f t="shared" ca="1" si="64"/>
        <v>220</v>
      </c>
      <c r="H438" s="97">
        <f t="shared" ca="1" si="66"/>
        <v>45510</v>
      </c>
      <c r="I438" s="121">
        <f ca="1">HLOOKUP($H$4,'Met Data'!$A$2:$F$368,G438,FALSE)</f>
        <v>9.9874999999999901</v>
      </c>
      <c r="J438" s="121">
        <f ca="1">HLOOKUP($H$4,'Met Data'!$H$2:$M$368,G438,FALSE)*L438</f>
        <v>2.2000000000000002</v>
      </c>
      <c r="K438" s="98">
        <f ca="1">HLOOKUP($H$4,'Met Data'!$O$2:$T$368,G438,FALSE)</f>
        <v>1.1029484647982599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5" t="e">
        <f t="shared" ca="1" si="67"/>
        <v>#N/A</v>
      </c>
      <c r="AH438" s="65" t="e">
        <f t="shared" ca="1" si="68"/>
        <v>#N/A</v>
      </c>
      <c r="AI438" s="3" t="e">
        <f t="shared" ca="1" si="69"/>
        <v>#N/A</v>
      </c>
    </row>
    <row r="439" spans="7:35" x14ac:dyDescent="0.3">
      <c r="G439" s="3">
        <f t="shared" ca="1" si="64"/>
        <v>221</v>
      </c>
      <c r="H439" s="97">
        <f t="shared" ca="1" si="66"/>
        <v>45511</v>
      </c>
      <c r="I439" s="121">
        <f ca="1">HLOOKUP($H$4,'Met Data'!$A$2:$F$368,G439,FALSE)</f>
        <v>9.4625000000000004</v>
      </c>
      <c r="J439" s="121">
        <f ca="1">HLOOKUP($H$4,'Met Data'!$H$2:$M$368,G439,FALSE)*L439</f>
        <v>3.61666666666666</v>
      </c>
      <c r="K439" s="98">
        <f ca="1">HLOOKUP($H$4,'Met Data'!$O$2:$T$368,G439,FALSE)</f>
        <v>1.10790183862933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5" t="e">
        <f t="shared" ca="1" si="67"/>
        <v>#N/A</v>
      </c>
      <c r="AH439" s="65" t="e">
        <f t="shared" ca="1" si="68"/>
        <v>#N/A</v>
      </c>
      <c r="AI439" s="3" t="e">
        <f t="shared" ca="1" si="69"/>
        <v>#N/A</v>
      </c>
    </row>
    <row r="440" spans="7:35" x14ac:dyDescent="0.3">
      <c r="G440" s="3">
        <f t="shared" ca="1" si="64"/>
        <v>222</v>
      </c>
      <c r="H440" s="97">
        <f t="shared" ca="1" si="66"/>
        <v>45512</v>
      </c>
      <c r="I440" s="121">
        <f ca="1">HLOOKUP($H$4,'Met Data'!$A$2:$F$368,G440,FALSE)</f>
        <v>8.42916666666666</v>
      </c>
      <c r="J440" s="121">
        <f ca="1">HLOOKUP($H$4,'Met Data'!$H$2:$M$368,G440,FALSE)*L440</f>
        <v>3.4</v>
      </c>
      <c r="K440" s="98">
        <f ca="1">HLOOKUP($H$4,'Met Data'!$O$2:$T$368,G440,FALSE)</f>
        <v>1.32402542664303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5" t="e">
        <f t="shared" ca="1" si="67"/>
        <v>#N/A</v>
      </c>
      <c r="AH440" s="65" t="e">
        <f t="shared" ca="1" si="68"/>
        <v>#N/A</v>
      </c>
      <c r="AI440" s="3" t="e">
        <f t="shared" ca="1" si="69"/>
        <v>#N/A</v>
      </c>
    </row>
    <row r="441" spans="7:35" x14ac:dyDescent="0.3">
      <c r="G441" s="3">
        <f t="shared" ca="1" si="64"/>
        <v>223</v>
      </c>
      <c r="H441" s="97">
        <f t="shared" ca="1" si="66"/>
        <v>45513</v>
      </c>
      <c r="I441" s="121">
        <f ca="1">HLOOKUP($H$4,'Met Data'!$A$2:$F$368,G441,FALSE)</f>
        <v>7.8416666666666597</v>
      </c>
      <c r="J441" s="121">
        <f ca="1">HLOOKUP($H$4,'Met Data'!$H$2:$M$368,G441,FALSE)*L441</f>
        <v>1.38333333333333</v>
      </c>
      <c r="K441" s="98">
        <f ca="1">HLOOKUP($H$4,'Met Data'!$O$2:$T$368,G441,FALSE)</f>
        <v>1.2882274194230801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5" t="e">
        <f t="shared" ca="1" si="67"/>
        <v>#N/A</v>
      </c>
      <c r="AH441" s="65" t="e">
        <f t="shared" ca="1" si="68"/>
        <v>#N/A</v>
      </c>
      <c r="AI441" s="3" t="e">
        <f t="shared" ca="1" si="69"/>
        <v>#N/A</v>
      </c>
    </row>
    <row r="442" spans="7:35" x14ac:dyDescent="0.3">
      <c r="G442" s="3">
        <f t="shared" ca="1" si="64"/>
        <v>224</v>
      </c>
      <c r="H442" s="97">
        <f t="shared" ca="1" si="66"/>
        <v>45514</v>
      </c>
      <c r="I442" s="121">
        <f ca="1">HLOOKUP($H$4,'Met Data'!$A$2:$F$368,G442,FALSE)</f>
        <v>8.7916666666666607</v>
      </c>
      <c r="J442" s="121">
        <f ca="1">HLOOKUP($H$4,'Met Data'!$H$2:$M$368,G442,FALSE)*L442</f>
        <v>4.7</v>
      </c>
      <c r="K442" s="98">
        <f ca="1">HLOOKUP($H$4,'Met Data'!$O$2:$T$368,G442,FALSE)</f>
        <v>1.2700812995642401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5" t="e">
        <f t="shared" ca="1" si="67"/>
        <v>#N/A</v>
      </c>
      <c r="AH442" s="65" t="e">
        <f t="shared" ca="1" si="68"/>
        <v>#N/A</v>
      </c>
      <c r="AI442" s="3" t="e">
        <f t="shared" ca="1" si="69"/>
        <v>#N/A</v>
      </c>
    </row>
    <row r="443" spans="7:35" x14ac:dyDescent="0.3">
      <c r="G443" s="3">
        <f t="shared" ca="1" si="64"/>
        <v>225</v>
      </c>
      <c r="H443" s="97">
        <f t="shared" ca="1" si="66"/>
        <v>45515</v>
      </c>
      <c r="I443" s="121">
        <f ca="1">HLOOKUP($H$4,'Met Data'!$A$2:$F$368,G443,FALSE)</f>
        <v>9.2041666666666604</v>
      </c>
      <c r="J443" s="121">
        <f ca="1">HLOOKUP($H$4,'Met Data'!$H$2:$M$368,G443,FALSE)*L443</f>
        <v>4.9666666666666597</v>
      </c>
      <c r="K443" s="98">
        <f ca="1">HLOOKUP($H$4,'Met Data'!$O$2:$T$368,G443,FALSE)</f>
        <v>1.216678160996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5" t="e">
        <f t="shared" ca="1" si="67"/>
        <v>#N/A</v>
      </c>
      <c r="AH443" s="65" t="e">
        <f t="shared" ca="1" si="68"/>
        <v>#N/A</v>
      </c>
      <c r="AI443" s="3" t="e">
        <f t="shared" ca="1" si="69"/>
        <v>#N/A</v>
      </c>
    </row>
    <row r="444" spans="7:35" x14ac:dyDescent="0.3">
      <c r="G444" s="3">
        <f t="shared" ca="1" si="64"/>
        <v>226</v>
      </c>
      <c r="H444" s="97">
        <f t="shared" ca="1" si="66"/>
        <v>45516</v>
      </c>
      <c r="I444" s="121">
        <f ca="1">HLOOKUP($H$4,'Met Data'!$A$2:$F$368,G444,FALSE)</f>
        <v>9.49583333333333</v>
      </c>
      <c r="J444" s="121">
        <f ca="1">HLOOKUP($H$4,'Met Data'!$H$2:$M$368,G444,FALSE)*L444</f>
        <v>3.11666666666666</v>
      </c>
      <c r="K444" s="98">
        <f ca="1">HLOOKUP($H$4,'Met Data'!$O$2:$T$368,G444,FALSE)</f>
        <v>1.2041756804414001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5" t="e">
        <f t="shared" ca="1" si="67"/>
        <v>#N/A</v>
      </c>
      <c r="AH444" s="65" t="e">
        <f t="shared" ca="1" si="68"/>
        <v>#N/A</v>
      </c>
      <c r="AI444" s="3" t="e">
        <f t="shared" ca="1" si="69"/>
        <v>#N/A</v>
      </c>
    </row>
    <row r="445" spans="7:35" x14ac:dyDescent="0.3">
      <c r="G445" s="3">
        <f t="shared" ca="1" si="64"/>
        <v>227</v>
      </c>
      <c r="H445" s="97">
        <f t="shared" ca="1" si="66"/>
        <v>45517</v>
      </c>
      <c r="I445" s="121">
        <f ca="1">HLOOKUP($H$4,'Met Data'!$A$2:$F$368,G445,FALSE)</f>
        <v>9.7791666666666597</v>
      </c>
      <c r="J445" s="121">
        <f ca="1">HLOOKUP($H$4,'Met Data'!$H$2:$M$368,G445,FALSE)*L445</f>
        <v>6.7</v>
      </c>
      <c r="K445" s="98">
        <f ca="1">HLOOKUP($H$4,'Met Data'!$O$2:$T$368,G445,FALSE)</f>
        <v>1.1357294741412001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5" t="e">
        <f t="shared" ca="1" si="67"/>
        <v>#N/A</v>
      </c>
      <c r="AH445" s="65" t="e">
        <f t="shared" ca="1" si="68"/>
        <v>#N/A</v>
      </c>
      <c r="AI445" s="3" t="e">
        <f t="shared" ca="1" si="69"/>
        <v>#N/A</v>
      </c>
    </row>
    <row r="446" spans="7:35" x14ac:dyDescent="0.3">
      <c r="G446" s="3">
        <f t="shared" ca="1" si="64"/>
        <v>228</v>
      </c>
      <c r="H446" s="97">
        <f t="shared" ca="1" si="66"/>
        <v>45518</v>
      </c>
      <c r="I446" s="121">
        <f ca="1">HLOOKUP($H$4,'Met Data'!$A$2:$F$368,G446,FALSE)</f>
        <v>9.4375</v>
      </c>
      <c r="J446" s="121">
        <f ca="1">HLOOKUP($H$4,'Met Data'!$H$2:$M$368,G446,FALSE)*L446</f>
        <v>3.2833333333333301</v>
      </c>
      <c r="K446" s="98">
        <f ca="1">HLOOKUP($H$4,'Met Data'!$O$2:$T$368,G446,FALSE)</f>
        <v>1.2410385498851699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5" t="e">
        <f t="shared" ca="1" si="67"/>
        <v>#N/A</v>
      </c>
      <c r="AH446" s="65" t="e">
        <f t="shared" ca="1" si="68"/>
        <v>#N/A</v>
      </c>
      <c r="AI446" s="3" t="e">
        <f t="shared" ca="1" si="69"/>
        <v>#N/A</v>
      </c>
    </row>
    <row r="447" spans="7:35" x14ac:dyDescent="0.3">
      <c r="G447" s="3">
        <f t="shared" ca="1" si="64"/>
        <v>229</v>
      </c>
      <c r="H447" s="97">
        <f t="shared" ca="1" si="66"/>
        <v>45519</v>
      </c>
      <c r="I447" s="121">
        <f ca="1">HLOOKUP($H$4,'Met Data'!$A$2:$F$368,G447,FALSE)</f>
        <v>9.6999999999999993</v>
      </c>
      <c r="J447" s="121">
        <f ca="1">HLOOKUP($H$4,'Met Data'!$H$2:$M$368,G447,FALSE)*L447</f>
        <v>1.5999999999999901</v>
      </c>
      <c r="K447" s="98">
        <f ca="1">HLOOKUP($H$4,'Met Data'!$O$2:$T$368,G447,FALSE)</f>
        <v>1.30158376837533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5" t="e">
        <f t="shared" ca="1" si="67"/>
        <v>#N/A</v>
      </c>
      <c r="AH447" s="65" t="e">
        <f t="shared" ca="1" si="68"/>
        <v>#N/A</v>
      </c>
      <c r="AI447" s="3" t="e">
        <f t="shared" ca="1" si="69"/>
        <v>#N/A</v>
      </c>
    </row>
    <row r="448" spans="7:35" x14ac:dyDescent="0.3">
      <c r="G448" s="3">
        <f t="shared" ca="1" si="64"/>
        <v>230</v>
      </c>
      <c r="H448" s="97">
        <f t="shared" ca="1" si="66"/>
        <v>45520</v>
      </c>
      <c r="I448" s="121">
        <f ca="1">HLOOKUP($H$4,'Met Data'!$A$2:$F$368,G448,FALSE)</f>
        <v>9.61666666666666</v>
      </c>
      <c r="J448" s="121">
        <f ca="1">HLOOKUP($H$4,'Met Data'!$H$2:$M$368,G448,FALSE)*L448</f>
        <v>6.5999999999999899</v>
      </c>
      <c r="K448" s="98">
        <f ca="1">HLOOKUP($H$4,'Met Data'!$O$2:$T$368,G448,FALSE)</f>
        <v>1.3713845776081399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5" t="e">
        <f t="shared" ca="1" si="67"/>
        <v>#N/A</v>
      </c>
      <c r="AH448" s="65" t="e">
        <f t="shared" ca="1" si="68"/>
        <v>#N/A</v>
      </c>
      <c r="AI448" s="3" t="e">
        <f t="shared" ca="1" si="69"/>
        <v>#N/A</v>
      </c>
    </row>
    <row r="449" spans="7:35" x14ac:dyDescent="0.3">
      <c r="G449" s="3">
        <f t="shared" ca="1" si="64"/>
        <v>231</v>
      </c>
      <c r="H449" s="97">
        <f t="shared" ca="1" si="66"/>
        <v>45521</v>
      </c>
      <c r="I449" s="121">
        <f ca="1">HLOOKUP($H$4,'Met Data'!$A$2:$F$368,G449,FALSE)</f>
        <v>8.8333333333333304</v>
      </c>
      <c r="J449" s="121">
        <f ca="1">HLOOKUP($H$4,'Met Data'!$H$2:$M$368,G449,FALSE)*L449</f>
        <v>3.3</v>
      </c>
      <c r="K449" s="98">
        <f ca="1">HLOOKUP($H$4,'Met Data'!$O$2:$T$368,G449,FALSE)</f>
        <v>1.38797998518043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5" t="e">
        <f t="shared" ca="1" si="67"/>
        <v>#N/A</v>
      </c>
      <c r="AH449" s="65" t="e">
        <f t="shared" ca="1" si="68"/>
        <v>#N/A</v>
      </c>
      <c r="AI449" s="3" t="e">
        <f t="shared" ca="1" si="69"/>
        <v>#N/A</v>
      </c>
    </row>
    <row r="450" spans="7:35" x14ac:dyDescent="0.3">
      <c r="G450" s="3">
        <f t="shared" ca="1" si="64"/>
        <v>232</v>
      </c>
      <c r="H450" s="97">
        <f t="shared" ca="1" si="66"/>
        <v>45522</v>
      </c>
      <c r="I450" s="121">
        <f ca="1">HLOOKUP($H$4,'Met Data'!$A$2:$F$368,G450,FALSE)</f>
        <v>9.4833333333333307</v>
      </c>
      <c r="J450" s="121">
        <f ca="1">HLOOKUP($H$4,'Met Data'!$H$2:$M$368,G450,FALSE)*L450</f>
        <v>2.1333333333333302</v>
      </c>
      <c r="K450" s="98">
        <f ca="1">HLOOKUP($H$4,'Met Data'!$O$2:$T$368,G450,FALSE)</f>
        <v>1.56092628574794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5" t="e">
        <f t="shared" ca="1" si="67"/>
        <v>#N/A</v>
      </c>
      <c r="AH450" s="65" t="e">
        <f t="shared" ca="1" si="68"/>
        <v>#N/A</v>
      </c>
      <c r="AI450" s="3" t="e">
        <f t="shared" ca="1" si="69"/>
        <v>#N/A</v>
      </c>
    </row>
    <row r="451" spans="7:35" x14ac:dyDescent="0.3">
      <c r="G451" s="3">
        <f t="shared" ca="1" si="64"/>
        <v>233</v>
      </c>
      <c r="H451" s="97">
        <f t="shared" ca="1" si="66"/>
        <v>45523</v>
      </c>
      <c r="I451" s="121">
        <f ca="1">HLOOKUP($H$4,'Met Data'!$A$2:$F$368,G451,FALSE)</f>
        <v>9.2583333333333293</v>
      </c>
      <c r="J451" s="121">
        <f ca="1">HLOOKUP($H$4,'Met Data'!$H$2:$M$368,G451,FALSE)*L451</f>
        <v>3.65</v>
      </c>
      <c r="K451" s="98">
        <f ca="1">HLOOKUP($H$4,'Met Data'!$O$2:$T$368,G451,FALSE)</f>
        <v>1.4422774750484899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5" t="e">
        <f t="shared" ca="1" si="67"/>
        <v>#N/A</v>
      </c>
      <c r="AH451" s="65" t="e">
        <f t="shared" ca="1" si="68"/>
        <v>#N/A</v>
      </c>
      <c r="AI451" s="3" t="e">
        <f t="shared" ca="1" si="69"/>
        <v>#N/A</v>
      </c>
    </row>
    <row r="452" spans="7:35" x14ac:dyDescent="0.3">
      <c r="G452" s="3">
        <f t="shared" ca="1" si="64"/>
        <v>234</v>
      </c>
      <c r="H452" s="97">
        <f t="shared" ca="1" si="66"/>
        <v>45524</v>
      </c>
      <c r="I452" s="121">
        <f ca="1">HLOOKUP($H$4,'Met Data'!$A$2:$F$368,G452,FALSE)</f>
        <v>9.7708333333333304</v>
      </c>
      <c r="J452" s="121">
        <f ca="1">HLOOKUP($H$4,'Met Data'!$H$2:$M$368,G452,FALSE)*L452</f>
        <v>2.36666666666666</v>
      </c>
      <c r="K452" s="98">
        <f ca="1">HLOOKUP($H$4,'Met Data'!$O$2:$T$368,G452,FALSE)</f>
        <v>1.70464821639982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5" t="e">
        <f t="shared" ca="1" si="67"/>
        <v>#N/A</v>
      </c>
      <c r="AH452" s="65" t="e">
        <f t="shared" ca="1" si="68"/>
        <v>#N/A</v>
      </c>
      <c r="AI452" s="3" t="e">
        <f t="shared" ca="1" si="69"/>
        <v>#N/A</v>
      </c>
    </row>
    <row r="453" spans="7:35" x14ac:dyDescent="0.3">
      <c r="G453" s="3">
        <f t="shared" ca="1" si="64"/>
        <v>235</v>
      </c>
      <c r="H453" s="97">
        <f t="shared" ca="1" si="66"/>
        <v>45525</v>
      </c>
      <c r="I453" s="121">
        <f ca="1">HLOOKUP($H$4,'Met Data'!$A$2:$F$368,G453,FALSE)</f>
        <v>9.5208333333333304</v>
      </c>
      <c r="J453" s="121">
        <f ca="1">HLOOKUP($H$4,'Met Data'!$H$2:$M$368,G453,FALSE)*L453</f>
        <v>4.4666666666666597</v>
      </c>
      <c r="K453" s="98">
        <f ca="1">HLOOKUP($H$4,'Met Data'!$O$2:$T$368,G453,FALSE)</f>
        <v>1.6762831823304301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5" t="e">
        <f t="shared" ca="1" si="67"/>
        <v>#N/A</v>
      </c>
      <c r="AH453" s="65" t="e">
        <f t="shared" ca="1" si="68"/>
        <v>#N/A</v>
      </c>
      <c r="AI453" s="3" t="e">
        <f t="shared" ca="1" si="69"/>
        <v>#N/A</v>
      </c>
    </row>
    <row r="454" spans="7:35" x14ac:dyDescent="0.3">
      <c r="G454" s="3">
        <f t="shared" ca="1" si="64"/>
        <v>236</v>
      </c>
      <c r="H454" s="97">
        <f t="shared" ca="1" si="66"/>
        <v>45526</v>
      </c>
      <c r="I454" s="121">
        <f ca="1">HLOOKUP($H$4,'Met Data'!$A$2:$F$368,G454,FALSE)</f>
        <v>9.5791666666666604</v>
      </c>
      <c r="J454" s="121">
        <f ca="1">HLOOKUP($H$4,'Met Data'!$H$2:$M$368,G454,FALSE)*L454</f>
        <v>1.4833333333333301</v>
      </c>
      <c r="K454" s="98">
        <f ca="1">HLOOKUP($H$4,'Met Data'!$O$2:$T$368,G454,FALSE)</f>
        <v>1.44273965203753</v>
      </c>
      <c r="L454">
        <f t="shared" ref="L454:L495" ca="1" si="70">IF(H454&lt;$B$31,$J$3,$J$4)</f>
        <v>1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>
        <f t="shared" ref="AE454:AE495" ca="1" si="73">IFERROR(U454,0)</f>
        <v>0</v>
      </c>
      <c r="AG454" s="65" t="e">
        <f t="shared" ca="1" si="67"/>
        <v>#N/A</v>
      </c>
      <c r="AH454" s="65" t="e">
        <f t="shared" ca="1" si="68"/>
        <v>#N/A</v>
      </c>
      <c r="AI454" s="3" t="e">
        <f t="shared" ca="1" si="69"/>
        <v>#N/A</v>
      </c>
    </row>
    <row r="455" spans="7:35" x14ac:dyDescent="0.3">
      <c r="G455" s="3">
        <f t="shared" ref="G455:G495" ca="1" si="74">H455-DATE(YEAR(H455),1,0)+1</f>
        <v>237</v>
      </c>
      <c r="H455" s="97">
        <f t="shared" ca="1" si="66"/>
        <v>45527</v>
      </c>
      <c r="I455" s="121">
        <f ca="1">HLOOKUP($H$4,'Met Data'!$A$2:$F$368,G455,FALSE)</f>
        <v>9.8874999999999993</v>
      </c>
      <c r="J455" s="121">
        <f ca="1">HLOOKUP($H$4,'Met Data'!$H$2:$M$368,G455,FALSE)*L455</f>
        <v>0.56666666666666599</v>
      </c>
      <c r="K455" s="98">
        <f ca="1">HLOOKUP($H$4,'Met Data'!$O$2:$T$368,G455,FALSE)</f>
        <v>1.7386735184612501</v>
      </c>
      <c r="L455">
        <f t="shared" ca="1" si="70"/>
        <v>1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>
        <f t="shared" ca="1" si="73"/>
        <v>0</v>
      </c>
      <c r="AG455" s="65" t="e">
        <f t="shared" ca="1" si="67"/>
        <v>#N/A</v>
      </c>
      <c r="AH455" s="65" t="e">
        <f t="shared" ca="1" si="68"/>
        <v>#N/A</v>
      </c>
      <c r="AI455" s="3" t="e">
        <f t="shared" ca="1" si="69"/>
        <v>#N/A</v>
      </c>
    </row>
    <row r="456" spans="7:35" x14ac:dyDescent="0.3">
      <c r="G456" s="3">
        <f t="shared" ca="1" si="74"/>
        <v>238</v>
      </c>
      <c r="H456" s="97">
        <f t="shared" ref="H456:H519" ca="1" si="76">H455+1</f>
        <v>45528</v>
      </c>
      <c r="I456" s="121">
        <f ca="1">HLOOKUP($H$4,'Met Data'!$A$2:$F$368,G456,FALSE)</f>
        <v>9.7208333333333297</v>
      </c>
      <c r="J456" s="121">
        <f ca="1">HLOOKUP($H$4,'Met Data'!$H$2:$M$368,G456,FALSE)*L456</f>
        <v>2.4666666666666601</v>
      </c>
      <c r="K456" s="98">
        <f ca="1">HLOOKUP($H$4,'Met Data'!$O$2:$T$368,G456,FALSE)</f>
        <v>1.45538034550647</v>
      </c>
      <c r="L456">
        <f t="shared" ca="1" si="70"/>
        <v>1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5" t="e">
        <f t="shared" ca="1" si="67"/>
        <v>#N/A</v>
      </c>
      <c r="AH456" s="65" t="e">
        <f t="shared" ca="1" si="68"/>
        <v>#N/A</v>
      </c>
      <c r="AI456" s="3" t="e">
        <f t="shared" ca="1" si="69"/>
        <v>#N/A</v>
      </c>
    </row>
    <row r="457" spans="7:35" x14ac:dyDescent="0.3">
      <c r="G457" s="3">
        <f t="shared" ca="1" si="74"/>
        <v>239</v>
      </c>
      <c r="H457" s="97">
        <f t="shared" ca="1" si="76"/>
        <v>45529</v>
      </c>
      <c r="I457" s="121">
        <f ca="1">HLOOKUP($H$4,'Met Data'!$A$2:$F$368,G457,FALSE)</f>
        <v>10.716666666666599</v>
      </c>
      <c r="J457" s="121">
        <f ca="1">HLOOKUP($H$4,'Met Data'!$H$2:$M$368,G457,FALSE)*L457</f>
        <v>3.0666666666666602</v>
      </c>
      <c r="K457" s="98">
        <f ca="1">HLOOKUP($H$4,'Met Data'!$O$2:$T$368,G457,FALSE)</f>
        <v>1.4899612238642299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5" t="e">
        <f t="shared" ca="1" si="67"/>
        <v>#N/A</v>
      </c>
      <c r="AH457" s="65" t="e">
        <f t="shared" ca="1" si="68"/>
        <v>#N/A</v>
      </c>
      <c r="AI457" s="3" t="e">
        <f t="shared" ca="1" si="69"/>
        <v>#N/A</v>
      </c>
    </row>
    <row r="458" spans="7:35" x14ac:dyDescent="0.3">
      <c r="G458" s="3">
        <f t="shared" ca="1" si="74"/>
        <v>240</v>
      </c>
      <c r="H458" s="97">
        <f t="shared" ca="1" si="76"/>
        <v>45530</v>
      </c>
      <c r="I458" s="121">
        <f ca="1">HLOOKUP($H$4,'Met Data'!$A$2:$F$368,G458,FALSE)</f>
        <v>10.754166666666601</v>
      </c>
      <c r="J458" s="121">
        <f ca="1">HLOOKUP($H$4,'Met Data'!$H$2:$M$368,G458,FALSE)*L458</f>
        <v>1.0333333333333301</v>
      </c>
      <c r="K458" s="98">
        <f ca="1">HLOOKUP($H$4,'Met Data'!$O$2:$T$368,G458,FALSE)</f>
        <v>1.6543487023337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5" t="e">
        <f t="shared" ca="1" si="67"/>
        <v>#N/A</v>
      </c>
      <c r="AH458" s="65" t="e">
        <f t="shared" ca="1" si="68"/>
        <v>#N/A</v>
      </c>
      <c r="AI458" s="3" t="e">
        <f t="shared" ca="1" si="69"/>
        <v>#N/A</v>
      </c>
    </row>
    <row r="459" spans="7:35" x14ac:dyDescent="0.3">
      <c r="G459" s="3">
        <f t="shared" ca="1" si="74"/>
        <v>241</v>
      </c>
      <c r="H459" s="97">
        <f t="shared" ca="1" si="76"/>
        <v>45531</v>
      </c>
      <c r="I459" s="121">
        <f ca="1">HLOOKUP($H$4,'Met Data'!$A$2:$F$368,G459,FALSE)</f>
        <v>11.0833333333333</v>
      </c>
      <c r="J459" s="121">
        <f ca="1">HLOOKUP($H$4,'Met Data'!$H$2:$M$368,G459,FALSE)*L459</f>
        <v>1.9</v>
      </c>
      <c r="K459" s="98">
        <f ca="1">HLOOKUP($H$4,'Met Data'!$O$2:$T$368,G459,FALSE)</f>
        <v>1.6425180639822501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5" t="e">
        <f t="shared" ref="AG459:AG495" ca="1" si="77">Q458+S459+T459+U459</f>
        <v>#N/A</v>
      </c>
      <c r="AH459" s="65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 x14ac:dyDescent="0.3">
      <c r="G460" s="3">
        <f t="shared" ca="1" si="74"/>
        <v>242</v>
      </c>
      <c r="H460" s="97">
        <f t="shared" ca="1" si="76"/>
        <v>45532</v>
      </c>
      <c r="I460" s="121">
        <f ca="1">HLOOKUP($H$4,'Met Data'!$A$2:$F$368,G460,FALSE)</f>
        <v>10.5791666666666</v>
      </c>
      <c r="J460" s="121">
        <f ca="1">HLOOKUP($H$4,'Met Data'!$H$2:$M$368,G460,FALSE)*L460</f>
        <v>3.0166666666666599</v>
      </c>
      <c r="K460" s="98">
        <f ca="1">HLOOKUP($H$4,'Met Data'!$O$2:$T$368,G460,FALSE)</f>
        <v>1.5065040723285099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5" t="e">
        <f t="shared" ca="1" si="77"/>
        <v>#N/A</v>
      </c>
      <c r="AH460" s="65" t="e">
        <f t="shared" ca="1" si="78"/>
        <v>#N/A</v>
      </c>
      <c r="AI460" s="3" t="e">
        <f t="shared" ca="1" si="79"/>
        <v>#N/A</v>
      </c>
    </row>
    <row r="461" spans="7:35" x14ac:dyDescent="0.3">
      <c r="G461" s="3">
        <f t="shared" ca="1" si="74"/>
        <v>243</v>
      </c>
      <c r="H461" s="97">
        <f t="shared" ca="1" si="76"/>
        <v>45533</v>
      </c>
      <c r="I461" s="121">
        <f ca="1">HLOOKUP($H$4,'Met Data'!$A$2:$F$368,G461,FALSE)</f>
        <v>11.1208333333333</v>
      </c>
      <c r="J461" s="121">
        <f ca="1">HLOOKUP($H$4,'Met Data'!$H$2:$M$368,G461,FALSE)*L461</f>
        <v>1.56666666666666</v>
      </c>
      <c r="K461" s="98">
        <f ca="1">HLOOKUP($H$4,'Met Data'!$O$2:$T$368,G461,FALSE)</f>
        <v>1.7782422370636499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5" t="e">
        <f t="shared" ca="1" si="77"/>
        <v>#N/A</v>
      </c>
      <c r="AH461" s="65" t="e">
        <f t="shared" ca="1" si="78"/>
        <v>#N/A</v>
      </c>
      <c r="AI461" s="3" t="e">
        <f t="shared" ca="1" si="79"/>
        <v>#N/A</v>
      </c>
    </row>
    <row r="462" spans="7:35" x14ac:dyDescent="0.3">
      <c r="G462" s="3">
        <f t="shared" ca="1" si="74"/>
        <v>244</v>
      </c>
      <c r="H462" s="97">
        <f t="shared" ca="1" si="76"/>
        <v>45534</v>
      </c>
      <c r="I462" s="121">
        <f ca="1">HLOOKUP($H$4,'Met Data'!$A$2:$F$368,G462,FALSE)</f>
        <v>10.6666666666666</v>
      </c>
      <c r="J462" s="121">
        <f ca="1">HLOOKUP($H$4,'Met Data'!$H$2:$M$368,G462,FALSE)*L462</f>
        <v>1.7333333333333301</v>
      </c>
      <c r="K462" s="98">
        <f ca="1">HLOOKUP($H$4,'Met Data'!$O$2:$T$368,G462,FALSE)</f>
        <v>1.8075127039194601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5" t="e">
        <f t="shared" ca="1" si="77"/>
        <v>#N/A</v>
      </c>
      <c r="AH462" s="65" t="e">
        <f t="shared" ca="1" si="78"/>
        <v>#N/A</v>
      </c>
      <c r="AI462" s="3" t="e">
        <f t="shared" ca="1" si="79"/>
        <v>#N/A</v>
      </c>
    </row>
    <row r="463" spans="7:35" x14ac:dyDescent="0.3">
      <c r="G463" s="3">
        <f t="shared" ca="1" si="74"/>
        <v>245</v>
      </c>
      <c r="H463" s="97">
        <f t="shared" ca="1" si="76"/>
        <v>45535</v>
      </c>
      <c r="I463" s="121">
        <f ca="1">HLOOKUP($H$4,'Met Data'!$A$2:$F$368,G463,FALSE)</f>
        <v>10.1208333333333</v>
      </c>
      <c r="J463" s="121">
        <f ca="1">HLOOKUP($H$4,'Met Data'!$H$2:$M$368,G463,FALSE)*L463</f>
        <v>0.8</v>
      </c>
      <c r="K463" s="98">
        <f ca="1">HLOOKUP($H$4,'Met Data'!$O$2:$T$368,G463,FALSE)</f>
        <v>1.80445161149383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5" t="e">
        <f t="shared" ca="1" si="77"/>
        <v>#N/A</v>
      </c>
      <c r="AH463" s="65" t="e">
        <f t="shared" ca="1" si="78"/>
        <v>#N/A</v>
      </c>
      <c r="AI463" s="3" t="e">
        <f t="shared" ca="1" si="79"/>
        <v>#N/A</v>
      </c>
    </row>
    <row r="464" spans="7:35" x14ac:dyDescent="0.3">
      <c r="G464" s="3">
        <f t="shared" ca="1" si="74"/>
        <v>246</v>
      </c>
      <c r="H464" s="97">
        <f t="shared" ca="1" si="76"/>
        <v>45536</v>
      </c>
      <c r="I464" s="121">
        <f ca="1">HLOOKUP($H$4,'Met Data'!$A$2:$F$368,G464,FALSE)</f>
        <v>9.6624999999999996</v>
      </c>
      <c r="J464" s="121">
        <f ca="1">HLOOKUP($H$4,'Met Data'!$H$2:$M$368,G464,FALSE)*L464</f>
        <v>3.0833333333333299</v>
      </c>
      <c r="K464" s="98">
        <f ca="1">HLOOKUP($H$4,'Met Data'!$O$2:$T$368,G464,FALSE)</f>
        <v>1.4517482623371101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5" t="e">
        <f t="shared" ca="1" si="77"/>
        <v>#N/A</v>
      </c>
      <c r="AH464" s="65" t="e">
        <f t="shared" ca="1" si="78"/>
        <v>#N/A</v>
      </c>
      <c r="AI464" s="3" t="e">
        <f t="shared" ca="1" si="79"/>
        <v>#N/A</v>
      </c>
    </row>
    <row r="465" spans="7:35" x14ac:dyDescent="0.3">
      <c r="G465" s="3">
        <f t="shared" ca="1" si="74"/>
        <v>247</v>
      </c>
      <c r="H465" s="97">
        <f t="shared" ca="1" si="76"/>
        <v>45537</v>
      </c>
      <c r="I465" s="121">
        <f ca="1">HLOOKUP($H$4,'Met Data'!$A$2:$F$368,G465,FALSE)</f>
        <v>9.7541666666666593</v>
      </c>
      <c r="J465" s="121">
        <f ca="1">HLOOKUP($H$4,'Met Data'!$H$2:$M$368,G465,FALSE)*L465</f>
        <v>1.0833333333333299</v>
      </c>
      <c r="K465" s="98">
        <f ca="1">HLOOKUP($H$4,'Met Data'!$O$2:$T$368,G465,FALSE)</f>
        <v>1.75831978881469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5" t="e">
        <f t="shared" ca="1" si="77"/>
        <v>#N/A</v>
      </c>
      <c r="AH465" s="65" t="e">
        <f t="shared" ca="1" si="78"/>
        <v>#N/A</v>
      </c>
      <c r="AI465" s="3" t="e">
        <f t="shared" ca="1" si="79"/>
        <v>#N/A</v>
      </c>
    </row>
    <row r="466" spans="7:35" x14ac:dyDescent="0.3">
      <c r="G466" s="3">
        <f t="shared" ca="1" si="74"/>
        <v>248</v>
      </c>
      <c r="H466" s="97">
        <f t="shared" ca="1" si="76"/>
        <v>45538</v>
      </c>
      <c r="I466" s="121">
        <f ca="1">HLOOKUP($H$4,'Met Data'!$A$2:$F$368,G466,FALSE)</f>
        <v>10.0583333333333</v>
      </c>
      <c r="J466" s="121">
        <f ca="1">HLOOKUP($H$4,'Met Data'!$H$2:$M$368,G466,FALSE)*L466</f>
        <v>2.44999999999999</v>
      </c>
      <c r="K466" s="98">
        <f ca="1">HLOOKUP($H$4,'Met Data'!$O$2:$T$368,G466,FALSE)</f>
        <v>1.8005069619965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5" t="e">
        <f t="shared" ca="1" si="77"/>
        <v>#N/A</v>
      </c>
      <c r="AH466" s="65" t="e">
        <f t="shared" ca="1" si="78"/>
        <v>#N/A</v>
      </c>
      <c r="AI466" s="3" t="e">
        <f t="shared" ca="1" si="79"/>
        <v>#N/A</v>
      </c>
    </row>
    <row r="467" spans="7:35" x14ac:dyDescent="0.3">
      <c r="G467" s="3">
        <f t="shared" ca="1" si="74"/>
        <v>249</v>
      </c>
      <c r="H467" s="97">
        <f t="shared" ca="1" si="76"/>
        <v>45539</v>
      </c>
      <c r="I467" s="121">
        <f ca="1">HLOOKUP($H$4,'Met Data'!$A$2:$F$368,G467,FALSE)</f>
        <v>9.7750000000000004</v>
      </c>
      <c r="J467" s="121">
        <f ca="1">HLOOKUP($H$4,'Met Data'!$H$2:$M$368,G467,FALSE)*L467</f>
        <v>3.2</v>
      </c>
      <c r="K467" s="98">
        <f ca="1">HLOOKUP($H$4,'Met Data'!$O$2:$T$368,G467,FALSE)</f>
        <v>1.49919962363172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5" t="e">
        <f t="shared" ca="1" si="77"/>
        <v>#N/A</v>
      </c>
      <c r="AH467" s="65" t="e">
        <f t="shared" ca="1" si="78"/>
        <v>#N/A</v>
      </c>
      <c r="AI467" s="3" t="e">
        <f t="shared" ca="1" si="79"/>
        <v>#N/A</v>
      </c>
    </row>
    <row r="468" spans="7:35" x14ac:dyDescent="0.3">
      <c r="G468" s="3">
        <f t="shared" ca="1" si="74"/>
        <v>250</v>
      </c>
      <c r="H468" s="97">
        <f t="shared" ca="1" si="76"/>
        <v>45540</v>
      </c>
      <c r="I468" s="121">
        <f ca="1">HLOOKUP($H$4,'Met Data'!$A$2:$F$368,G468,FALSE)</f>
        <v>10.3333333333333</v>
      </c>
      <c r="J468" s="121">
        <f ca="1">HLOOKUP($H$4,'Met Data'!$H$2:$M$368,G468,FALSE)*L468</f>
        <v>5.93333333333333</v>
      </c>
      <c r="K468" s="98">
        <f ca="1">HLOOKUP($H$4,'Met Data'!$O$2:$T$368,G468,FALSE)</f>
        <v>1.4735664157819599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5" t="e">
        <f t="shared" ca="1" si="77"/>
        <v>#N/A</v>
      </c>
      <c r="AH468" s="65" t="e">
        <f t="shared" ca="1" si="78"/>
        <v>#N/A</v>
      </c>
      <c r="AI468" s="3" t="e">
        <f t="shared" ca="1" si="79"/>
        <v>#N/A</v>
      </c>
    </row>
    <row r="469" spans="7:35" x14ac:dyDescent="0.3">
      <c r="G469" s="3">
        <f t="shared" ca="1" si="74"/>
        <v>251</v>
      </c>
      <c r="H469" s="97">
        <f t="shared" ca="1" si="76"/>
        <v>45541</v>
      </c>
      <c r="I469" s="121">
        <f ca="1">HLOOKUP($H$4,'Met Data'!$A$2:$F$368,G469,FALSE)</f>
        <v>10.7708333333333</v>
      </c>
      <c r="J469" s="121">
        <f ca="1">HLOOKUP($H$4,'Met Data'!$H$2:$M$368,G469,FALSE)*L469</f>
        <v>1.2</v>
      </c>
      <c r="K469" s="98">
        <f ca="1">HLOOKUP($H$4,'Met Data'!$O$2:$T$368,G469,FALSE)</f>
        <v>1.8170202832795099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5" t="e">
        <f t="shared" ca="1" si="77"/>
        <v>#N/A</v>
      </c>
      <c r="AH469" s="65" t="e">
        <f t="shared" ca="1" si="78"/>
        <v>#N/A</v>
      </c>
      <c r="AI469" s="3" t="e">
        <f t="shared" ca="1" si="79"/>
        <v>#N/A</v>
      </c>
    </row>
    <row r="470" spans="7:35" x14ac:dyDescent="0.3">
      <c r="G470" s="3">
        <f t="shared" ca="1" si="74"/>
        <v>252</v>
      </c>
      <c r="H470" s="97">
        <f t="shared" ca="1" si="76"/>
        <v>45542</v>
      </c>
      <c r="I470" s="121">
        <f ca="1">HLOOKUP($H$4,'Met Data'!$A$2:$F$368,G470,FALSE)</f>
        <v>10.5791666666666</v>
      </c>
      <c r="J470" s="121">
        <f ca="1">HLOOKUP($H$4,'Met Data'!$H$2:$M$368,G470,FALSE)*L470</f>
        <v>0.88333333333333297</v>
      </c>
      <c r="K470" s="98">
        <f ca="1">HLOOKUP($H$4,'Met Data'!$O$2:$T$368,G470,FALSE)</f>
        <v>1.8773510693625799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5" t="e">
        <f t="shared" ca="1" si="77"/>
        <v>#N/A</v>
      </c>
      <c r="AH470" s="65" t="e">
        <f t="shared" ca="1" si="78"/>
        <v>#N/A</v>
      </c>
      <c r="AI470" s="3" t="e">
        <f t="shared" ca="1" si="79"/>
        <v>#N/A</v>
      </c>
    </row>
    <row r="471" spans="7:35" x14ac:dyDescent="0.3">
      <c r="G471" s="3">
        <f t="shared" ca="1" si="74"/>
        <v>253</v>
      </c>
      <c r="H471" s="97">
        <f t="shared" ca="1" si="76"/>
        <v>45543</v>
      </c>
      <c r="I471" s="121">
        <f ca="1">HLOOKUP($H$4,'Met Data'!$A$2:$F$368,G471,FALSE)</f>
        <v>9.6125000000000007</v>
      </c>
      <c r="J471" s="121">
        <f ca="1">HLOOKUP($H$4,'Met Data'!$H$2:$M$368,G471,FALSE)*L471</f>
        <v>4.36666666666666</v>
      </c>
      <c r="K471" s="98">
        <f ca="1">HLOOKUP($H$4,'Met Data'!$O$2:$T$368,G471,FALSE)</f>
        <v>1.8525160666589899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5" t="e">
        <f t="shared" ca="1" si="77"/>
        <v>#N/A</v>
      </c>
      <c r="AH471" s="65" t="e">
        <f t="shared" ca="1" si="78"/>
        <v>#N/A</v>
      </c>
      <c r="AI471" s="3" t="e">
        <f t="shared" ca="1" si="79"/>
        <v>#N/A</v>
      </c>
    </row>
    <row r="472" spans="7:35" x14ac:dyDescent="0.3">
      <c r="G472" s="3">
        <f t="shared" ca="1" si="74"/>
        <v>254</v>
      </c>
      <c r="H472" s="97">
        <f t="shared" ca="1" si="76"/>
        <v>45544</v>
      </c>
      <c r="I472" s="121">
        <f ca="1">HLOOKUP($H$4,'Met Data'!$A$2:$F$368,G472,FALSE)</f>
        <v>10.0875</v>
      </c>
      <c r="J472" s="121">
        <f ca="1">HLOOKUP($H$4,'Met Data'!$H$2:$M$368,G472,FALSE)*L472</f>
        <v>3.44999999999999</v>
      </c>
      <c r="K472" s="98">
        <f ca="1">HLOOKUP($H$4,'Met Data'!$O$2:$T$368,G472,FALSE)</f>
        <v>1.67590206119575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5" t="e">
        <f t="shared" ca="1" si="77"/>
        <v>#N/A</v>
      </c>
      <c r="AH472" s="65" t="e">
        <f t="shared" ca="1" si="78"/>
        <v>#N/A</v>
      </c>
      <c r="AI472" s="3" t="e">
        <f t="shared" ca="1" si="79"/>
        <v>#N/A</v>
      </c>
    </row>
    <row r="473" spans="7:35" x14ac:dyDescent="0.3">
      <c r="G473" s="3">
        <f t="shared" ca="1" si="74"/>
        <v>255</v>
      </c>
      <c r="H473" s="97">
        <f t="shared" ca="1" si="76"/>
        <v>45545</v>
      </c>
      <c r="I473" s="121">
        <f ca="1">HLOOKUP($H$4,'Met Data'!$A$2:$F$368,G473,FALSE)</f>
        <v>10.6416666666666</v>
      </c>
      <c r="J473" s="121">
        <f ca="1">HLOOKUP($H$4,'Met Data'!$H$2:$M$368,G473,FALSE)*L473</f>
        <v>6.4666666666666597</v>
      </c>
      <c r="K473" s="98">
        <f ca="1">HLOOKUP($H$4,'Met Data'!$O$2:$T$368,G473,FALSE)</f>
        <v>1.7070370554204599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5" t="e">
        <f t="shared" ca="1" si="77"/>
        <v>#N/A</v>
      </c>
      <c r="AH473" s="65" t="e">
        <f t="shared" ca="1" si="78"/>
        <v>#N/A</v>
      </c>
      <c r="AI473" s="3" t="e">
        <f t="shared" ca="1" si="79"/>
        <v>#N/A</v>
      </c>
    </row>
    <row r="474" spans="7:35" x14ac:dyDescent="0.3">
      <c r="G474" s="3">
        <f t="shared" ca="1" si="74"/>
        <v>256</v>
      </c>
      <c r="H474" s="97">
        <f t="shared" ca="1" si="76"/>
        <v>45546</v>
      </c>
      <c r="I474" s="121">
        <f ca="1">HLOOKUP($H$4,'Met Data'!$A$2:$F$368,G474,FALSE)</f>
        <v>10.4541666666666</v>
      </c>
      <c r="J474" s="121">
        <f ca="1">HLOOKUP($H$4,'Met Data'!$H$2:$M$368,G474,FALSE)*L474</f>
        <v>2.0166666666666599</v>
      </c>
      <c r="K474" s="98">
        <f ca="1">HLOOKUP($H$4,'Met Data'!$O$2:$T$368,G474,FALSE)</f>
        <v>1.9219866027073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5" t="e">
        <f t="shared" ca="1" si="77"/>
        <v>#N/A</v>
      </c>
      <c r="AH474" s="65" t="e">
        <f t="shared" ca="1" si="78"/>
        <v>#N/A</v>
      </c>
      <c r="AI474" s="3" t="e">
        <f t="shared" ca="1" si="79"/>
        <v>#N/A</v>
      </c>
    </row>
    <row r="475" spans="7:35" x14ac:dyDescent="0.3">
      <c r="G475" s="3">
        <f t="shared" ca="1" si="74"/>
        <v>257</v>
      </c>
      <c r="H475" s="97">
        <f t="shared" ca="1" si="76"/>
        <v>45547</v>
      </c>
      <c r="I475" s="121">
        <f ca="1">HLOOKUP($H$4,'Met Data'!$A$2:$F$368,G475,FALSE)</f>
        <v>11.216666666666599</v>
      </c>
      <c r="J475" s="121">
        <f ca="1">HLOOKUP($H$4,'Met Data'!$H$2:$M$368,G475,FALSE)*L475</f>
        <v>1.4833333333333301</v>
      </c>
      <c r="K475" s="98">
        <f ca="1">HLOOKUP($H$4,'Met Data'!$O$2:$T$368,G475,FALSE)</f>
        <v>1.86072433418519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5" t="e">
        <f t="shared" ca="1" si="77"/>
        <v>#N/A</v>
      </c>
      <c r="AH475" s="65" t="e">
        <f t="shared" ca="1" si="78"/>
        <v>#N/A</v>
      </c>
      <c r="AI475" s="3" t="e">
        <f t="shared" ca="1" si="79"/>
        <v>#N/A</v>
      </c>
    </row>
    <row r="476" spans="7:35" x14ac:dyDescent="0.3">
      <c r="G476" s="3">
        <f t="shared" ca="1" si="74"/>
        <v>258</v>
      </c>
      <c r="H476" s="97">
        <f t="shared" ca="1" si="76"/>
        <v>45548</v>
      </c>
      <c r="I476" s="121">
        <f ca="1">HLOOKUP($H$4,'Met Data'!$A$2:$F$368,G476,FALSE)</f>
        <v>11.1</v>
      </c>
      <c r="J476" s="121">
        <f ca="1">HLOOKUP($H$4,'Met Data'!$H$2:$M$368,G476,FALSE)*L476</f>
        <v>2.4166666666666599</v>
      </c>
      <c r="K476" s="98">
        <f ca="1">HLOOKUP($H$4,'Met Data'!$O$2:$T$368,G476,FALSE)</f>
        <v>1.6515892534407901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5" t="e">
        <f t="shared" ca="1" si="77"/>
        <v>#N/A</v>
      </c>
      <c r="AH476" s="65" t="e">
        <f t="shared" ca="1" si="78"/>
        <v>#N/A</v>
      </c>
      <c r="AI476" s="3" t="e">
        <f t="shared" ca="1" si="79"/>
        <v>#N/A</v>
      </c>
    </row>
    <row r="477" spans="7:35" x14ac:dyDescent="0.3">
      <c r="G477" s="3">
        <f t="shared" ca="1" si="74"/>
        <v>259</v>
      </c>
      <c r="H477" s="97">
        <f t="shared" ca="1" si="76"/>
        <v>45549</v>
      </c>
      <c r="I477" s="121">
        <f ca="1">HLOOKUP($H$4,'Met Data'!$A$2:$F$368,G477,FALSE)</f>
        <v>11.3708333333333</v>
      </c>
      <c r="J477" s="121">
        <f ca="1">HLOOKUP($H$4,'Met Data'!$H$2:$M$368,G477,FALSE)*L477</f>
        <v>1.3</v>
      </c>
      <c r="K477" s="98">
        <f ca="1">HLOOKUP($H$4,'Met Data'!$O$2:$T$368,G477,FALSE)</f>
        <v>1.8040111781852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5" t="e">
        <f t="shared" ca="1" si="77"/>
        <v>#N/A</v>
      </c>
      <c r="AH477" s="65" t="e">
        <f t="shared" ca="1" si="78"/>
        <v>#N/A</v>
      </c>
      <c r="AI477" s="3" t="e">
        <f t="shared" ca="1" si="79"/>
        <v>#N/A</v>
      </c>
    </row>
    <row r="478" spans="7:35" x14ac:dyDescent="0.3">
      <c r="G478" s="3">
        <f t="shared" ca="1" si="74"/>
        <v>260</v>
      </c>
      <c r="H478" s="97">
        <f t="shared" ca="1" si="76"/>
        <v>45550</v>
      </c>
      <c r="I478" s="121">
        <f ca="1">HLOOKUP($H$4,'Met Data'!$A$2:$F$368,G478,FALSE)</f>
        <v>11.2916666666666</v>
      </c>
      <c r="J478" s="121">
        <f ca="1">HLOOKUP($H$4,'Met Data'!$H$2:$M$368,G478,FALSE)*L478</f>
        <v>2.6</v>
      </c>
      <c r="K478" s="98">
        <f ca="1">HLOOKUP($H$4,'Met Data'!$O$2:$T$368,G478,FALSE)</f>
        <v>1.8880733064353601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5" t="e">
        <f t="shared" ca="1" si="77"/>
        <v>#N/A</v>
      </c>
      <c r="AH478" s="65" t="e">
        <f t="shared" ca="1" si="78"/>
        <v>#N/A</v>
      </c>
      <c r="AI478" s="3" t="e">
        <f t="shared" ca="1" si="79"/>
        <v>#N/A</v>
      </c>
    </row>
    <row r="479" spans="7:35" x14ac:dyDescent="0.3">
      <c r="G479" s="3">
        <f t="shared" ca="1" si="74"/>
        <v>261</v>
      </c>
      <c r="H479" s="97">
        <f t="shared" ca="1" si="76"/>
        <v>45551</v>
      </c>
      <c r="I479" s="121">
        <f ca="1">HLOOKUP($H$4,'Met Data'!$A$2:$F$368,G479,FALSE)</f>
        <v>12.2125</v>
      </c>
      <c r="J479" s="121">
        <f ca="1">HLOOKUP($H$4,'Met Data'!$H$2:$M$368,G479,FALSE)*L479</f>
        <v>4.5999999999999996</v>
      </c>
      <c r="K479" s="98">
        <f ca="1">HLOOKUP($H$4,'Met Data'!$O$2:$T$368,G479,FALSE)</f>
        <v>2.0382752192881299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5" t="e">
        <f t="shared" ca="1" si="77"/>
        <v>#N/A</v>
      </c>
      <c r="AH479" s="65" t="e">
        <f t="shared" ca="1" si="78"/>
        <v>#N/A</v>
      </c>
      <c r="AI479" s="3" t="e">
        <f t="shared" ca="1" si="79"/>
        <v>#N/A</v>
      </c>
    </row>
    <row r="480" spans="7:35" x14ac:dyDescent="0.3">
      <c r="G480" s="3">
        <f t="shared" ca="1" si="74"/>
        <v>262</v>
      </c>
      <c r="H480" s="97">
        <f t="shared" ca="1" si="76"/>
        <v>45552</v>
      </c>
      <c r="I480" s="121">
        <f ca="1">HLOOKUP($H$4,'Met Data'!$A$2:$F$368,G480,FALSE)</f>
        <v>11.35</v>
      </c>
      <c r="J480" s="121">
        <f ca="1">HLOOKUP($H$4,'Met Data'!$H$2:$M$368,G480,FALSE)*L480</f>
        <v>3.93333333333333</v>
      </c>
      <c r="K480" s="98">
        <f ca="1">HLOOKUP($H$4,'Met Data'!$O$2:$T$368,G480,FALSE)</f>
        <v>2.00744960029109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5" t="e">
        <f t="shared" ca="1" si="77"/>
        <v>#N/A</v>
      </c>
      <c r="AH480" s="65" t="e">
        <f t="shared" ca="1" si="78"/>
        <v>#N/A</v>
      </c>
      <c r="AI480" s="3" t="e">
        <f t="shared" ca="1" si="79"/>
        <v>#N/A</v>
      </c>
    </row>
    <row r="481" spans="7:35" x14ac:dyDescent="0.3">
      <c r="G481" s="3">
        <f t="shared" ca="1" si="74"/>
        <v>263</v>
      </c>
      <c r="H481" s="97">
        <f t="shared" ca="1" si="76"/>
        <v>45553</v>
      </c>
      <c r="I481" s="121">
        <f ca="1">HLOOKUP($H$4,'Met Data'!$A$2:$F$368,G481,FALSE)</f>
        <v>10.504166666666601</v>
      </c>
      <c r="J481" s="121">
        <f ca="1">HLOOKUP($H$4,'Met Data'!$H$2:$M$368,G481,FALSE)*L481</f>
        <v>8.7333333333333307</v>
      </c>
      <c r="K481" s="98">
        <f ca="1">HLOOKUP($H$4,'Met Data'!$O$2:$T$368,G481,FALSE)</f>
        <v>1.9387559167362001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5" t="e">
        <f t="shared" ca="1" si="77"/>
        <v>#N/A</v>
      </c>
      <c r="AH481" s="65" t="e">
        <f t="shared" ca="1" si="78"/>
        <v>#N/A</v>
      </c>
      <c r="AI481" s="3" t="e">
        <f t="shared" ca="1" si="79"/>
        <v>#N/A</v>
      </c>
    </row>
    <row r="482" spans="7:35" x14ac:dyDescent="0.3">
      <c r="G482" s="3">
        <f t="shared" ca="1" si="74"/>
        <v>264</v>
      </c>
      <c r="H482" s="97">
        <f t="shared" ca="1" si="76"/>
        <v>45554</v>
      </c>
      <c r="I482" s="121">
        <f ca="1">HLOOKUP($H$4,'Met Data'!$A$2:$F$368,G482,FALSE)</f>
        <v>10.387499999999999</v>
      </c>
      <c r="J482" s="121">
        <f ca="1">HLOOKUP($H$4,'Met Data'!$H$2:$M$368,G482,FALSE)*L482</f>
        <v>3.85</v>
      </c>
      <c r="K482" s="98">
        <f ca="1">HLOOKUP($H$4,'Met Data'!$O$2:$T$368,G482,FALSE)</f>
        <v>2.0861830094945102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5" t="e">
        <f t="shared" ca="1" si="77"/>
        <v>#N/A</v>
      </c>
      <c r="AH482" s="65" t="e">
        <f t="shared" ca="1" si="78"/>
        <v>#N/A</v>
      </c>
      <c r="AI482" s="3" t="e">
        <f t="shared" ca="1" si="79"/>
        <v>#N/A</v>
      </c>
    </row>
    <row r="483" spans="7:35" x14ac:dyDescent="0.3">
      <c r="G483" s="3">
        <f t="shared" ca="1" si="74"/>
        <v>265</v>
      </c>
      <c r="H483" s="97">
        <f t="shared" ca="1" si="76"/>
        <v>45555</v>
      </c>
      <c r="I483" s="121">
        <f ca="1">HLOOKUP($H$4,'Met Data'!$A$2:$F$368,G483,FALSE)</f>
        <v>9.85</v>
      </c>
      <c r="J483" s="121">
        <f ca="1">HLOOKUP($H$4,'Met Data'!$H$2:$M$368,G483,FALSE)*L483</f>
        <v>1.7999999999999901</v>
      </c>
      <c r="K483" s="98">
        <f ca="1">HLOOKUP($H$4,'Met Data'!$O$2:$T$368,G483,FALSE)</f>
        <v>2.1398164486974101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5" t="e">
        <f t="shared" ca="1" si="77"/>
        <v>#N/A</v>
      </c>
      <c r="AH483" s="65" t="e">
        <f t="shared" ca="1" si="78"/>
        <v>#N/A</v>
      </c>
      <c r="AI483" s="3" t="e">
        <f t="shared" ca="1" si="79"/>
        <v>#N/A</v>
      </c>
    </row>
    <row r="484" spans="7:35" x14ac:dyDescent="0.3">
      <c r="G484" s="3">
        <f t="shared" ca="1" si="74"/>
        <v>266</v>
      </c>
      <c r="H484" s="97">
        <f t="shared" ca="1" si="76"/>
        <v>45556</v>
      </c>
      <c r="I484" s="121">
        <f ca="1">HLOOKUP($H$4,'Met Data'!$A$2:$F$368,G484,FALSE)</f>
        <v>10.158333333333299</v>
      </c>
      <c r="J484" s="121">
        <f ca="1">HLOOKUP($H$4,'Met Data'!$H$2:$M$368,G484,FALSE)*L484</f>
        <v>3.93333333333333</v>
      </c>
      <c r="K484" s="98">
        <f ca="1">HLOOKUP($H$4,'Met Data'!$O$2:$T$368,G484,FALSE)</f>
        <v>2.31412085445224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5" t="e">
        <f t="shared" ca="1" si="77"/>
        <v>#N/A</v>
      </c>
      <c r="AH484" s="65" t="e">
        <f t="shared" ca="1" si="78"/>
        <v>#N/A</v>
      </c>
      <c r="AI484" s="3" t="e">
        <f t="shared" ca="1" si="79"/>
        <v>#N/A</v>
      </c>
    </row>
    <row r="485" spans="7:35" x14ac:dyDescent="0.3">
      <c r="G485" s="3">
        <f t="shared" ca="1" si="74"/>
        <v>267</v>
      </c>
      <c r="H485" s="97">
        <f t="shared" ca="1" si="76"/>
        <v>45557</v>
      </c>
      <c r="I485" s="121">
        <f ca="1">HLOOKUP($H$4,'Met Data'!$A$2:$F$368,G485,FALSE)</f>
        <v>10.9625</v>
      </c>
      <c r="J485" s="121">
        <f ca="1">HLOOKUP($H$4,'Met Data'!$H$2:$M$368,G485,FALSE)*L485</f>
        <v>1.86666666666666</v>
      </c>
      <c r="K485" s="98">
        <f ca="1">HLOOKUP($H$4,'Met Data'!$O$2:$T$368,G485,FALSE)</f>
        <v>2.2059606634486699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5" t="e">
        <f t="shared" ca="1" si="77"/>
        <v>#N/A</v>
      </c>
      <c r="AH485" s="65" t="e">
        <f t="shared" ca="1" si="78"/>
        <v>#N/A</v>
      </c>
      <c r="AI485" s="3" t="e">
        <f t="shared" ca="1" si="79"/>
        <v>#N/A</v>
      </c>
    </row>
    <row r="486" spans="7:35" x14ac:dyDescent="0.3">
      <c r="G486" s="3">
        <f t="shared" ca="1" si="74"/>
        <v>268</v>
      </c>
      <c r="H486" s="97">
        <f t="shared" ca="1" si="76"/>
        <v>45558</v>
      </c>
      <c r="I486" s="121">
        <f ca="1">HLOOKUP($H$4,'Met Data'!$A$2:$F$368,G486,FALSE)</f>
        <v>11.6458333333333</v>
      </c>
      <c r="J486" s="121">
        <f ca="1">HLOOKUP($H$4,'Met Data'!$H$2:$M$368,G486,FALSE)*L486</f>
        <v>5.5166666666666604</v>
      </c>
      <c r="K486" s="98">
        <f ca="1">HLOOKUP($H$4,'Met Data'!$O$2:$T$368,G486,FALSE)</f>
        <v>1.6755097599300399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5" t="e">
        <f t="shared" ca="1" si="77"/>
        <v>#N/A</v>
      </c>
      <c r="AH486" s="65" t="e">
        <f t="shared" ca="1" si="78"/>
        <v>#N/A</v>
      </c>
      <c r="AI486" s="3" t="e">
        <f t="shared" ca="1" si="79"/>
        <v>#N/A</v>
      </c>
    </row>
    <row r="487" spans="7:35" x14ac:dyDescent="0.3">
      <c r="G487" s="3">
        <f t="shared" ca="1" si="74"/>
        <v>269</v>
      </c>
      <c r="H487" s="97">
        <f t="shared" ca="1" si="76"/>
        <v>45559</v>
      </c>
      <c r="I487" s="121">
        <f ca="1">HLOOKUP($H$4,'Met Data'!$A$2:$F$368,G487,FALSE)</f>
        <v>12.112500000000001</v>
      </c>
      <c r="J487" s="121">
        <f ca="1">HLOOKUP($H$4,'Met Data'!$H$2:$M$368,G487,FALSE)*L487</f>
        <v>1.56666666666666</v>
      </c>
      <c r="K487" s="98">
        <f ca="1">HLOOKUP($H$4,'Met Data'!$O$2:$T$368,G487,FALSE)</f>
        <v>2.1669648664524801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5" t="e">
        <f t="shared" ca="1" si="77"/>
        <v>#N/A</v>
      </c>
      <c r="AH487" s="65" t="e">
        <f t="shared" ca="1" si="78"/>
        <v>#N/A</v>
      </c>
      <c r="AI487" s="3" t="e">
        <f t="shared" ca="1" si="79"/>
        <v>#N/A</v>
      </c>
    </row>
    <row r="488" spans="7:35" x14ac:dyDescent="0.3">
      <c r="G488" s="3">
        <f t="shared" ca="1" si="74"/>
        <v>270</v>
      </c>
      <c r="H488" s="97">
        <f t="shared" ca="1" si="76"/>
        <v>45560</v>
      </c>
      <c r="I488" s="121">
        <f ca="1">HLOOKUP($H$4,'Met Data'!$A$2:$F$368,G488,FALSE)</f>
        <v>11.6875</v>
      </c>
      <c r="J488" s="121">
        <f ca="1">HLOOKUP($H$4,'Met Data'!$H$2:$M$368,G488,FALSE)*L488</f>
        <v>1.0833333333333299</v>
      </c>
      <c r="K488" s="98">
        <f ca="1">HLOOKUP($H$4,'Met Data'!$O$2:$T$368,G488,FALSE)</f>
        <v>2.2423317945335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5" t="e">
        <f t="shared" ca="1" si="77"/>
        <v>#N/A</v>
      </c>
      <c r="AH488" s="65" t="e">
        <f t="shared" ca="1" si="78"/>
        <v>#N/A</v>
      </c>
      <c r="AI488" s="3" t="e">
        <f t="shared" ca="1" si="79"/>
        <v>#N/A</v>
      </c>
    </row>
    <row r="489" spans="7:35" x14ac:dyDescent="0.3">
      <c r="G489" s="3">
        <f t="shared" ca="1" si="74"/>
        <v>271</v>
      </c>
      <c r="H489" s="97">
        <f t="shared" ca="1" si="76"/>
        <v>45561</v>
      </c>
      <c r="I489" s="121">
        <f ca="1">HLOOKUP($H$4,'Met Data'!$A$2:$F$368,G489,FALSE)</f>
        <v>12.0541666666666</v>
      </c>
      <c r="J489" s="121">
        <f ca="1">HLOOKUP($H$4,'Met Data'!$H$2:$M$368,G489,FALSE)*L489</f>
        <v>1.05</v>
      </c>
      <c r="K489" s="98">
        <f ca="1">HLOOKUP($H$4,'Met Data'!$O$2:$T$368,G489,FALSE)</f>
        <v>2.4484809787012698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5" t="e">
        <f t="shared" ca="1" si="77"/>
        <v>#N/A</v>
      </c>
      <c r="AH489" s="65" t="e">
        <f t="shared" ca="1" si="78"/>
        <v>#N/A</v>
      </c>
      <c r="AI489" s="3" t="e">
        <f t="shared" ca="1" si="79"/>
        <v>#N/A</v>
      </c>
    </row>
    <row r="490" spans="7:35" x14ac:dyDescent="0.3">
      <c r="G490" s="3">
        <f t="shared" ca="1" si="74"/>
        <v>272</v>
      </c>
      <c r="H490" s="97">
        <f t="shared" ca="1" si="76"/>
        <v>45562</v>
      </c>
      <c r="I490" s="121">
        <f ca="1">HLOOKUP($H$4,'Met Data'!$A$2:$F$368,G490,FALSE)</f>
        <v>12.3291666666666</v>
      </c>
      <c r="J490" s="121">
        <f ca="1">HLOOKUP($H$4,'Met Data'!$H$2:$M$368,G490,FALSE)*L490</f>
        <v>5.1499999999999897</v>
      </c>
      <c r="K490" s="98">
        <f ca="1">HLOOKUP($H$4,'Met Data'!$O$2:$T$368,G490,FALSE)</f>
        <v>2.13295390564413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5" t="e">
        <f t="shared" ca="1" si="77"/>
        <v>#N/A</v>
      </c>
      <c r="AH490" s="65" t="e">
        <f t="shared" ca="1" si="78"/>
        <v>#N/A</v>
      </c>
      <c r="AI490" s="3" t="e">
        <f t="shared" ca="1" si="79"/>
        <v>#N/A</v>
      </c>
    </row>
    <row r="491" spans="7:35" x14ac:dyDescent="0.3">
      <c r="G491" s="3">
        <f t="shared" ca="1" si="74"/>
        <v>273</v>
      </c>
      <c r="H491" s="97">
        <f t="shared" ca="1" si="76"/>
        <v>45563</v>
      </c>
      <c r="I491" s="121">
        <f ca="1">HLOOKUP($H$4,'Met Data'!$A$2:$F$368,G491,FALSE)</f>
        <v>12.65</v>
      </c>
      <c r="J491" s="121">
        <f ca="1">HLOOKUP($H$4,'Met Data'!$H$2:$M$368,G491,FALSE)*L491</f>
        <v>2.15</v>
      </c>
      <c r="K491" s="98">
        <f ca="1">HLOOKUP($H$4,'Met Data'!$O$2:$T$368,G491,FALSE)</f>
        <v>2.3067555107961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5" t="e">
        <f t="shared" ca="1" si="77"/>
        <v>#N/A</v>
      </c>
      <c r="AH491" s="65" t="e">
        <f t="shared" ca="1" si="78"/>
        <v>#N/A</v>
      </c>
      <c r="AI491" s="3" t="e">
        <f t="shared" ca="1" si="79"/>
        <v>#N/A</v>
      </c>
    </row>
    <row r="492" spans="7:35" x14ac:dyDescent="0.3">
      <c r="G492" s="3">
        <f t="shared" ca="1" si="74"/>
        <v>274</v>
      </c>
      <c r="H492" s="97">
        <f t="shared" ca="1" si="76"/>
        <v>45564</v>
      </c>
      <c r="I492" s="121">
        <f ca="1">HLOOKUP($H$4,'Met Data'!$A$2:$F$368,G492,FALSE)</f>
        <v>12.5208333333333</v>
      </c>
      <c r="J492" s="121">
        <f ca="1">HLOOKUP($H$4,'Met Data'!$H$2:$M$368,G492,FALSE)*L492</f>
        <v>5.61666666666666</v>
      </c>
      <c r="K492" s="98">
        <f ca="1">HLOOKUP($H$4,'Met Data'!$O$2:$T$368,G492,FALSE)</f>
        <v>2.4465918649770302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5" t="e">
        <f t="shared" ca="1" si="77"/>
        <v>#N/A</v>
      </c>
      <c r="AH492" s="65" t="e">
        <f t="shared" ca="1" si="78"/>
        <v>#N/A</v>
      </c>
      <c r="AI492" s="3" t="e">
        <f t="shared" ca="1" si="79"/>
        <v>#N/A</v>
      </c>
    </row>
    <row r="493" spans="7:35" x14ac:dyDescent="0.3">
      <c r="G493" s="3">
        <f t="shared" ca="1" si="74"/>
        <v>275</v>
      </c>
      <c r="H493" s="97">
        <f t="shared" ca="1" si="76"/>
        <v>45565</v>
      </c>
      <c r="I493" s="121">
        <f ca="1">HLOOKUP($H$4,'Met Data'!$A$2:$F$368,G493,FALSE)</f>
        <v>11.65</v>
      </c>
      <c r="J493" s="121">
        <f ca="1">HLOOKUP($H$4,'Met Data'!$H$2:$M$368,G493,FALSE)*L493</f>
        <v>2.35</v>
      </c>
      <c r="K493" s="98">
        <f ca="1">HLOOKUP($H$4,'Met Data'!$O$2:$T$368,G493,FALSE)</f>
        <v>2.46735033441291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5" t="e">
        <f t="shared" ca="1" si="77"/>
        <v>#N/A</v>
      </c>
      <c r="AH493" s="65" t="e">
        <f t="shared" ca="1" si="78"/>
        <v>#N/A</v>
      </c>
      <c r="AI493" s="3" t="e">
        <f t="shared" ca="1" si="79"/>
        <v>#N/A</v>
      </c>
    </row>
    <row r="494" spans="7:35" x14ac:dyDescent="0.3">
      <c r="G494" s="3">
        <f t="shared" ca="1" si="74"/>
        <v>276</v>
      </c>
      <c r="H494" s="97">
        <f t="shared" ca="1" si="76"/>
        <v>45566</v>
      </c>
      <c r="I494" s="121">
        <f ca="1">HLOOKUP($H$4,'Met Data'!$A$2:$F$368,G494,FALSE)</f>
        <v>12.0166666666666</v>
      </c>
      <c r="J494" s="121">
        <f ca="1">HLOOKUP($H$4,'Met Data'!$H$2:$M$368,G494,FALSE)*L494</f>
        <v>2.2833333333333301</v>
      </c>
      <c r="K494" s="98">
        <f ca="1">HLOOKUP($H$4,'Met Data'!$O$2:$T$368,G494,FALSE)</f>
        <v>2.1199025888480301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5" t="e">
        <f t="shared" ca="1" si="77"/>
        <v>#N/A</v>
      </c>
      <c r="AH494" s="65" t="e">
        <f t="shared" ca="1" si="78"/>
        <v>#N/A</v>
      </c>
      <c r="AI494" s="3" t="e">
        <f t="shared" ca="1" si="79"/>
        <v>#N/A</v>
      </c>
    </row>
    <row r="495" spans="7:35" ht="15" thickBot="1" x14ac:dyDescent="0.35">
      <c r="G495" s="3">
        <f t="shared" ca="1" si="74"/>
        <v>277</v>
      </c>
      <c r="H495" s="99">
        <f t="shared" ca="1" si="76"/>
        <v>45567</v>
      </c>
      <c r="I495" s="123">
        <f ca="1">HLOOKUP($H$4,'Met Data'!$A$2:$F$368,G495,FALSE)</f>
        <v>12.941666666666601</v>
      </c>
      <c r="J495" s="121">
        <f ca="1">HLOOKUP($H$4,'Met Data'!$H$2:$M$368,G495,FALSE)*L495</f>
        <v>4.2666666666666604</v>
      </c>
      <c r="K495" s="100">
        <f ca="1">HLOOKUP($H$4,'Met Data'!$O$2:$T$368,G495,FALSE)</f>
        <v>2.6275875550097898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5" t="e">
        <f t="shared" ca="1" si="77"/>
        <v>#N/A</v>
      </c>
      <c r="AH495" s="65" t="e">
        <f t="shared" ca="1" si="78"/>
        <v>#N/A</v>
      </c>
      <c r="AI495" s="3" t="e">
        <f t="shared" ca="1" si="79"/>
        <v>#N/A</v>
      </c>
    </row>
    <row r="496" spans="7:35" ht="15" thickBot="1" x14ac:dyDescent="0.35">
      <c r="G496" s="3">
        <f t="shared" ref="G496:G559" ca="1" si="80">H496-DATE(YEAR(H496),1,0)+1</f>
        <v>278</v>
      </c>
      <c r="H496" s="99">
        <f t="shared" ca="1" si="76"/>
        <v>45568</v>
      </c>
      <c r="I496" s="123">
        <f ca="1">HLOOKUP($H$4,'Met Data'!$A$2:$F$368,G496,FALSE)</f>
        <v>11.95</v>
      </c>
      <c r="J496" s="121">
        <f ca="1">HLOOKUP($H$4,'Met Data'!$H$2:$M$368,G496,FALSE)*L496</f>
        <v>1.13333333333333</v>
      </c>
      <c r="K496" s="100">
        <f ca="1">HLOOKUP($H$4,'Met Data'!$O$2:$T$368,G496,FALSE)</f>
        <v>2.2251605523882798</v>
      </c>
      <c r="L496">
        <f t="shared" ref="L496:L559" ca="1" si="81">IF(H496&lt;$B$31,$J$3,$J$4)</f>
        <v>1</v>
      </c>
      <c r="N496" t="e">
        <f t="shared" ref="N496:N559" ca="1" si="82">IF(P496&lt;$P$3,TRUE,FALSE)</f>
        <v>#N/A</v>
      </c>
      <c r="O496" t="e">
        <f t="shared" ref="O496:O559" ca="1" si="83">AND(IF(P496&gt;($P$2-1),TRUE,FALSE),IF(P496&lt;($P$3+1),TRUE,FALSE))</f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ref="AD496:AD559" ca="1" si="84">IFERROR(P496,$AD$4)</f>
        <v>0</v>
      </c>
      <c r="AE496">
        <f t="shared" ref="AE496:AE559" ca="1" si="85">IFERROR(U496,0)</f>
        <v>0</v>
      </c>
      <c r="AG496" s="65" t="e">
        <f t="shared" ref="AG496:AG559" ca="1" si="86">Q495+S496+T496+U496</f>
        <v>#N/A</v>
      </c>
      <c r="AH496" s="65" t="e">
        <f t="shared" ref="AH496:AH559" ca="1" si="87">Q496+R496+X496</f>
        <v>#N/A</v>
      </c>
      <c r="AI496" s="3" t="e">
        <f t="shared" ref="AI496:AI559" ca="1" si="88">AH496-AG496</f>
        <v>#N/A</v>
      </c>
    </row>
    <row r="497" spans="7:35" ht="15" thickBot="1" x14ac:dyDescent="0.35">
      <c r="G497" s="3">
        <f t="shared" ca="1" si="80"/>
        <v>279</v>
      </c>
      <c r="H497" s="99">
        <f t="shared" ca="1" si="76"/>
        <v>45569</v>
      </c>
      <c r="I497" s="123">
        <f ca="1">HLOOKUP($H$4,'Met Data'!$A$2:$F$368,G497,FALSE)</f>
        <v>11.8958333333333</v>
      </c>
      <c r="J497" s="121">
        <f ca="1">HLOOKUP($H$4,'Met Data'!$H$2:$M$368,G497,FALSE)*L497</f>
        <v>2.0666666666666602</v>
      </c>
      <c r="K497" s="100">
        <f ca="1">HLOOKUP($H$4,'Met Data'!$O$2:$T$368,G497,FALSE)</f>
        <v>2.2142725820580198</v>
      </c>
      <c r="L497">
        <f t="shared" ca="1" si="81"/>
        <v>1</v>
      </c>
      <c r="N497" t="e">
        <f t="shared" ca="1" si="82"/>
        <v>#N/A</v>
      </c>
      <c r="O497" t="e">
        <f t="shared" ca="1" si="83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ca="1" si="84"/>
        <v>0</v>
      </c>
      <c r="AE497">
        <f t="shared" ca="1" si="85"/>
        <v>0</v>
      </c>
      <c r="AG497" s="65" t="e">
        <f t="shared" ca="1" si="86"/>
        <v>#N/A</v>
      </c>
      <c r="AH497" s="65" t="e">
        <f t="shared" ca="1" si="87"/>
        <v>#N/A</v>
      </c>
      <c r="AI497" s="3" t="e">
        <f t="shared" ca="1" si="88"/>
        <v>#N/A</v>
      </c>
    </row>
    <row r="498" spans="7:35" ht="15" thickBot="1" x14ac:dyDescent="0.35">
      <c r="G498" s="3">
        <f t="shared" ca="1" si="80"/>
        <v>280</v>
      </c>
      <c r="H498" s="99">
        <f t="shared" ca="1" si="76"/>
        <v>45570</v>
      </c>
      <c r="I498" s="123">
        <f ca="1">HLOOKUP($H$4,'Met Data'!$A$2:$F$368,G498,FALSE)</f>
        <v>11.8333333333333</v>
      </c>
      <c r="J498" s="121">
        <f ca="1">HLOOKUP($H$4,'Met Data'!$H$2:$M$368,G498,FALSE)*L498</f>
        <v>1.43333333333333</v>
      </c>
      <c r="K498" s="100">
        <f ca="1">HLOOKUP($H$4,'Met Data'!$O$2:$T$368,G498,FALSE)</f>
        <v>2.5217662070296001</v>
      </c>
      <c r="L498">
        <f t="shared" ca="1" si="81"/>
        <v>1</v>
      </c>
      <c r="N498" t="e">
        <f t="shared" ca="1" si="82"/>
        <v>#N/A</v>
      </c>
      <c r="O498" t="e">
        <f t="shared" ca="1" si="83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4"/>
        <v>0</v>
      </c>
      <c r="AE498">
        <f t="shared" ca="1" si="85"/>
        <v>0</v>
      </c>
      <c r="AG498" s="65" t="e">
        <f t="shared" ca="1" si="86"/>
        <v>#N/A</v>
      </c>
      <c r="AH498" s="65" t="e">
        <f t="shared" ca="1" si="87"/>
        <v>#N/A</v>
      </c>
      <c r="AI498" s="3" t="e">
        <f t="shared" ca="1" si="88"/>
        <v>#N/A</v>
      </c>
    </row>
    <row r="499" spans="7:35" ht="15" thickBot="1" x14ac:dyDescent="0.35">
      <c r="G499" s="3">
        <f t="shared" ca="1" si="80"/>
        <v>281</v>
      </c>
      <c r="H499" s="99">
        <f t="shared" ca="1" si="76"/>
        <v>45571</v>
      </c>
      <c r="I499" s="123">
        <f ca="1">HLOOKUP($H$4,'Met Data'!$A$2:$F$368,G499,FALSE)</f>
        <v>12.133333333333301</v>
      </c>
      <c r="J499" s="121">
        <f ca="1">HLOOKUP($H$4,'Met Data'!$H$2:$M$368,G499,FALSE)*L499</f>
        <v>1.5</v>
      </c>
      <c r="K499" s="100">
        <f ca="1">HLOOKUP($H$4,'Met Data'!$O$2:$T$368,G499,FALSE)</f>
        <v>2.4929362431341402</v>
      </c>
      <c r="L499">
        <f t="shared" ca="1" si="81"/>
        <v>1</v>
      </c>
      <c r="N499" t="e">
        <f t="shared" ca="1" si="82"/>
        <v>#N/A</v>
      </c>
      <c r="O499" t="e">
        <f t="shared" ca="1" si="83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4"/>
        <v>0</v>
      </c>
      <c r="AE499">
        <f t="shared" ca="1" si="85"/>
        <v>0</v>
      </c>
      <c r="AG499" s="65" t="e">
        <f t="shared" ca="1" si="86"/>
        <v>#N/A</v>
      </c>
      <c r="AH499" s="65" t="e">
        <f t="shared" ca="1" si="87"/>
        <v>#N/A</v>
      </c>
      <c r="AI499" s="3" t="e">
        <f t="shared" ca="1" si="88"/>
        <v>#N/A</v>
      </c>
    </row>
    <row r="500" spans="7:35" ht="15" thickBot="1" x14ac:dyDescent="0.35">
      <c r="G500" s="3">
        <f t="shared" ca="1" si="80"/>
        <v>282</v>
      </c>
      <c r="H500" s="99">
        <f t="shared" ca="1" si="76"/>
        <v>45572</v>
      </c>
      <c r="I500" s="123">
        <f ca="1">HLOOKUP($H$4,'Met Data'!$A$2:$F$368,G500,FALSE)</f>
        <v>11.8708333333333</v>
      </c>
      <c r="J500" s="121">
        <f ca="1">HLOOKUP($H$4,'Met Data'!$H$2:$M$368,G500,FALSE)*L500</f>
        <v>4.18333333333333</v>
      </c>
      <c r="K500" s="100">
        <f ca="1">HLOOKUP($H$4,'Met Data'!$O$2:$T$368,G500,FALSE)</f>
        <v>2.0932595279969002</v>
      </c>
      <c r="L500">
        <f t="shared" ca="1" si="81"/>
        <v>1</v>
      </c>
      <c r="N500" t="e">
        <f t="shared" ca="1" si="82"/>
        <v>#N/A</v>
      </c>
      <c r="O500" t="e">
        <f t="shared" ca="1" si="83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4"/>
        <v>0</v>
      </c>
      <c r="AE500">
        <f t="shared" ca="1" si="85"/>
        <v>0</v>
      </c>
      <c r="AG500" s="65" t="e">
        <f t="shared" ca="1" si="86"/>
        <v>#N/A</v>
      </c>
      <c r="AH500" s="65" t="e">
        <f t="shared" ca="1" si="87"/>
        <v>#N/A</v>
      </c>
      <c r="AI500" s="3" t="e">
        <f t="shared" ca="1" si="88"/>
        <v>#N/A</v>
      </c>
    </row>
    <row r="501" spans="7:35" ht="15" thickBot="1" x14ac:dyDescent="0.35">
      <c r="G501" s="3">
        <f t="shared" ca="1" si="80"/>
        <v>283</v>
      </c>
      <c r="H501" s="99">
        <f t="shared" ca="1" si="76"/>
        <v>45573</v>
      </c>
      <c r="I501" s="123">
        <f ca="1">HLOOKUP($H$4,'Met Data'!$A$2:$F$368,G501,FALSE)</f>
        <v>11.529166666666599</v>
      </c>
      <c r="J501" s="121">
        <f ca="1">HLOOKUP($H$4,'Met Data'!$H$2:$M$368,G501,FALSE)*L501</f>
        <v>2.2166666666666601</v>
      </c>
      <c r="K501" s="100">
        <f ca="1">HLOOKUP($H$4,'Met Data'!$O$2:$T$368,G501,FALSE)</f>
        <v>2.3166472445358202</v>
      </c>
      <c r="L501">
        <f t="shared" ca="1" si="81"/>
        <v>1</v>
      </c>
      <c r="N501" t="e">
        <f t="shared" ca="1" si="82"/>
        <v>#N/A</v>
      </c>
      <c r="O501" t="e">
        <f t="shared" ca="1" si="83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4"/>
        <v>0</v>
      </c>
      <c r="AE501">
        <f t="shared" ca="1" si="85"/>
        <v>0</v>
      </c>
      <c r="AG501" s="65" t="e">
        <f t="shared" ca="1" si="86"/>
        <v>#N/A</v>
      </c>
      <c r="AH501" s="65" t="e">
        <f t="shared" ca="1" si="87"/>
        <v>#N/A</v>
      </c>
      <c r="AI501" s="3" t="e">
        <f t="shared" ca="1" si="88"/>
        <v>#N/A</v>
      </c>
    </row>
    <row r="502" spans="7:35" ht="15" thickBot="1" x14ac:dyDescent="0.35">
      <c r="G502" s="3">
        <f t="shared" ca="1" si="80"/>
        <v>284</v>
      </c>
      <c r="H502" s="99">
        <f t="shared" ca="1" si="76"/>
        <v>45574</v>
      </c>
      <c r="I502" s="123">
        <f ca="1">HLOOKUP($H$4,'Met Data'!$A$2:$F$368,G502,FALSE)</f>
        <v>11.316666666666601</v>
      </c>
      <c r="J502" s="121">
        <f ca="1">HLOOKUP($H$4,'Met Data'!$H$2:$M$368,G502,FALSE)*L502</f>
        <v>2.9833333333333298</v>
      </c>
      <c r="K502" s="100">
        <f ca="1">HLOOKUP($H$4,'Met Data'!$O$2:$T$368,G502,FALSE)</f>
        <v>2.57259273420483</v>
      </c>
      <c r="L502">
        <f t="shared" ca="1" si="81"/>
        <v>1</v>
      </c>
      <c r="N502" t="e">
        <f t="shared" ca="1" si="82"/>
        <v>#N/A</v>
      </c>
      <c r="O502" t="e">
        <f t="shared" ca="1" si="83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4"/>
        <v>0</v>
      </c>
      <c r="AE502">
        <f t="shared" ca="1" si="85"/>
        <v>0</v>
      </c>
      <c r="AG502" s="65" t="e">
        <f t="shared" ca="1" si="86"/>
        <v>#N/A</v>
      </c>
      <c r="AH502" s="65" t="e">
        <f t="shared" ca="1" si="87"/>
        <v>#N/A</v>
      </c>
      <c r="AI502" s="3" t="e">
        <f t="shared" ca="1" si="88"/>
        <v>#N/A</v>
      </c>
    </row>
    <row r="503" spans="7:35" ht="15" thickBot="1" x14ac:dyDescent="0.35">
      <c r="G503" s="3">
        <f t="shared" ca="1" si="80"/>
        <v>285</v>
      </c>
      <c r="H503" s="99">
        <f t="shared" ca="1" si="76"/>
        <v>45575</v>
      </c>
      <c r="I503" s="123">
        <f ca="1">HLOOKUP($H$4,'Met Data'!$A$2:$F$368,G503,FALSE)</f>
        <v>12.466666666666599</v>
      </c>
      <c r="J503" s="121">
        <f ca="1">HLOOKUP($H$4,'Met Data'!$H$2:$M$368,G503,FALSE)*L503</f>
        <v>3.5333333333333301</v>
      </c>
      <c r="K503" s="100">
        <f ca="1">HLOOKUP($H$4,'Met Data'!$O$2:$T$368,G503,FALSE)</f>
        <v>2.44735536591925</v>
      </c>
      <c r="L503">
        <f t="shared" ca="1" si="81"/>
        <v>1</v>
      </c>
      <c r="N503" t="e">
        <f t="shared" ca="1" si="82"/>
        <v>#N/A</v>
      </c>
      <c r="O503" t="e">
        <f t="shared" ca="1" si="83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4"/>
        <v>0</v>
      </c>
      <c r="AE503">
        <f t="shared" ca="1" si="85"/>
        <v>0</v>
      </c>
      <c r="AG503" s="65" t="e">
        <f t="shared" ca="1" si="86"/>
        <v>#N/A</v>
      </c>
      <c r="AH503" s="65" t="e">
        <f t="shared" ca="1" si="87"/>
        <v>#N/A</v>
      </c>
      <c r="AI503" s="3" t="e">
        <f t="shared" ca="1" si="88"/>
        <v>#N/A</v>
      </c>
    </row>
    <row r="504" spans="7:35" ht="15" thickBot="1" x14ac:dyDescent="0.35">
      <c r="G504" s="3">
        <f t="shared" ca="1" si="80"/>
        <v>286</v>
      </c>
      <c r="H504" s="99">
        <f t="shared" ca="1" si="76"/>
        <v>45576</v>
      </c>
      <c r="I504" s="123">
        <f ca="1">HLOOKUP($H$4,'Met Data'!$A$2:$F$368,G504,FALSE)</f>
        <v>12.566666666666601</v>
      </c>
      <c r="J504" s="121">
        <f ca="1">HLOOKUP($H$4,'Met Data'!$H$2:$M$368,G504,FALSE)*L504</f>
        <v>1.88333333333333</v>
      </c>
      <c r="K504" s="100">
        <f ca="1">HLOOKUP($H$4,'Met Data'!$O$2:$T$368,G504,FALSE)</f>
        <v>2.6706436990123898</v>
      </c>
      <c r="L504">
        <f t="shared" ca="1" si="81"/>
        <v>1</v>
      </c>
      <c r="N504" t="e">
        <f t="shared" ca="1" si="82"/>
        <v>#N/A</v>
      </c>
      <c r="O504" t="e">
        <f t="shared" ca="1" si="83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4"/>
        <v>0</v>
      </c>
      <c r="AE504">
        <f t="shared" ca="1" si="85"/>
        <v>0</v>
      </c>
      <c r="AG504" s="65" t="e">
        <f t="shared" ca="1" si="86"/>
        <v>#N/A</v>
      </c>
      <c r="AH504" s="65" t="e">
        <f t="shared" ca="1" si="87"/>
        <v>#N/A</v>
      </c>
      <c r="AI504" s="3" t="e">
        <f t="shared" ca="1" si="88"/>
        <v>#N/A</v>
      </c>
    </row>
    <row r="505" spans="7:35" ht="15" thickBot="1" x14ac:dyDescent="0.35">
      <c r="G505" s="3">
        <f t="shared" ca="1" si="80"/>
        <v>287</v>
      </c>
      <c r="H505" s="99">
        <f t="shared" ca="1" si="76"/>
        <v>45577</v>
      </c>
      <c r="I505" s="123">
        <f ca="1">HLOOKUP($H$4,'Met Data'!$A$2:$F$368,G505,FALSE)</f>
        <v>12.133333333333301</v>
      </c>
      <c r="J505" s="121">
        <f ca="1">HLOOKUP($H$4,'Met Data'!$H$2:$M$368,G505,FALSE)*L505</f>
        <v>2.6666666666666599</v>
      </c>
      <c r="K505" s="100">
        <f ca="1">HLOOKUP($H$4,'Met Data'!$O$2:$T$368,G505,FALSE)</f>
        <v>1.9257972512671799</v>
      </c>
      <c r="L505">
        <f t="shared" ca="1" si="81"/>
        <v>1</v>
      </c>
      <c r="N505" t="e">
        <f t="shared" ca="1" si="82"/>
        <v>#N/A</v>
      </c>
      <c r="O505" t="e">
        <f t="shared" ca="1" si="83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4"/>
        <v>0</v>
      </c>
      <c r="AE505">
        <f t="shared" ca="1" si="85"/>
        <v>0</v>
      </c>
      <c r="AG505" s="65" t="e">
        <f t="shared" ca="1" si="86"/>
        <v>#N/A</v>
      </c>
      <c r="AH505" s="65" t="e">
        <f t="shared" ca="1" si="87"/>
        <v>#N/A</v>
      </c>
      <c r="AI505" s="3" t="e">
        <f t="shared" ca="1" si="88"/>
        <v>#N/A</v>
      </c>
    </row>
    <row r="506" spans="7:35" ht="15" thickBot="1" x14ac:dyDescent="0.35">
      <c r="G506" s="3">
        <f t="shared" ca="1" si="80"/>
        <v>288</v>
      </c>
      <c r="H506" s="99">
        <f t="shared" ca="1" si="76"/>
        <v>45578</v>
      </c>
      <c r="I506" s="123">
        <f ca="1">HLOOKUP($H$4,'Met Data'!$A$2:$F$368,G506,FALSE)</f>
        <v>12.762499999999999</v>
      </c>
      <c r="J506" s="121">
        <f ca="1">HLOOKUP($H$4,'Met Data'!$H$2:$M$368,G506,FALSE)*L506</f>
        <v>3.6333333333333302</v>
      </c>
      <c r="K506" s="100">
        <f ca="1">HLOOKUP($H$4,'Met Data'!$O$2:$T$368,G506,FALSE)</f>
        <v>2.2182002807721002</v>
      </c>
      <c r="L506">
        <f t="shared" ca="1" si="81"/>
        <v>1</v>
      </c>
      <c r="N506" t="e">
        <f t="shared" ca="1" si="82"/>
        <v>#N/A</v>
      </c>
      <c r="O506" t="e">
        <f t="shared" ca="1" si="83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4"/>
        <v>0</v>
      </c>
      <c r="AE506">
        <f t="shared" ca="1" si="85"/>
        <v>0</v>
      </c>
      <c r="AG506" s="65" t="e">
        <f t="shared" ca="1" si="86"/>
        <v>#N/A</v>
      </c>
      <c r="AH506" s="65" t="e">
        <f t="shared" ca="1" si="87"/>
        <v>#N/A</v>
      </c>
      <c r="AI506" s="3" t="e">
        <f t="shared" ca="1" si="88"/>
        <v>#N/A</v>
      </c>
    </row>
    <row r="507" spans="7:35" ht="15" thickBot="1" x14ac:dyDescent="0.35">
      <c r="G507" s="3">
        <f t="shared" ca="1" si="80"/>
        <v>289</v>
      </c>
      <c r="H507" s="99">
        <f t="shared" ca="1" si="76"/>
        <v>45579</v>
      </c>
      <c r="I507" s="123">
        <f ca="1">HLOOKUP($H$4,'Met Data'!$A$2:$F$368,G507,FALSE)</f>
        <v>12.675000000000001</v>
      </c>
      <c r="J507" s="121">
        <f ca="1">HLOOKUP($H$4,'Met Data'!$H$2:$M$368,G507,FALSE)*L507</f>
        <v>4.2166666666666597</v>
      </c>
      <c r="K507" s="100">
        <f ca="1">HLOOKUP($H$4,'Met Data'!$O$2:$T$368,G507,FALSE)</f>
        <v>2.3809243707544998</v>
      </c>
      <c r="L507">
        <f t="shared" ca="1" si="81"/>
        <v>1</v>
      </c>
      <c r="N507" t="e">
        <f t="shared" ca="1" si="82"/>
        <v>#N/A</v>
      </c>
      <c r="O507" t="e">
        <f t="shared" ca="1" si="83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4"/>
        <v>0</v>
      </c>
      <c r="AE507">
        <f t="shared" ca="1" si="85"/>
        <v>0</v>
      </c>
      <c r="AG507" s="65" t="e">
        <f t="shared" ca="1" si="86"/>
        <v>#N/A</v>
      </c>
      <c r="AH507" s="65" t="e">
        <f t="shared" ca="1" si="87"/>
        <v>#N/A</v>
      </c>
      <c r="AI507" s="3" t="e">
        <f t="shared" ca="1" si="88"/>
        <v>#N/A</v>
      </c>
    </row>
    <row r="508" spans="7:35" ht="15" thickBot="1" x14ac:dyDescent="0.35">
      <c r="G508" s="3">
        <f t="shared" ca="1" si="80"/>
        <v>290</v>
      </c>
      <c r="H508" s="99">
        <f t="shared" ca="1" si="76"/>
        <v>45580</v>
      </c>
      <c r="I508" s="123">
        <f ca="1">HLOOKUP($H$4,'Met Data'!$A$2:$F$368,G508,FALSE)</f>
        <v>12.3041666666666</v>
      </c>
      <c r="J508" s="121">
        <f ca="1">HLOOKUP($H$4,'Met Data'!$H$2:$M$368,G508,FALSE)*L508</f>
        <v>1.4666666666666599</v>
      </c>
      <c r="K508" s="100">
        <f ca="1">HLOOKUP($H$4,'Met Data'!$O$2:$T$368,G508,FALSE)</f>
        <v>2.7800377367024298</v>
      </c>
      <c r="L508">
        <f t="shared" ca="1" si="81"/>
        <v>1</v>
      </c>
      <c r="N508" t="e">
        <f t="shared" ca="1" si="82"/>
        <v>#N/A</v>
      </c>
      <c r="O508" t="e">
        <f t="shared" ca="1" si="83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4"/>
        <v>0</v>
      </c>
      <c r="AE508">
        <f t="shared" ca="1" si="85"/>
        <v>0</v>
      </c>
      <c r="AG508" s="65" t="e">
        <f t="shared" ca="1" si="86"/>
        <v>#N/A</v>
      </c>
      <c r="AH508" s="65" t="e">
        <f t="shared" ca="1" si="87"/>
        <v>#N/A</v>
      </c>
      <c r="AI508" s="3" t="e">
        <f t="shared" ca="1" si="88"/>
        <v>#N/A</v>
      </c>
    </row>
    <row r="509" spans="7:35" ht="15" thickBot="1" x14ac:dyDescent="0.35">
      <c r="G509" s="3">
        <f t="shared" ca="1" si="80"/>
        <v>291</v>
      </c>
      <c r="H509" s="99">
        <f t="shared" ca="1" si="76"/>
        <v>45581</v>
      </c>
      <c r="I509" s="123">
        <f ca="1">HLOOKUP($H$4,'Met Data'!$A$2:$F$368,G509,FALSE)</f>
        <v>12.987499999999899</v>
      </c>
      <c r="J509" s="121">
        <f ca="1">HLOOKUP($H$4,'Met Data'!$H$2:$M$368,G509,FALSE)*L509</f>
        <v>2.75</v>
      </c>
      <c r="K509" s="100">
        <f ca="1">HLOOKUP($H$4,'Met Data'!$O$2:$T$368,G509,FALSE)</f>
        <v>2.65151934906442</v>
      </c>
      <c r="L509">
        <f t="shared" ca="1" si="81"/>
        <v>1</v>
      </c>
      <c r="N509" t="e">
        <f t="shared" ca="1" si="82"/>
        <v>#N/A</v>
      </c>
      <c r="O509" t="e">
        <f t="shared" ca="1" si="83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4"/>
        <v>0</v>
      </c>
      <c r="AE509">
        <f t="shared" ca="1" si="85"/>
        <v>0</v>
      </c>
      <c r="AG509" s="65" t="e">
        <f t="shared" ca="1" si="86"/>
        <v>#N/A</v>
      </c>
      <c r="AH509" s="65" t="e">
        <f t="shared" ca="1" si="87"/>
        <v>#N/A</v>
      </c>
      <c r="AI509" s="3" t="e">
        <f t="shared" ca="1" si="88"/>
        <v>#N/A</v>
      </c>
    </row>
    <row r="510" spans="7:35" ht="15" thickBot="1" x14ac:dyDescent="0.35">
      <c r="G510" s="3">
        <f t="shared" ca="1" si="80"/>
        <v>292</v>
      </c>
      <c r="H510" s="99">
        <f t="shared" ca="1" si="76"/>
        <v>45582</v>
      </c>
      <c r="I510" s="123">
        <f ca="1">HLOOKUP($H$4,'Met Data'!$A$2:$F$368,G510,FALSE)</f>
        <v>12.7416666666666</v>
      </c>
      <c r="J510" s="121">
        <f ca="1">HLOOKUP($H$4,'Met Data'!$H$2:$M$368,G510,FALSE)*L510</f>
        <v>3.0666666666666602</v>
      </c>
      <c r="K510" s="100">
        <f ca="1">HLOOKUP($H$4,'Met Data'!$O$2:$T$368,G510,FALSE)</f>
        <v>2.2346438003254501</v>
      </c>
      <c r="L510">
        <f t="shared" ca="1" si="81"/>
        <v>1</v>
      </c>
      <c r="N510" t="e">
        <f t="shared" ca="1" si="82"/>
        <v>#N/A</v>
      </c>
      <c r="O510" t="e">
        <f t="shared" ca="1" si="83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4"/>
        <v>0</v>
      </c>
      <c r="AE510">
        <f t="shared" ca="1" si="85"/>
        <v>0</v>
      </c>
      <c r="AG510" s="65" t="e">
        <f t="shared" ca="1" si="86"/>
        <v>#N/A</v>
      </c>
      <c r="AH510" s="65" t="e">
        <f t="shared" ca="1" si="87"/>
        <v>#N/A</v>
      </c>
      <c r="AI510" s="3" t="e">
        <f t="shared" ca="1" si="88"/>
        <v>#N/A</v>
      </c>
    </row>
    <row r="511" spans="7:35" ht="15" thickBot="1" x14ac:dyDescent="0.35">
      <c r="G511" s="3">
        <f t="shared" ca="1" si="80"/>
        <v>293</v>
      </c>
      <c r="H511" s="99">
        <f t="shared" ca="1" si="76"/>
        <v>45583</v>
      </c>
      <c r="I511" s="123">
        <f ca="1">HLOOKUP($H$4,'Met Data'!$A$2:$F$368,G511,FALSE)</f>
        <v>12.154166666666599</v>
      </c>
      <c r="J511" s="121">
        <f ca="1">HLOOKUP($H$4,'Met Data'!$H$2:$M$368,G511,FALSE)*L511</f>
        <v>1.1000000000000001</v>
      </c>
      <c r="K511" s="100">
        <f ca="1">HLOOKUP($H$4,'Met Data'!$O$2:$T$368,G511,FALSE)</f>
        <v>2.9905003990183601</v>
      </c>
      <c r="L511">
        <f t="shared" ca="1" si="81"/>
        <v>1</v>
      </c>
      <c r="N511" t="e">
        <f t="shared" ca="1" si="82"/>
        <v>#N/A</v>
      </c>
      <c r="O511" t="e">
        <f t="shared" ca="1" si="83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4"/>
        <v>0</v>
      </c>
      <c r="AE511">
        <f t="shared" ca="1" si="85"/>
        <v>0</v>
      </c>
      <c r="AG511" s="65" t="e">
        <f t="shared" ca="1" si="86"/>
        <v>#N/A</v>
      </c>
      <c r="AH511" s="65" t="e">
        <f t="shared" ca="1" si="87"/>
        <v>#N/A</v>
      </c>
      <c r="AI511" s="3" t="e">
        <f t="shared" ca="1" si="88"/>
        <v>#N/A</v>
      </c>
    </row>
    <row r="512" spans="7:35" ht="15" thickBot="1" x14ac:dyDescent="0.35">
      <c r="G512" s="3">
        <f t="shared" ca="1" si="80"/>
        <v>294</v>
      </c>
      <c r="H512" s="99">
        <f t="shared" ca="1" si="76"/>
        <v>45584</v>
      </c>
      <c r="I512" s="123">
        <f ca="1">HLOOKUP($H$4,'Met Data'!$A$2:$F$368,G512,FALSE)</f>
        <v>12.6666666666666</v>
      </c>
      <c r="J512" s="121">
        <f ca="1">HLOOKUP($H$4,'Met Data'!$H$2:$M$368,G512,FALSE)*L512</f>
        <v>1.13333333333333</v>
      </c>
      <c r="K512" s="100">
        <f ca="1">HLOOKUP($H$4,'Met Data'!$O$2:$T$368,G512,FALSE)</f>
        <v>2.7134262355768599</v>
      </c>
      <c r="L512">
        <f t="shared" ca="1" si="81"/>
        <v>1</v>
      </c>
      <c r="N512" t="e">
        <f t="shared" ca="1" si="82"/>
        <v>#N/A</v>
      </c>
      <c r="O512" t="e">
        <f t="shared" ca="1" si="83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4"/>
        <v>0</v>
      </c>
      <c r="AE512">
        <f t="shared" ca="1" si="85"/>
        <v>0</v>
      </c>
      <c r="AG512" s="65" t="e">
        <f t="shared" ca="1" si="86"/>
        <v>#N/A</v>
      </c>
      <c r="AH512" s="65" t="e">
        <f t="shared" ca="1" si="87"/>
        <v>#N/A</v>
      </c>
      <c r="AI512" s="3" t="e">
        <f t="shared" ca="1" si="88"/>
        <v>#N/A</v>
      </c>
    </row>
    <row r="513" spans="7:35" ht="15" thickBot="1" x14ac:dyDescent="0.35">
      <c r="G513" s="3">
        <f t="shared" ca="1" si="80"/>
        <v>295</v>
      </c>
      <c r="H513" s="99">
        <f t="shared" ca="1" si="76"/>
        <v>45585</v>
      </c>
      <c r="I513" s="123">
        <f ca="1">HLOOKUP($H$4,'Met Data'!$A$2:$F$368,G513,FALSE)</f>
        <v>12.4916666666666</v>
      </c>
      <c r="J513" s="121">
        <f ca="1">HLOOKUP($H$4,'Met Data'!$H$2:$M$368,G513,FALSE)*L513</f>
        <v>0.51666666666666605</v>
      </c>
      <c r="K513" s="100">
        <f ca="1">HLOOKUP($H$4,'Met Data'!$O$2:$T$368,G513,FALSE)</f>
        <v>2.2874725559703002</v>
      </c>
      <c r="L513">
        <f t="shared" ca="1" si="81"/>
        <v>1</v>
      </c>
      <c r="N513" t="e">
        <f t="shared" ca="1" si="82"/>
        <v>#N/A</v>
      </c>
      <c r="O513" t="e">
        <f t="shared" ca="1" si="83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4"/>
        <v>0</v>
      </c>
      <c r="AE513">
        <f t="shared" ca="1" si="85"/>
        <v>0</v>
      </c>
      <c r="AG513" s="65" t="e">
        <f t="shared" ca="1" si="86"/>
        <v>#N/A</v>
      </c>
      <c r="AH513" s="65" t="e">
        <f t="shared" ca="1" si="87"/>
        <v>#N/A</v>
      </c>
      <c r="AI513" s="3" t="e">
        <f t="shared" ca="1" si="88"/>
        <v>#N/A</v>
      </c>
    </row>
    <row r="514" spans="7:35" ht="15" thickBot="1" x14ac:dyDescent="0.35">
      <c r="G514" s="3">
        <f t="shared" ca="1" si="80"/>
        <v>296</v>
      </c>
      <c r="H514" s="99">
        <f t="shared" ca="1" si="76"/>
        <v>45586</v>
      </c>
      <c r="I514" s="123">
        <f ca="1">HLOOKUP($H$4,'Met Data'!$A$2:$F$368,G514,FALSE)</f>
        <v>12.925000000000001</v>
      </c>
      <c r="J514" s="121">
        <f ca="1">HLOOKUP($H$4,'Met Data'!$H$2:$M$368,G514,FALSE)*L514</f>
        <v>3.7166666666666601</v>
      </c>
      <c r="K514" s="100">
        <f ca="1">HLOOKUP($H$4,'Met Data'!$O$2:$T$368,G514,FALSE)</f>
        <v>2.31884542682567</v>
      </c>
      <c r="L514">
        <f t="shared" ca="1" si="81"/>
        <v>1</v>
      </c>
      <c r="N514" t="e">
        <f t="shared" ca="1" si="82"/>
        <v>#N/A</v>
      </c>
      <c r="O514" t="e">
        <f t="shared" ca="1" si="83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4"/>
        <v>0</v>
      </c>
      <c r="AE514">
        <f t="shared" ca="1" si="85"/>
        <v>0</v>
      </c>
      <c r="AG514" s="65" t="e">
        <f t="shared" ca="1" si="86"/>
        <v>#N/A</v>
      </c>
      <c r="AH514" s="65" t="e">
        <f t="shared" ca="1" si="87"/>
        <v>#N/A</v>
      </c>
      <c r="AI514" s="3" t="e">
        <f t="shared" ca="1" si="88"/>
        <v>#N/A</v>
      </c>
    </row>
    <row r="515" spans="7:35" ht="15" thickBot="1" x14ac:dyDescent="0.35">
      <c r="G515" s="3">
        <f t="shared" ca="1" si="80"/>
        <v>297</v>
      </c>
      <c r="H515" s="99">
        <f t="shared" ca="1" si="76"/>
        <v>45587</v>
      </c>
      <c r="I515" s="123">
        <f ca="1">HLOOKUP($H$4,'Met Data'!$A$2:$F$368,G515,FALSE)</f>
        <v>12.2291666666666</v>
      </c>
      <c r="J515" s="121">
        <f ca="1">HLOOKUP($H$4,'Met Data'!$H$2:$M$368,G515,FALSE)*L515</f>
        <v>2.8333333333333299</v>
      </c>
      <c r="K515" s="100">
        <f ca="1">HLOOKUP($H$4,'Met Data'!$O$2:$T$368,G515,FALSE)</f>
        <v>2.7150999093147798</v>
      </c>
      <c r="L515">
        <f t="shared" ca="1" si="81"/>
        <v>1</v>
      </c>
      <c r="N515" t="e">
        <f t="shared" ca="1" si="82"/>
        <v>#N/A</v>
      </c>
      <c r="O515" t="e">
        <f t="shared" ca="1" si="83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4"/>
        <v>0</v>
      </c>
      <c r="AE515">
        <f t="shared" ca="1" si="85"/>
        <v>0</v>
      </c>
      <c r="AG515" s="65" t="e">
        <f t="shared" ca="1" si="86"/>
        <v>#N/A</v>
      </c>
      <c r="AH515" s="65" t="e">
        <f t="shared" ca="1" si="87"/>
        <v>#N/A</v>
      </c>
      <c r="AI515" s="3" t="e">
        <f t="shared" ca="1" si="88"/>
        <v>#N/A</v>
      </c>
    </row>
    <row r="516" spans="7:35" ht="15" thickBot="1" x14ac:dyDescent="0.35">
      <c r="G516" s="3">
        <f t="shared" ca="1" si="80"/>
        <v>298</v>
      </c>
      <c r="H516" s="99">
        <f t="shared" ca="1" si="76"/>
        <v>45588</v>
      </c>
      <c r="I516" s="123">
        <f ca="1">HLOOKUP($H$4,'Met Data'!$A$2:$F$368,G516,FALSE)</f>
        <v>12.2708333333333</v>
      </c>
      <c r="J516" s="121">
        <f ca="1">HLOOKUP($H$4,'Met Data'!$H$2:$M$368,G516,FALSE)*L516</f>
        <v>0.85</v>
      </c>
      <c r="K516" s="100">
        <f ca="1">HLOOKUP($H$4,'Met Data'!$O$2:$T$368,G516,FALSE)</f>
        <v>2.95103134032406</v>
      </c>
      <c r="L516">
        <f t="shared" ca="1" si="81"/>
        <v>1</v>
      </c>
      <c r="N516" t="e">
        <f t="shared" ca="1" si="82"/>
        <v>#N/A</v>
      </c>
      <c r="O516" t="e">
        <f t="shared" ca="1" si="83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4"/>
        <v>0</v>
      </c>
      <c r="AE516">
        <f t="shared" ca="1" si="85"/>
        <v>0</v>
      </c>
      <c r="AG516" s="65" t="e">
        <f t="shared" ca="1" si="86"/>
        <v>#N/A</v>
      </c>
      <c r="AH516" s="65" t="e">
        <f t="shared" ca="1" si="87"/>
        <v>#N/A</v>
      </c>
      <c r="AI516" s="3" t="e">
        <f t="shared" ca="1" si="88"/>
        <v>#N/A</v>
      </c>
    </row>
    <row r="517" spans="7:35" ht="15" thickBot="1" x14ac:dyDescent="0.35">
      <c r="G517" s="3">
        <f t="shared" ca="1" si="80"/>
        <v>299</v>
      </c>
      <c r="H517" s="99">
        <f t="shared" ca="1" si="76"/>
        <v>45589</v>
      </c>
      <c r="I517" s="123">
        <f ca="1">HLOOKUP($H$4,'Met Data'!$A$2:$F$368,G517,FALSE)</f>
        <v>12.858333333333301</v>
      </c>
      <c r="J517" s="121">
        <f ca="1">HLOOKUP($H$4,'Met Data'!$H$2:$M$368,G517,FALSE)*L517</f>
        <v>1.0333333333333301</v>
      </c>
      <c r="K517" s="100">
        <f ca="1">HLOOKUP($H$4,'Met Data'!$O$2:$T$368,G517,FALSE)</f>
        <v>2.6842724832832401</v>
      </c>
      <c r="L517">
        <f t="shared" ca="1" si="81"/>
        <v>1</v>
      </c>
      <c r="N517" t="e">
        <f t="shared" ca="1" si="82"/>
        <v>#N/A</v>
      </c>
      <c r="O517" t="e">
        <f t="shared" ca="1" si="83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4"/>
        <v>0</v>
      </c>
      <c r="AE517">
        <f t="shared" ca="1" si="85"/>
        <v>0</v>
      </c>
      <c r="AG517" s="65" t="e">
        <f t="shared" ca="1" si="86"/>
        <v>#N/A</v>
      </c>
      <c r="AH517" s="65" t="e">
        <f t="shared" ca="1" si="87"/>
        <v>#N/A</v>
      </c>
      <c r="AI517" s="3" t="e">
        <f t="shared" ca="1" si="88"/>
        <v>#N/A</v>
      </c>
    </row>
    <row r="518" spans="7:35" ht="15" thickBot="1" x14ac:dyDescent="0.35">
      <c r="G518" s="3">
        <f t="shared" ca="1" si="80"/>
        <v>300</v>
      </c>
      <c r="H518" s="99">
        <f t="shared" ca="1" si="76"/>
        <v>45590</v>
      </c>
      <c r="I518" s="123">
        <f ca="1">HLOOKUP($H$4,'Met Data'!$A$2:$F$368,G518,FALSE)</f>
        <v>13.7708333333333</v>
      </c>
      <c r="J518" s="121">
        <f ca="1">HLOOKUP($H$4,'Met Data'!$H$2:$M$368,G518,FALSE)*L518</f>
        <v>3.5166666666666599</v>
      </c>
      <c r="K518" s="100">
        <f ca="1">HLOOKUP($H$4,'Met Data'!$O$2:$T$368,G518,FALSE)</f>
        <v>2.91343955355575</v>
      </c>
      <c r="L518">
        <f t="shared" ca="1" si="81"/>
        <v>1</v>
      </c>
      <c r="N518" t="e">
        <f t="shared" ca="1" si="82"/>
        <v>#N/A</v>
      </c>
      <c r="O518" t="e">
        <f t="shared" ca="1" si="83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4"/>
        <v>0</v>
      </c>
      <c r="AE518">
        <f t="shared" ca="1" si="85"/>
        <v>0</v>
      </c>
      <c r="AG518" s="65" t="e">
        <f t="shared" ca="1" si="86"/>
        <v>#N/A</v>
      </c>
      <c r="AH518" s="65" t="e">
        <f t="shared" ca="1" si="87"/>
        <v>#N/A</v>
      </c>
      <c r="AI518" s="3" t="e">
        <f t="shared" ca="1" si="88"/>
        <v>#N/A</v>
      </c>
    </row>
    <row r="519" spans="7:35" ht="15" thickBot="1" x14ac:dyDescent="0.35">
      <c r="G519" s="3">
        <f t="shared" ca="1" si="80"/>
        <v>301</v>
      </c>
      <c r="H519" s="99">
        <f t="shared" ca="1" si="76"/>
        <v>45591</v>
      </c>
      <c r="I519" s="123">
        <f ca="1">HLOOKUP($H$4,'Met Data'!$A$2:$F$368,G519,FALSE)</f>
        <v>13.899999999999901</v>
      </c>
      <c r="J519" s="121">
        <f ca="1">HLOOKUP($H$4,'Met Data'!$H$2:$M$368,G519,FALSE)*L519</f>
        <v>4.75</v>
      </c>
      <c r="K519" s="100">
        <f ca="1">HLOOKUP($H$4,'Met Data'!$O$2:$T$368,G519,FALSE)</f>
        <v>2.4549016141153701</v>
      </c>
      <c r="L519">
        <f t="shared" ca="1" si="81"/>
        <v>1</v>
      </c>
      <c r="N519" t="e">
        <f t="shared" ca="1" si="82"/>
        <v>#N/A</v>
      </c>
      <c r="O519" t="e">
        <f t="shared" ca="1" si="83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4"/>
        <v>0</v>
      </c>
      <c r="AE519">
        <f t="shared" ca="1" si="85"/>
        <v>0</v>
      </c>
      <c r="AG519" s="65" t="e">
        <f t="shared" ca="1" si="86"/>
        <v>#N/A</v>
      </c>
      <c r="AH519" s="65" t="e">
        <f t="shared" ca="1" si="87"/>
        <v>#N/A</v>
      </c>
      <c r="AI519" s="3" t="e">
        <f t="shared" ca="1" si="88"/>
        <v>#N/A</v>
      </c>
    </row>
    <row r="520" spans="7:35" ht="15" thickBot="1" x14ac:dyDescent="0.35">
      <c r="G520" s="3">
        <f t="shared" ca="1" si="80"/>
        <v>302</v>
      </c>
      <c r="H520" s="99">
        <f t="shared" ref="H520:H583" ca="1" si="89">H519+1</f>
        <v>45592</v>
      </c>
      <c r="I520" s="123">
        <f ca="1">HLOOKUP($H$4,'Met Data'!$A$2:$F$368,G520,FALSE)</f>
        <v>13.425000000000001</v>
      </c>
      <c r="J520" s="121">
        <f ca="1">HLOOKUP($H$4,'Met Data'!$H$2:$M$368,G520,FALSE)*L520</f>
        <v>5.6333333333333302</v>
      </c>
      <c r="K520" s="100">
        <f ca="1">HLOOKUP($H$4,'Met Data'!$O$2:$T$368,G520,FALSE)</f>
        <v>2.5803220554406501</v>
      </c>
      <c r="L520">
        <f t="shared" ca="1" si="81"/>
        <v>1</v>
      </c>
      <c r="N520" t="e">
        <f t="shared" ca="1" si="82"/>
        <v>#N/A</v>
      </c>
      <c r="O520" t="e">
        <f t="shared" ca="1" si="83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4"/>
        <v>0</v>
      </c>
      <c r="AE520">
        <f t="shared" ca="1" si="85"/>
        <v>0</v>
      </c>
      <c r="AG520" s="65" t="e">
        <f t="shared" ca="1" si="86"/>
        <v>#N/A</v>
      </c>
      <c r="AH520" s="65" t="e">
        <f t="shared" ca="1" si="87"/>
        <v>#N/A</v>
      </c>
      <c r="AI520" s="3" t="e">
        <f t="shared" ca="1" si="88"/>
        <v>#N/A</v>
      </c>
    </row>
    <row r="521" spans="7:35" ht="15" thickBot="1" x14ac:dyDescent="0.35">
      <c r="G521" s="3">
        <f t="shared" ca="1" si="80"/>
        <v>303</v>
      </c>
      <c r="H521" s="99">
        <f t="shared" ca="1" si="89"/>
        <v>45593</v>
      </c>
      <c r="I521" s="123">
        <f ca="1">HLOOKUP($H$4,'Met Data'!$A$2:$F$368,G521,FALSE)</f>
        <v>13.9625</v>
      </c>
      <c r="J521" s="121">
        <f ca="1">HLOOKUP($H$4,'Met Data'!$H$2:$M$368,G521,FALSE)*L521</f>
        <v>3.7833333333333301</v>
      </c>
      <c r="K521" s="100">
        <f ca="1">HLOOKUP($H$4,'Met Data'!$O$2:$T$368,G521,FALSE)</f>
        <v>2.91115304555708</v>
      </c>
      <c r="L521">
        <f t="shared" ca="1" si="81"/>
        <v>1</v>
      </c>
      <c r="N521" t="e">
        <f t="shared" ca="1" si="82"/>
        <v>#N/A</v>
      </c>
      <c r="O521" t="e">
        <f t="shared" ca="1" si="83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4"/>
        <v>0</v>
      </c>
      <c r="AE521">
        <f t="shared" ca="1" si="85"/>
        <v>0</v>
      </c>
      <c r="AG521" s="65" t="e">
        <f t="shared" ca="1" si="86"/>
        <v>#N/A</v>
      </c>
      <c r="AH521" s="65" t="e">
        <f t="shared" ca="1" si="87"/>
        <v>#N/A</v>
      </c>
      <c r="AI521" s="3" t="e">
        <f t="shared" ca="1" si="88"/>
        <v>#N/A</v>
      </c>
    </row>
    <row r="522" spans="7:35" ht="15" thickBot="1" x14ac:dyDescent="0.35">
      <c r="G522" s="3">
        <f t="shared" ca="1" si="80"/>
        <v>304</v>
      </c>
      <c r="H522" s="99">
        <f t="shared" ca="1" si="89"/>
        <v>45594</v>
      </c>
      <c r="I522" s="123">
        <f ca="1">HLOOKUP($H$4,'Met Data'!$A$2:$F$368,G522,FALSE)</f>
        <v>13.045833333333301</v>
      </c>
      <c r="J522" s="121">
        <f ca="1">HLOOKUP($H$4,'Met Data'!$H$2:$M$368,G522,FALSE)*L522</f>
        <v>0.39999999999999902</v>
      </c>
      <c r="K522" s="100">
        <f ca="1">HLOOKUP($H$4,'Met Data'!$O$2:$T$368,G522,FALSE)</f>
        <v>3.19138361024571</v>
      </c>
      <c r="L522">
        <f t="shared" ca="1" si="81"/>
        <v>1</v>
      </c>
      <c r="N522" t="e">
        <f t="shared" ca="1" si="82"/>
        <v>#N/A</v>
      </c>
      <c r="O522" t="e">
        <f t="shared" ca="1" si="83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4"/>
        <v>0</v>
      </c>
      <c r="AE522">
        <f t="shared" ca="1" si="85"/>
        <v>0</v>
      </c>
      <c r="AG522" s="65" t="e">
        <f t="shared" ca="1" si="86"/>
        <v>#N/A</v>
      </c>
      <c r="AH522" s="65" t="e">
        <f t="shared" ca="1" si="87"/>
        <v>#N/A</v>
      </c>
      <c r="AI522" s="3" t="e">
        <f t="shared" ca="1" si="88"/>
        <v>#N/A</v>
      </c>
    </row>
    <row r="523" spans="7:35" ht="15" thickBot="1" x14ac:dyDescent="0.35">
      <c r="G523" s="3">
        <f t="shared" ca="1" si="80"/>
        <v>305</v>
      </c>
      <c r="H523" s="99">
        <f t="shared" ca="1" si="89"/>
        <v>45595</v>
      </c>
      <c r="I523" s="123">
        <f ca="1">HLOOKUP($H$4,'Met Data'!$A$2:$F$368,G523,FALSE)</f>
        <v>12.6166666666666</v>
      </c>
      <c r="J523" s="121">
        <f ca="1">HLOOKUP($H$4,'Met Data'!$H$2:$M$368,G523,FALSE)*L523</f>
        <v>3.4666666666666601</v>
      </c>
      <c r="K523" s="100">
        <f ca="1">HLOOKUP($H$4,'Met Data'!$O$2:$T$368,G523,FALSE)</f>
        <v>3.1814806222099299</v>
      </c>
      <c r="L523">
        <f t="shared" ca="1" si="81"/>
        <v>1</v>
      </c>
      <c r="N523" t="e">
        <f t="shared" ca="1" si="82"/>
        <v>#N/A</v>
      </c>
      <c r="O523" t="e">
        <f t="shared" ca="1" si="83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4"/>
        <v>0</v>
      </c>
      <c r="AE523">
        <f t="shared" ca="1" si="85"/>
        <v>0</v>
      </c>
      <c r="AG523" s="65" t="e">
        <f t="shared" ca="1" si="86"/>
        <v>#N/A</v>
      </c>
      <c r="AH523" s="65" t="e">
        <f t="shared" ca="1" si="87"/>
        <v>#N/A</v>
      </c>
      <c r="AI523" s="3" t="e">
        <f t="shared" ca="1" si="88"/>
        <v>#N/A</v>
      </c>
    </row>
    <row r="524" spans="7:35" ht="15" thickBot="1" x14ac:dyDescent="0.35">
      <c r="G524" s="3">
        <f t="shared" ca="1" si="80"/>
        <v>306</v>
      </c>
      <c r="H524" s="99">
        <f t="shared" ca="1" si="89"/>
        <v>45596</v>
      </c>
      <c r="I524" s="123">
        <f ca="1">HLOOKUP($H$4,'Met Data'!$A$2:$F$368,G524,FALSE)</f>
        <v>12.4791666666666</v>
      </c>
      <c r="J524" s="121">
        <f ca="1">HLOOKUP($H$4,'Met Data'!$H$2:$M$368,G524,FALSE)*L524</f>
        <v>2.68333333333333</v>
      </c>
      <c r="K524" s="100">
        <f ca="1">HLOOKUP($H$4,'Met Data'!$O$2:$T$368,G524,FALSE)</f>
        <v>3.1007141373476301</v>
      </c>
      <c r="L524">
        <f t="shared" ca="1" si="81"/>
        <v>1</v>
      </c>
      <c r="N524" t="e">
        <f t="shared" ca="1" si="82"/>
        <v>#N/A</v>
      </c>
      <c r="O524" t="e">
        <f t="shared" ca="1" si="83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4"/>
        <v>0</v>
      </c>
      <c r="AE524">
        <f t="shared" ca="1" si="85"/>
        <v>0</v>
      </c>
      <c r="AG524" s="65" t="e">
        <f t="shared" ca="1" si="86"/>
        <v>#N/A</v>
      </c>
      <c r="AH524" s="65" t="e">
        <f t="shared" ca="1" si="87"/>
        <v>#N/A</v>
      </c>
      <c r="AI524" s="3" t="e">
        <f t="shared" ca="1" si="88"/>
        <v>#N/A</v>
      </c>
    </row>
    <row r="525" spans="7:35" ht="15" thickBot="1" x14ac:dyDescent="0.35">
      <c r="G525" s="3">
        <f t="shared" ca="1" si="80"/>
        <v>307</v>
      </c>
      <c r="H525" s="99">
        <f t="shared" ca="1" si="89"/>
        <v>45597</v>
      </c>
      <c r="I525" s="123">
        <f ca="1">HLOOKUP($H$4,'Met Data'!$A$2:$F$368,G525,FALSE)</f>
        <v>13.3125</v>
      </c>
      <c r="J525" s="121">
        <f ca="1">HLOOKUP($H$4,'Met Data'!$H$2:$M$368,G525,FALSE)*L525</f>
        <v>1.68333333333333</v>
      </c>
      <c r="K525" s="100">
        <f ca="1">HLOOKUP($H$4,'Met Data'!$O$2:$T$368,G525,FALSE)</f>
        <v>3.50405600149278</v>
      </c>
      <c r="L525">
        <f t="shared" ca="1" si="81"/>
        <v>1</v>
      </c>
      <c r="N525" t="e">
        <f t="shared" ca="1" si="82"/>
        <v>#N/A</v>
      </c>
      <c r="O525" t="e">
        <f t="shared" ca="1" si="83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4"/>
        <v>0</v>
      </c>
      <c r="AE525">
        <f t="shared" ca="1" si="85"/>
        <v>0</v>
      </c>
      <c r="AG525" s="65" t="e">
        <f t="shared" ca="1" si="86"/>
        <v>#N/A</v>
      </c>
      <c r="AH525" s="65" t="e">
        <f t="shared" ca="1" si="87"/>
        <v>#N/A</v>
      </c>
      <c r="AI525" s="3" t="e">
        <f t="shared" ca="1" si="88"/>
        <v>#N/A</v>
      </c>
    </row>
    <row r="526" spans="7:35" ht="15" thickBot="1" x14ac:dyDescent="0.35">
      <c r="G526" s="3">
        <f t="shared" ca="1" si="80"/>
        <v>308</v>
      </c>
      <c r="H526" s="99">
        <f t="shared" ca="1" si="89"/>
        <v>45598</v>
      </c>
      <c r="I526" s="123">
        <f ca="1">HLOOKUP($H$4,'Met Data'!$A$2:$F$368,G526,FALSE)</f>
        <v>14.35</v>
      </c>
      <c r="J526" s="121">
        <f ca="1">HLOOKUP($H$4,'Met Data'!$H$2:$M$368,G526,FALSE)*L526</f>
        <v>5.1333333333333302</v>
      </c>
      <c r="K526" s="100">
        <f ca="1">HLOOKUP($H$4,'Met Data'!$O$2:$T$368,G526,FALSE)</f>
        <v>2.61745839191309</v>
      </c>
      <c r="L526">
        <f t="shared" ca="1" si="81"/>
        <v>1</v>
      </c>
      <c r="N526" t="e">
        <f t="shared" ca="1" si="82"/>
        <v>#N/A</v>
      </c>
      <c r="O526" t="e">
        <f t="shared" ca="1" si="83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4"/>
        <v>0</v>
      </c>
      <c r="AE526">
        <f t="shared" ca="1" si="85"/>
        <v>0</v>
      </c>
      <c r="AG526" s="65" t="e">
        <f t="shared" ca="1" si="86"/>
        <v>#N/A</v>
      </c>
      <c r="AH526" s="65" t="e">
        <f t="shared" ca="1" si="87"/>
        <v>#N/A</v>
      </c>
      <c r="AI526" s="3" t="e">
        <f t="shared" ca="1" si="88"/>
        <v>#N/A</v>
      </c>
    </row>
    <row r="527" spans="7:35" ht="15" thickBot="1" x14ac:dyDescent="0.35">
      <c r="G527" s="3">
        <f t="shared" ca="1" si="80"/>
        <v>309</v>
      </c>
      <c r="H527" s="99">
        <f t="shared" ca="1" si="89"/>
        <v>45599</v>
      </c>
      <c r="I527" s="123">
        <f ca="1">HLOOKUP($H$4,'Met Data'!$A$2:$F$368,G527,FALSE)</f>
        <v>13.875</v>
      </c>
      <c r="J527" s="121">
        <f ca="1">HLOOKUP($H$4,'Met Data'!$H$2:$M$368,G527,FALSE)*L527</f>
        <v>1.86666666666666</v>
      </c>
      <c r="K527" s="100">
        <f ca="1">HLOOKUP($H$4,'Met Data'!$O$2:$T$368,G527,FALSE)</f>
        <v>2.7392607073945601</v>
      </c>
      <c r="L527">
        <f t="shared" ca="1" si="81"/>
        <v>1</v>
      </c>
      <c r="N527" t="e">
        <f t="shared" ca="1" si="82"/>
        <v>#N/A</v>
      </c>
      <c r="O527" t="e">
        <f t="shared" ca="1" si="83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4"/>
        <v>0</v>
      </c>
      <c r="AE527">
        <f t="shared" ca="1" si="85"/>
        <v>0</v>
      </c>
      <c r="AG527" s="65" t="e">
        <f t="shared" ca="1" si="86"/>
        <v>#N/A</v>
      </c>
      <c r="AH527" s="65" t="e">
        <f t="shared" ca="1" si="87"/>
        <v>#N/A</v>
      </c>
      <c r="AI527" s="3" t="e">
        <f t="shared" ca="1" si="88"/>
        <v>#N/A</v>
      </c>
    </row>
    <row r="528" spans="7:35" ht="15" thickBot="1" x14ac:dyDescent="0.35">
      <c r="G528" s="3">
        <f t="shared" ca="1" si="80"/>
        <v>310</v>
      </c>
      <c r="H528" s="99">
        <f t="shared" ca="1" si="89"/>
        <v>45600</v>
      </c>
      <c r="I528" s="123">
        <f ca="1">HLOOKUP($H$4,'Met Data'!$A$2:$F$368,G528,FALSE)</f>
        <v>13.316666666666601</v>
      </c>
      <c r="J528" s="121">
        <f ca="1">HLOOKUP($H$4,'Met Data'!$H$2:$M$368,G528,FALSE)*L528</f>
        <v>1.13333333333333</v>
      </c>
      <c r="K528" s="100">
        <f ca="1">HLOOKUP($H$4,'Met Data'!$O$2:$T$368,G528,FALSE)</f>
        <v>3.4135545366379101</v>
      </c>
      <c r="L528">
        <f t="shared" ca="1" si="81"/>
        <v>1</v>
      </c>
      <c r="N528" t="e">
        <f t="shared" ca="1" si="82"/>
        <v>#N/A</v>
      </c>
      <c r="O528" t="e">
        <f t="shared" ca="1" si="83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4"/>
        <v>0</v>
      </c>
      <c r="AE528">
        <f t="shared" ca="1" si="85"/>
        <v>0</v>
      </c>
      <c r="AG528" s="65" t="e">
        <f t="shared" ca="1" si="86"/>
        <v>#N/A</v>
      </c>
      <c r="AH528" s="65" t="e">
        <f t="shared" ca="1" si="87"/>
        <v>#N/A</v>
      </c>
      <c r="AI528" s="3" t="e">
        <f t="shared" ca="1" si="88"/>
        <v>#N/A</v>
      </c>
    </row>
    <row r="529" spans="7:35" ht="15" thickBot="1" x14ac:dyDescent="0.35">
      <c r="G529" s="3">
        <f t="shared" ca="1" si="80"/>
        <v>311</v>
      </c>
      <c r="H529" s="99">
        <f t="shared" ca="1" si="89"/>
        <v>45601</v>
      </c>
      <c r="I529" s="123">
        <f ca="1">HLOOKUP($H$4,'Met Data'!$A$2:$F$368,G529,FALSE)</f>
        <v>13.1454545454545</v>
      </c>
      <c r="J529" s="121">
        <f ca="1">HLOOKUP($H$4,'Met Data'!$H$2:$M$368,G529,FALSE)*L529</f>
        <v>0.472727272727272</v>
      </c>
      <c r="K529" s="100">
        <f ca="1">HLOOKUP($H$4,'Met Data'!$O$2:$T$368,G529,FALSE)</f>
        <v>3.2963131788019302</v>
      </c>
      <c r="L529">
        <f t="shared" ca="1" si="81"/>
        <v>1</v>
      </c>
      <c r="N529" t="e">
        <f t="shared" ca="1" si="82"/>
        <v>#N/A</v>
      </c>
      <c r="O529" t="e">
        <f t="shared" ca="1" si="83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4"/>
        <v>0</v>
      </c>
      <c r="AE529">
        <f t="shared" ca="1" si="85"/>
        <v>0</v>
      </c>
      <c r="AG529" s="65" t="e">
        <f t="shared" ca="1" si="86"/>
        <v>#N/A</v>
      </c>
      <c r="AH529" s="65" t="e">
        <f t="shared" ca="1" si="87"/>
        <v>#N/A</v>
      </c>
      <c r="AI529" s="3" t="e">
        <f t="shared" ca="1" si="88"/>
        <v>#N/A</v>
      </c>
    </row>
    <row r="530" spans="7:35" ht="15" thickBot="1" x14ac:dyDescent="0.35">
      <c r="G530" s="3">
        <f t="shared" ca="1" si="80"/>
        <v>312</v>
      </c>
      <c r="H530" s="99">
        <f t="shared" ca="1" si="89"/>
        <v>45602</v>
      </c>
      <c r="I530" s="123">
        <f ca="1">HLOOKUP($H$4,'Met Data'!$A$2:$F$368,G530,FALSE)</f>
        <v>13.4166666666666</v>
      </c>
      <c r="J530" s="121">
        <f ca="1">HLOOKUP($H$4,'Met Data'!$H$2:$M$368,G530,FALSE)*L530</f>
        <v>2.35</v>
      </c>
      <c r="K530" s="100">
        <f ca="1">HLOOKUP($H$4,'Met Data'!$O$2:$T$368,G530,FALSE)</f>
        <v>3.43315852526095</v>
      </c>
      <c r="L530">
        <f t="shared" ca="1" si="81"/>
        <v>1</v>
      </c>
      <c r="N530" t="e">
        <f t="shared" ca="1" si="82"/>
        <v>#N/A</v>
      </c>
      <c r="O530" t="e">
        <f t="shared" ca="1" si="83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4"/>
        <v>0</v>
      </c>
      <c r="AE530">
        <f t="shared" ca="1" si="85"/>
        <v>0</v>
      </c>
      <c r="AG530" s="65" t="e">
        <f t="shared" ca="1" si="86"/>
        <v>#N/A</v>
      </c>
      <c r="AH530" s="65" t="e">
        <f t="shared" ca="1" si="87"/>
        <v>#N/A</v>
      </c>
      <c r="AI530" s="3" t="e">
        <f t="shared" ca="1" si="88"/>
        <v>#N/A</v>
      </c>
    </row>
    <row r="531" spans="7:35" ht="15" thickBot="1" x14ac:dyDescent="0.35">
      <c r="G531" s="3">
        <f t="shared" ca="1" si="80"/>
        <v>313</v>
      </c>
      <c r="H531" s="99">
        <f t="shared" ca="1" si="89"/>
        <v>45603</v>
      </c>
      <c r="I531" s="123">
        <f ca="1">HLOOKUP($H$4,'Met Data'!$A$2:$F$368,G531,FALSE)</f>
        <v>13.8708333333333</v>
      </c>
      <c r="J531" s="121">
        <f ca="1">HLOOKUP($H$4,'Met Data'!$H$2:$M$368,G531,FALSE)*L531</f>
        <v>2.86666666666666</v>
      </c>
      <c r="K531" s="100">
        <f ca="1">HLOOKUP($H$4,'Met Data'!$O$2:$T$368,G531,FALSE)</f>
        <v>3.09770464623969</v>
      </c>
      <c r="L531">
        <f t="shared" ca="1" si="81"/>
        <v>1</v>
      </c>
      <c r="N531" t="e">
        <f t="shared" ca="1" si="82"/>
        <v>#N/A</v>
      </c>
      <c r="O531" t="e">
        <f t="shared" ca="1" si="83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4"/>
        <v>0</v>
      </c>
      <c r="AE531">
        <f t="shared" ca="1" si="85"/>
        <v>0</v>
      </c>
      <c r="AG531" s="65" t="e">
        <f t="shared" ca="1" si="86"/>
        <v>#N/A</v>
      </c>
      <c r="AH531" s="65" t="e">
        <f t="shared" ca="1" si="87"/>
        <v>#N/A</v>
      </c>
      <c r="AI531" s="3" t="e">
        <f t="shared" ca="1" si="88"/>
        <v>#N/A</v>
      </c>
    </row>
    <row r="532" spans="7:35" ht="15" thickBot="1" x14ac:dyDescent="0.35">
      <c r="G532" s="3">
        <f t="shared" ca="1" si="80"/>
        <v>314</v>
      </c>
      <c r="H532" s="99">
        <f t="shared" ca="1" si="89"/>
        <v>45604</v>
      </c>
      <c r="I532" s="123">
        <f ca="1">HLOOKUP($H$4,'Met Data'!$A$2:$F$368,G532,FALSE)</f>
        <v>14.158333333333299</v>
      </c>
      <c r="J532" s="121">
        <f ca="1">HLOOKUP($H$4,'Met Data'!$H$2:$M$368,G532,FALSE)*L532</f>
        <v>3.2166666666666601</v>
      </c>
      <c r="K532" s="100">
        <f ca="1">HLOOKUP($H$4,'Met Data'!$O$2:$T$368,G532,FALSE)</f>
        <v>3.3024968395707299</v>
      </c>
      <c r="L532">
        <f t="shared" ca="1" si="81"/>
        <v>1</v>
      </c>
      <c r="N532" t="e">
        <f t="shared" ca="1" si="82"/>
        <v>#N/A</v>
      </c>
      <c r="O532" t="e">
        <f t="shared" ca="1" si="83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4"/>
        <v>0</v>
      </c>
      <c r="AE532">
        <f t="shared" ca="1" si="85"/>
        <v>0</v>
      </c>
      <c r="AG532" s="65" t="e">
        <f t="shared" ca="1" si="86"/>
        <v>#N/A</v>
      </c>
      <c r="AH532" s="65" t="e">
        <f t="shared" ca="1" si="87"/>
        <v>#N/A</v>
      </c>
      <c r="AI532" s="3" t="e">
        <f t="shared" ca="1" si="88"/>
        <v>#N/A</v>
      </c>
    </row>
    <row r="533" spans="7:35" ht="15" thickBot="1" x14ac:dyDescent="0.35">
      <c r="G533" s="3">
        <f t="shared" ca="1" si="80"/>
        <v>315</v>
      </c>
      <c r="H533" s="99">
        <f t="shared" ca="1" si="89"/>
        <v>45605</v>
      </c>
      <c r="I533" s="123">
        <f ca="1">HLOOKUP($H$4,'Met Data'!$A$2:$F$368,G533,FALSE)</f>
        <v>13.6666666666666</v>
      </c>
      <c r="J533" s="121">
        <f ca="1">HLOOKUP($H$4,'Met Data'!$H$2:$M$368,G533,FALSE)*L533</f>
        <v>2.0499999999999998</v>
      </c>
      <c r="K533" s="100">
        <f ca="1">HLOOKUP($H$4,'Met Data'!$O$2:$T$368,G533,FALSE)</f>
        <v>2.6586912182490101</v>
      </c>
      <c r="L533">
        <f t="shared" ca="1" si="81"/>
        <v>1</v>
      </c>
      <c r="N533" t="e">
        <f t="shared" ca="1" si="82"/>
        <v>#N/A</v>
      </c>
      <c r="O533" t="e">
        <f t="shared" ca="1" si="83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4"/>
        <v>0</v>
      </c>
      <c r="AE533">
        <f t="shared" ca="1" si="85"/>
        <v>0</v>
      </c>
      <c r="AG533" s="65" t="e">
        <f t="shared" ca="1" si="86"/>
        <v>#N/A</v>
      </c>
      <c r="AH533" s="65" t="e">
        <f t="shared" ca="1" si="87"/>
        <v>#N/A</v>
      </c>
      <c r="AI533" s="3" t="e">
        <f t="shared" ca="1" si="88"/>
        <v>#N/A</v>
      </c>
    </row>
    <row r="534" spans="7:35" ht="15" thickBot="1" x14ac:dyDescent="0.35">
      <c r="G534" s="3">
        <f t="shared" ca="1" si="80"/>
        <v>316</v>
      </c>
      <c r="H534" s="99">
        <f t="shared" ca="1" si="89"/>
        <v>45606</v>
      </c>
      <c r="I534" s="123">
        <f ca="1">HLOOKUP($H$4,'Met Data'!$A$2:$F$368,G534,FALSE)</f>
        <v>13.8958333333333</v>
      </c>
      <c r="J534" s="121">
        <f ca="1">HLOOKUP($H$4,'Met Data'!$H$2:$M$368,G534,FALSE)*L534</f>
        <v>3.94999999999999</v>
      </c>
      <c r="K534" s="100">
        <f ca="1">HLOOKUP($H$4,'Met Data'!$O$2:$T$368,G534,FALSE)</f>
        <v>2.87577977788037</v>
      </c>
      <c r="L534">
        <f t="shared" ca="1" si="81"/>
        <v>1</v>
      </c>
      <c r="N534" t="e">
        <f t="shared" ca="1" si="82"/>
        <v>#N/A</v>
      </c>
      <c r="O534" t="e">
        <f t="shared" ca="1" si="83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4"/>
        <v>0</v>
      </c>
      <c r="AE534">
        <f t="shared" ca="1" si="85"/>
        <v>0</v>
      </c>
      <c r="AG534" s="65" t="e">
        <f t="shared" ca="1" si="86"/>
        <v>#N/A</v>
      </c>
      <c r="AH534" s="65" t="e">
        <f t="shared" ca="1" si="87"/>
        <v>#N/A</v>
      </c>
      <c r="AI534" s="3" t="e">
        <f t="shared" ca="1" si="88"/>
        <v>#N/A</v>
      </c>
    </row>
    <row r="535" spans="7:35" ht="15" thickBot="1" x14ac:dyDescent="0.35">
      <c r="G535" s="3">
        <f t="shared" ca="1" si="80"/>
        <v>317</v>
      </c>
      <c r="H535" s="99">
        <f t="shared" ca="1" si="89"/>
        <v>45607</v>
      </c>
      <c r="I535" s="123">
        <f ca="1">HLOOKUP($H$4,'Met Data'!$A$2:$F$368,G535,FALSE)</f>
        <v>13.0625</v>
      </c>
      <c r="J535" s="121">
        <f ca="1">HLOOKUP($H$4,'Met Data'!$H$2:$M$368,G535,FALSE)*L535</f>
        <v>3.0666666666666602</v>
      </c>
      <c r="K535" s="100">
        <f ca="1">HLOOKUP($H$4,'Met Data'!$O$2:$T$368,G535,FALSE)</f>
        <v>2.8947392121826798</v>
      </c>
      <c r="L535">
        <f t="shared" ca="1" si="81"/>
        <v>1</v>
      </c>
      <c r="N535" t="e">
        <f t="shared" ca="1" si="82"/>
        <v>#N/A</v>
      </c>
      <c r="O535" t="e">
        <f t="shared" ca="1" si="83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4"/>
        <v>0</v>
      </c>
      <c r="AE535">
        <f t="shared" ca="1" si="85"/>
        <v>0</v>
      </c>
      <c r="AG535" s="65" t="e">
        <f t="shared" ca="1" si="86"/>
        <v>#N/A</v>
      </c>
      <c r="AH535" s="65" t="e">
        <f t="shared" ca="1" si="87"/>
        <v>#N/A</v>
      </c>
      <c r="AI535" s="3" t="e">
        <f t="shared" ca="1" si="88"/>
        <v>#N/A</v>
      </c>
    </row>
    <row r="536" spans="7:35" ht="15" thickBot="1" x14ac:dyDescent="0.35">
      <c r="G536" s="3">
        <f t="shared" ca="1" si="80"/>
        <v>318</v>
      </c>
      <c r="H536" s="99">
        <f t="shared" ca="1" si="89"/>
        <v>45608</v>
      </c>
      <c r="I536" s="123">
        <f ca="1">HLOOKUP($H$4,'Met Data'!$A$2:$F$368,G536,FALSE)</f>
        <v>12.55</v>
      </c>
      <c r="J536" s="121">
        <f ca="1">HLOOKUP($H$4,'Met Data'!$H$2:$M$368,G536,FALSE)*L536</f>
        <v>1.2</v>
      </c>
      <c r="K536" s="100">
        <f ca="1">HLOOKUP($H$4,'Met Data'!$O$2:$T$368,G536,FALSE)</f>
        <v>3.2727192045008802</v>
      </c>
      <c r="L536">
        <f t="shared" ca="1" si="81"/>
        <v>1</v>
      </c>
      <c r="N536" t="e">
        <f t="shared" ca="1" si="82"/>
        <v>#N/A</v>
      </c>
      <c r="O536" t="e">
        <f t="shared" ca="1" si="83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4"/>
        <v>0</v>
      </c>
      <c r="AE536">
        <f t="shared" ca="1" si="85"/>
        <v>0</v>
      </c>
      <c r="AG536" s="65" t="e">
        <f t="shared" ca="1" si="86"/>
        <v>#N/A</v>
      </c>
      <c r="AH536" s="65" t="e">
        <f t="shared" ca="1" si="87"/>
        <v>#N/A</v>
      </c>
      <c r="AI536" s="3" t="e">
        <f t="shared" ca="1" si="88"/>
        <v>#N/A</v>
      </c>
    </row>
    <row r="537" spans="7:35" ht="15" thickBot="1" x14ac:dyDescent="0.35">
      <c r="G537" s="3">
        <f t="shared" ca="1" si="80"/>
        <v>319</v>
      </c>
      <c r="H537" s="99">
        <f t="shared" ca="1" si="89"/>
        <v>45609</v>
      </c>
      <c r="I537" s="123">
        <f ca="1">HLOOKUP($H$4,'Met Data'!$A$2:$F$368,G537,FALSE)</f>
        <v>12.591666666666599</v>
      </c>
      <c r="J537" s="121">
        <f ca="1">HLOOKUP($H$4,'Met Data'!$H$2:$M$368,G537,FALSE)*L537</f>
        <v>1.25</v>
      </c>
      <c r="K537" s="100">
        <f ca="1">HLOOKUP($H$4,'Met Data'!$O$2:$T$368,G537,FALSE)</f>
        <v>3.2542764283054399</v>
      </c>
      <c r="L537">
        <f t="shared" ca="1" si="81"/>
        <v>1</v>
      </c>
      <c r="N537" t="e">
        <f t="shared" ca="1" si="82"/>
        <v>#N/A</v>
      </c>
      <c r="O537" t="e">
        <f t="shared" ca="1" si="83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4"/>
        <v>0</v>
      </c>
      <c r="AE537">
        <f t="shared" ca="1" si="85"/>
        <v>0</v>
      </c>
      <c r="AG537" s="65" t="e">
        <f t="shared" ca="1" si="86"/>
        <v>#N/A</v>
      </c>
      <c r="AH537" s="65" t="e">
        <f t="shared" ca="1" si="87"/>
        <v>#N/A</v>
      </c>
      <c r="AI537" s="3" t="e">
        <f t="shared" ca="1" si="88"/>
        <v>#N/A</v>
      </c>
    </row>
    <row r="538" spans="7:35" ht="15" thickBot="1" x14ac:dyDescent="0.35">
      <c r="G538" s="3">
        <f t="shared" ca="1" si="80"/>
        <v>320</v>
      </c>
      <c r="H538" s="99">
        <f t="shared" ca="1" si="89"/>
        <v>45610</v>
      </c>
      <c r="I538" s="123">
        <f ca="1">HLOOKUP($H$4,'Met Data'!$A$2:$F$368,G538,FALSE)</f>
        <v>13.462499999999901</v>
      </c>
      <c r="J538" s="121">
        <f ca="1">HLOOKUP($H$4,'Met Data'!$H$2:$M$368,G538,FALSE)*L538</f>
        <v>2.0666666666666602</v>
      </c>
      <c r="K538" s="100">
        <f ca="1">HLOOKUP($H$4,'Met Data'!$O$2:$T$368,G538,FALSE)</f>
        <v>3.39036465144653</v>
      </c>
      <c r="L538">
        <f t="shared" ca="1" si="81"/>
        <v>1</v>
      </c>
      <c r="N538" t="e">
        <f t="shared" ca="1" si="82"/>
        <v>#N/A</v>
      </c>
      <c r="O538" t="e">
        <f t="shared" ca="1" si="83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4"/>
        <v>0</v>
      </c>
      <c r="AE538">
        <f t="shared" ca="1" si="85"/>
        <v>0</v>
      </c>
      <c r="AG538" s="65" t="e">
        <f t="shared" ca="1" si="86"/>
        <v>#N/A</v>
      </c>
      <c r="AH538" s="65" t="e">
        <f t="shared" ca="1" si="87"/>
        <v>#N/A</v>
      </c>
      <c r="AI538" s="3" t="e">
        <f t="shared" ca="1" si="88"/>
        <v>#N/A</v>
      </c>
    </row>
    <row r="539" spans="7:35" ht="15" thickBot="1" x14ac:dyDescent="0.35">
      <c r="G539" s="3">
        <f t="shared" ca="1" si="80"/>
        <v>321</v>
      </c>
      <c r="H539" s="99">
        <f t="shared" ca="1" si="89"/>
        <v>45611</v>
      </c>
      <c r="I539" s="123">
        <f ca="1">HLOOKUP($H$4,'Met Data'!$A$2:$F$368,G539,FALSE)</f>
        <v>14.7458333333333</v>
      </c>
      <c r="J539" s="121">
        <f ca="1">HLOOKUP($H$4,'Met Data'!$H$2:$M$368,G539,FALSE)*L539</f>
        <v>5.2166666666666597</v>
      </c>
      <c r="K539" s="100">
        <f ca="1">HLOOKUP($H$4,'Met Data'!$O$2:$T$368,G539,FALSE)</f>
        <v>3.3940384004400501</v>
      </c>
      <c r="L539">
        <f t="shared" ca="1" si="81"/>
        <v>1</v>
      </c>
      <c r="N539" t="e">
        <f t="shared" ca="1" si="82"/>
        <v>#N/A</v>
      </c>
      <c r="O539" t="e">
        <f t="shared" ca="1" si="83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4"/>
        <v>0</v>
      </c>
      <c r="AE539">
        <f t="shared" ca="1" si="85"/>
        <v>0</v>
      </c>
      <c r="AG539" s="65" t="e">
        <f t="shared" ca="1" si="86"/>
        <v>#N/A</v>
      </c>
      <c r="AH539" s="65" t="e">
        <f t="shared" ca="1" si="87"/>
        <v>#N/A</v>
      </c>
      <c r="AI539" s="3" t="e">
        <f t="shared" ca="1" si="88"/>
        <v>#N/A</v>
      </c>
    </row>
    <row r="540" spans="7:35" ht="15" thickBot="1" x14ac:dyDescent="0.35">
      <c r="G540" s="3">
        <f t="shared" ca="1" si="80"/>
        <v>322</v>
      </c>
      <c r="H540" s="99">
        <f t="shared" ca="1" si="89"/>
        <v>45612</v>
      </c>
      <c r="I540" s="123">
        <f ca="1">HLOOKUP($H$4,'Met Data'!$A$2:$F$368,G540,FALSE)</f>
        <v>14.945833333333301</v>
      </c>
      <c r="J540" s="121">
        <f ca="1">HLOOKUP($H$4,'Met Data'!$H$2:$M$368,G540,FALSE)*L540</f>
        <v>5.3333333333333304</v>
      </c>
      <c r="K540" s="100">
        <f ca="1">HLOOKUP($H$4,'Met Data'!$O$2:$T$368,G540,FALSE)</f>
        <v>2.86263659321907</v>
      </c>
      <c r="L540">
        <f t="shared" ca="1" si="81"/>
        <v>1</v>
      </c>
      <c r="N540" t="e">
        <f t="shared" ca="1" si="82"/>
        <v>#N/A</v>
      </c>
      <c r="O540" t="e">
        <f t="shared" ca="1" si="83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4"/>
        <v>0</v>
      </c>
      <c r="AE540">
        <f t="shared" ca="1" si="85"/>
        <v>0</v>
      </c>
      <c r="AG540" s="65" t="e">
        <f t="shared" ca="1" si="86"/>
        <v>#N/A</v>
      </c>
      <c r="AH540" s="65" t="e">
        <f t="shared" ca="1" si="87"/>
        <v>#N/A</v>
      </c>
      <c r="AI540" s="3" t="e">
        <f t="shared" ca="1" si="88"/>
        <v>#N/A</v>
      </c>
    </row>
    <row r="541" spans="7:35" ht="15" thickBot="1" x14ac:dyDescent="0.35">
      <c r="G541" s="3">
        <f t="shared" ca="1" si="80"/>
        <v>323</v>
      </c>
      <c r="H541" s="99">
        <f t="shared" ca="1" si="89"/>
        <v>45613</v>
      </c>
      <c r="I541" s="123">
        <f ca="1">HLOOKUP($H$4,'Met Data'!$A$2:$F$368,G541,FALSE)</f>
        <v>14.45</v>
      </c>
      <c r="J541" s="121">
        <f ca="1">HLOOKUP($H$4,'Met Data'!$H$2:$M$368,G541,FALSE)*L541</f>
        <v>6.0833333333333304</v>
      </c>
      <c r="K541" s="100">
        <f ca="1">HLOOKUP($H$4,'Met Data'!$O$2:$T$368,G541,FALSE)</f>
        <v>3.2654882571522399</v>
      </c>
      <c r="L541">
        <f t="shared" ca="1" si="81"/>
        <v>1</v>
      </c>
      <c r="N541" t="e">
        <f t="shared" ca="1" si="82"/>
        <v>#N/A</v>
      </c>
      <c r="O541" t="e">
        <f t="shared" ca="1" si="83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4"/>
        <v>0</v>
      </c>
      <c r="AE541">
        <f t="shared" ca="1" si="85"/>
        <v>0</v>
      </c>
      <c r="AG541" s="65" t="e">
        <f t="shared" ca="1" si="86"/>
        <v>#N/A</v>
      </c>
      <c r="AH541" s="65" t="e">
        <f t="shared" ca="1" si="87"/>
        <v>#N/A</v>
      </c>
      <c r="AI541" s="3" t="e">
        <f t="shared" ca="1" si="88"/>
        <v>#N/A</v>
      </c>
    </row>
    <row r="542" spans="7:35" ht="15" thickBot="1" x14ac:dyDescent="0.35">
      <c r="G542" s="3">
        <f t="shared" ca="1" si="80"/>
        <v>324</v>
      </c>
      <c r="H542" s="99">
        <f t="shared" ca="1" si="89"/>
        <v>45614</v>
      </c>
      <c r="I542" s="123">
        <f ca="1">HLOOKUP($H$4,'Met Data'!$A$2:$F$368,G542,FALSE)</f>
        <v>13.941666666666601</v>
      </c>
      <c r="J542" s="121">
        <f ca="1">HLOOKUP($H$4,'Met Data'!$H$2:$M$368,G542,FALSE)*L542</f>
        <v>0.98333333333333295</v>
      </c>
      <c r="K542" s="100">
        <f ca="1">HLOOKUP($H$4,'Met Data'!$O$2:$T$368,G542,FALSE)</f>
        <v>3.5976260978488002</v>
      </c>
      <c r="L542">
        <f t="shared" ca="1" si="81"/>
        <v>1</v>
      </c>
      <c r="N542" t="e">
        <f t="shared" ca="1" si="82"/>
        <v>#N/A</v>
      </c>
      <c r="O542" t="e">
        <f t="shared" ca="1" si="83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4"/>
        <v>0</v>
      </c>
      <c r="AE542">
        <f t="shared" ca="1" si="85"/>
        <v>0</v>
      </c>
      <c r="AG542" s="65" t="e">
        <f t="shared" ca="1" si="86"/>
        <v>#N/A</v>
      </c>
      <c r="AH542" s="65" t="e">
        <f t="shared" ca="1" si="87"/>
        <v>#N/A</v>
      </c>
      <c r="AI542" s="3" t="e">
        <f t="shared" ca="1" si="88"/>
        <v>#N/A</v>
      </c>
    </row>
    <row r="543" spans="7:35" ht="15" thickBot="1" x14ac:dyDescent="0.35">
      <c r="G543" s="3">
        <f t="shared" ca="1" si="80"/>
        <v>325</v>
      </c>
      <c r="H543" s="99">
        <f t="shared" ca="1" si="89"/>
        <v>45615</v>
      </c>
      <c r="I543" s="123">
        <f ca="1">HLOOKUP($H$4,'Met Data'!$A$2:$F$368,G543,FALSE)</f>
        <v>14.1208333333333</v>
      </c>
      <c r="J543" s="121">
        <f ca="1">HLOOKUP($H$4,'Met Data'!$H$2:$M$368,G543,FALSE)*L543</f>
        <v>2.36666666666666</v>
      </c>
      <c r="K543" s="100">
        <f ca="1">HLOOKUP($H$4,'Met Data'!$O$2:$T$368,G543,FALSE)</f>
        <v>3.2574752266568199</v>
      </c>
      <c r="L543">
        <f t="shared" ca="1" si="81"/>
        <v>1</v>
      </c>
      <c r="N543" t="e">
        <f t="shared" ca="1" si="82"/>
        <v>#N/A</v>
      </c>
      <c r="O543" t="e">
        <f t="shared" ca="1" si="83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4"/>
        <v>0</v>
      </c>
      <c r="AE543">
        <f t="shared" ca="1" si="85"/>
        <v>0</v>
      </c>
      <c r="AG543" s="65" t="e">
        <f t="shared" ca="1" si="86"/>
        <v>#N/A</v>
      </c>
      <c r="AH543" s="65" t="e">
        <f t="shared" ca="1" si="87"/>
        <v>#N/A</v>
      </c>
      <c r="AI543" s="3" t="e">
        <f t="shared" ca="1" si="88"/>
        <v>#N/A</v>
      </c>
    </row>
    <row r="544" spans="7:35" ht="15" thickBot="1" x14ac:dyDescent="0.35">
      <c r="G544" s="3">
        <f t="shared" ca="1" si="80"/>
        <v>326</v>
      </c>
      <c r="H544" s="99">
        <f t="shared" ca="1" si="89"/>
        <v>45616</v>
      </c>
      <c r="I544" s="123">
        <f ca="1">HLOOKUP($H$4,'Met Data'!$A$2:$F$368,G544,FALSE)</f>
        <v>14.2</v>
      </c>
      <c r="J544" s="121">
        <f ca="1">HLOOKUP($H$4,'Met Data'!$H$2:$M$368,G544,FALSE)*L544</f>
        <v>1.4166666666666601</v>
      </c>
      <c r="K544" s="100">
        <f ca="1">HLOOKUP($H$4,'Met Data'!$O$2:$T$368,G544,FALSE)</f>
        <v>3.2248407363783</v>
      </c>
      <c r="L544">
        <f t="shared" ca="1" si="81"/>
        <v>1</v>
      </c>
      <c r="N544" t="e">
        <f t="shared" ca="1" si="82"/>
        <v>#N/A</v>
      </c>
      <c r="O544" t="e">
        <f t="shared" ca="1" si="83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4"/>
        <v>0</v>
      </c>
      <c r="AE544">
        <f t="shared" ca="1" si="85"/>
        <v>0</v>
      </c>
      <c r="AG544" s="65" t="e">
        <f t="shared" ca="1" si="86"/>
        <v>#N/A</v>
      </c>
      <c r="AH544" s="65" t="e">
        <f t="shared" ca="1" si="87"/>
        <v>#N/A</v>
      </c>
      <c r="AI544" s="3" t="e">
        <f t="shared" ca="1" si="88"/>
        <v>#N/A</v>
      </c>
    </row>
    <row r="545" spans="7:35" ht="15" thickBot="1" x14ac:dyDescent="0.35">
      <c r="G545" s="3">
        <f t="shared" ca="1" si="80"/>
        <v>327</v>
      </c>
      <c r="H545" s="99">
        <f t="shared" ca="1" si="89"/>
        <v>45617</v>
      </c>
      <c r="I545" s="123">
        <f ca="1">HLOOKUP($H$4,'Met Data'!$A$2:$F$368,G545,FALSE)</f>
        <v>14.2916666666666</v>
      </c>
      <c r="J545" s="121">
        <f ca="1">HLOOKUP($H$4,'Met Data'!$H$2:$M$368,G545,FALSE)*L545</f>
        <v>1.2333333333333301</v>
      </c>
      <c r="K545" s="100">
        <f ca="1">HLOOKUP($H$4,'Met Data'!$O$2:$T$368,G545,FALSE)</f>
        <v>3.2303061956604</v>
      </c>
      <c r="L545">
        <f t="shared" ca="1" si="81"/>
        <v>1</v>
      </c>
      <c r="N545" t="e">
        <f t="shared" ca="1" si="82"/>
        <v>#N/A</v>
      </c>
      <c r="O545" t="e">
        <f t="shared" ca="1" si="83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4"/>
        <v>0</v>
      </c>
      <c r="AE545">
        <f t="shared" ca="1" si="85"/>
        <v>0</v>
      </c>
      <c r="AG545" s="65" t="e">
        <f t="shared" ca="1" si="86"/>
        <v>#N/A</v>
      </c>
      <c r="AH545" s="65" t="e">
        <f t="shared" ca="1" si="87"/>
        <v>#N/A</v>
      </c>
      <c r="AI545" s="3" t="e">
        <f t="shared" ca="1" si="88"/>
        <v>#N/A</v>
      </c>
    </row>
    <row r="546" spans="7:35" ht="15" thickBot="1" x14ac:dyDescent="0.35">
      <c r="G546" s="3">
        <f t="shared" ca="1" si="80"/>
        <v>328</v>
      </c>
      <c r="H546" s="99">
        <f t="shared" ca="1" si="89"/>
        <v>45618</v>
      </c>
      <c r="I546" s="123">
        <f ca="1">HLOOKUP($H$4,'Met Data'!$A$2:$F$368,G546,FALSE)</f>
        <v>14.8666666666666</v>
      </c>
      <c r="J546" s="121">
        <f ca="1">HLOOKUP($H$4,'Met Data'!$H$2:$M$368,G546,FALSE)*L546</f>
        <v>0.21666666666666601</v>
      </c>
      <c r="K546" s="100">
        <f ca="1">HLOOKUP($H$4,'Met Data'!$O$2:$T$368,G546,FALSE)</f>
        <v>3.8851743269165699</v>
      </c>
      <c r="L546">
        <f t="shared" ca="1" si="81"/>
        <v>1</v>
      </c>
      <c r="N546" t="e">
        <f t="shared" ca="1" si="82"/>
        <v>#N/A</v>
      </c>
      <c r="O546" t="e">
        <f t="shared" ca="1" si="83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4"/>
        <v>0</v>
      </c>
      <c r="AE546">
        <f t="shared" ca="1" si="85"/>
        <v>0</v>
      </c>
      <c r="AG546" s="65" t="e">
        <f t="shared" ca="1" si="86"/>
        <v>#N/A</v>
      </c>
      <c r="AH546" s="65" t="e">
        <f t="shared" ca="1" si="87"/>
        <v>#N/A</v>
      </c>
      <c r="AI546" s="3" t="e">
        <f t="shared" ca="1" si="88"/>
        <v>#N/A</v>
      </c>
    </row>
    <row r="547" spans="7:35" ht="15" thickBot="1" x14ac:dyDescent="0.35">
      <c r="G547" s="3">
        <f t="shared" ca="1" si="80"/>
        <v>329</v>
      </c>
      <c r="H547" s="99">
        <f t="shared" ca="1" si="89"/>
        <v>45619</v>
      </c>
      <c r="I547" s="123">
        <f ca="1">HLOOKUP($H$4,'Met Data'!$A$2:$F$368,G547,FALSE)</f>
        <v>14.875</v>
      </c>
      <c r="J547" s="121">
        <f ca="1">HLOOKUP($H$4,'Met Data'!$H$2:$M$368,G547,FALSE)*L547</f>
        <v>1.8333333333333299</v>
      </c>
      <c r="K547" s="100">
        <f ca="1">HLOOKUP($H$4,'Met Data'!$O$2:$T$368,G547,FALSE)</f>
        <v>3.3424019609463702</v>
      </c>
      <c r="L547">
        <f t="shared" ca="1" si="81"/>
        <v>1</v>
      </c>
      <c r="N547" t="e">
        <f t="shared" ca="1" si="82"/>
        <v>#N/A</v>
      </c>
      <c r="O547" t="e">
        <f t="shared" ca="1" si="83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4"/>
        <v>0</v>
      </c>
      <c r="AE547">
        <f t="shared" ca="1" si="85"/>
        <v>0</v>
      </c>
      <c r="AG547" s="65" t="e">
        <f t="shared" ca="1" si="86"/>
        <v>#N/A</v>
      </c>
      <c r="AH547" s="65" t="e">
        <f t="shared" ca="1" si="87"/>
        <v>#N/A</v>
      </c>
      <c r="AI547" s="3" t="e">
        <f t="shared" ca="1" si="88"/>
        <v>#N/A</v>
      </c>
    </row>
    <row r="548" spans="7:35" ht="15" thickBot="1" x14ac:dyDescent="0.35">
      <c r="G548" s="3">
        <f t="shared" ca="1" si="80"/>
        <v>330</v>
      </c>
      <c r="H548" s="99">
        <f t="shared" ca="1" si="89"/>
        <v>45620</v>
      </c>
      <c r="I548" s="123">
        <f ca="1">HLOOKUP($H$4,'Met Data'!$A$2:$F$368,G548,FALSE)</f>
        <v>15.8125</v>
      </c>
      <c r="J548" s="121">
        <f ca="1">HLOOKUP($H$4,'Met Data'!$H$2:$M$368,G548,FALSE)*L548</f>
        <v>2.0166666666666599</v>
      </c>
      <c r="K548" s="100">
        <f ca="1">HLOOKUP($H$4,'Met Data'!$O$2:$T$368,G548,FALSE)</f>
        <v>3.2688322627941302</v>
      </c>
      <c r="L548">
        <f t="shared" ca="1" si="81"/>
        <v>1</v>
      </c>
      <c r="N548" t="e">
        <f t="shared" ca="1" si="82"/>
        <v>#N/A</v>
      </c>
      <c r="O548" t="e">
        <f t="shared" ca="1" si="83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4"/>
        <v>0</v>
      </c>
      <c r="AE548">
        <f t="shared" ca="1" si="85"/>
        <v>0</v>
      </c>
      <c r="AG548" s="65" t="e">
        <f t="shared" ca="1" si="86"/>
        <v>#N/A</v>
      </c>
      <c r="AH548" s="65" t="e">
        <f t="shared" ca="1" si="87"/>
        <v>#N/A</v>
      </c>
      <c r="AI548" s="3" t="e">
        <f t="shared" ca="1" si="88"/>
        <v>#N/A</v>
      </c>
    </row>
    <row r="549" spans="7:35" ht="15" thickBot="1" x14ac:dyDescent="0.35">
      <c r="G549" s="3">
        <f t="shared" ca="1" si="80"/>
        <v>331</v>
      </c>
      <c r="H549" s="99">
        <f t="shared" ca="1" si="89"/>
        <v>45621</v>
      </c>
      <c r="I549" s="123">
        <f ca="1">HLOOKUP($H$4,'Met Data'!$A$2:$F$368,G549,FALSE)</f>
        <v>15.945833333333301</v>
      </c>
      <c r="J549" s="121">
        <f ca="1">HLOOKUP($H$4,'Met Data'!$H$2:$M$368,G549,FALSE)*L549</f>
        <v>5.8833333333333302</v>
      </c>
      <c r="K549" s="100">
        <f ca="1">HLOOKUP($H$4,'Met Data'!$O$2:$T$368,G549,FALSE)</f>
        <v>3.26798762006384</v>
      </c>
      <c r="L549">
        <f t="shared" ca="1" si="81"/>
        <v>1</v>
      </c>
      <c r="N549" t="e">
        <f t="shared" ca="1" si="82"/>
        <v>#N/A</v>
      </c>
      <c r="O549" t="e">
        <f t="shared" ca="1" si="83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4"/>
        <v>0</v>
      </c>
      <c r="AE549">
        <f t="shared" ca="1" si="85"/>
        <v>0</v>
      </c>
      <c r="AG549" s="65" t="e">
        <f t="shared" ca="1" si="86"/>
        <v>#N/A</v>
      </c>
      <c r="AH549" s="65" t="e">
        <f t="shared" ca="1" si="87"/>
        <v>#N/A</v>
      </c>
      <c r="AI549" s="3" t="e">
        <f t="shared" ca="1" si="88"/>
        <v>#N/A</v>
      </c>
    </row>
    <row r="550" spans="7:35" ht="15" thickBot="1" x14ac:dyDescent="0.35">
      <c r="G550" s="3">
        <f t="shared" ca="1" si="80"/>
        <v>332</v>
      </c>
      <c r="H550" s="99">
        <f t="shared" ca="1" si="89"/>
        <v>45622</v>
      </c>
      <c r="I550" s="123">
        <f ca="1">HLOOKUP($H$4,'Met Data'!$A$2:$F$368,G550,FALSE)</f>
        <v>16.279166666666601</v>
      </c>
      <c r="J550" s="121">
        <f ca="1">HLOOKUP($H$4,'Met Data'!$H$2:$M$368,G550,FALSE)*L550</f>
        <v>1.4833333333333301</v>
      </c>
      <c r="K550" s="100">
        <f ca="1">HLOOKUP($H$4,'Met Data'!$O$2:$T$368,G550,FALSE)</f>
        <v>3.19082213890132</v>
      </c>
      <c r="L550">
        <f t="shared" ca="1" si="81"/>
        <v>1</v>
      </c>
      <c r="N550" t="e">
        <f t="shared" ca="1" si="82"/>
        <v>#N/A</v>
      </c>
      <c r="O550" t="e">
        <f t="shared" ca="1" si="83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4"/>
        <v>0</v>
      </c>
      <c r="AE550">
        <f t="shared" ca="1" si="85"/>
        <v>0</v>
      </c>
      <c r="AG550" s="65" t="e">
        <f t="shared" ca="1" si="86"/>
        <v>#N/A</v>
      </c>
      <c r="AH550" s="65" t="e">
        <f t="shared" ca="1" si="87"/>
        <v>#N/A</v>
      </c>
      <c r="AI550" s="3" t="e">
        <f t="shared" ca="1" si="88"/>
        <v>#N/A</v>
      </c>
    </row>
    <row r="551" spans="7:35" ht="15" thickBot="1" x14ac:dyDescent="0.35">
      <c r="G551" s="3">
        <f t="shared" ca="1" si="80"/>
        <v>333</v>
      </c>
      <c r="H551" s="99">
        <f t="shared" ca="1" si="89"/>
        <v>45623</v>
      </c>
      <c r="I551" s="123">
        <f ca="1">HLOOKUP($H$4,'Met Data'!$A$2:$F$368,G551,FALSE)</f>
        <v>16.070833333333301</v>
      </c>
      <c r="J551" s="121">
        <f ca="1">HLOOKUP($H$4,'Met Data'!$H$2:$M$368,G551,FALSE)*L551</f>
        <v>7.43333333333333</v>
      </c>
      <c r="K551" s="100">
        <f ca="1">HLOOKUP($H$4,'Met Data'!$O$2:$T$368,G551,FALSE)</f>
        <v>3.00999975823754</v>
      </c>
      <c r="L551">
        <f t="shared" ca="1" si="81"/>
        <v>1</v>
      </c>
      <c r="N551" t="e">
        <f t="shared" ca="1" si="82"/>
        <v>#N/A</v>
      </c>
      <c r="O551" t="e">
        <f t="shared" ca="1" si="83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4"/>
        <v>0</v>
      </c>
      <c r="AE551">
        <f t="shared" ca="1" si="85"/>
        <v>0</v>
      </c>
      <c r="AG551" s="65" t="e">
        <f t="shared" ca="1" si="86"/>
        <v>#N/A</v>
      </c>
      <c r="AH551" s="65" t="e">
        <f t="shared" ca="1" si="87"/>
        <v>#N/A</v>
      </c>
      <c r="AI551" s="3" t="e">
        <f t="shared" ca="1" si="88"/>
        <v>#N/A</v>
      </c>
    </row>
    <row r="552" spans="7:35" ht="15" thickBot="1" x14ac:dyDescent="0.35">
      <c r="G552" s="3">
        <f t="shared" ca="1" si="80"/>
        <v>334</v>
      </c>
      <c r="H552" s="99">
        <f t="shared" ca="1" si="89"/>
        <v>45624</v>
      </c>
      <c r="I552" s="123">
        <f ca="1">HLOOKUP($H$4,'Met Data'!$A$2:$F$368,G552,FALSE)</f>
        <v>15.033333333333299</v>
      </c>
      <c r="J552" s="121">
        <f ca="1">HLOOKUP($H$4,'Met Data'!$H$2:$M$368,G552,FALSE)*L552</f>
        <v>0.66666666666666596</v>
      </c>
      <c r="K552" s="100">
        <f ca="1">HLOOKUP($H$4,'Met Data'!$O$2:$T$368,G552,FALSE)</f>
        <v>4.1701433642644803</v>
      </c>
      <c r="L552">
        <f t="shared" ca="1" si="81"/>
        <v>1</v>
      </c>
      <c r="N552" t="e">
        <f t="shared" ca="1" si="82"/>
        <v>#N/A</v>
      </c>
      <c r="O552" t="e">
        <f t="shared" ca="1" si="83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4"/>
        <v>0</v>
      </c>
      <c r="AE552">
        <f t="shared" ca="1" si="85"/>
        <v>0</v>
      </c>
      <c r="AG552" s="65" t="e">
        <f t="shared" ca="1" si="86"/>
        <v>#N/A</v>
      </c>
      <c r="AH552" s="65" t="e">
        <f t="shared" ca="1" si="87"/>
        <v>#N/A</v>
      </c>
      <c r="AI552" s="3" t="e">
        <f t="shared" ca="1" si="88"/>
        <v>#N/A</v>
      </c>
    </row>
    <row r="553" spans="7:35" ht="15" thickBot="1" x14ac:dyDescent="0.35">
      <c r="G553" s="3">
        <f t="shared" ca="1" si="80"/>
        <v>335</v>
      </c>
      <c r="H553" s="99">
        <f t="shared" ca="1" si="89"/>
        <v>45625</v>
      </c>
      <c r="I553" s="123">
        <f ca="1">HLOOKUP($H$4,'Met Data'!$A$2:$F$368,G553,FALSE)</f>
        <v>16.1166666666666</v>
      </c>
      <c r="J553" s="121">
        <f ca="1">HLOOKUP($H$4,'Met Data'!$H$2:$M$368,G553,FALSE)*L553</f>
        <v>5.2333333333333298</v>
      </c>
      <c r="K553" s="100">
        <f ca="1">HLOOKUP($H$4,'Met Data'!$O$2:$T$368,G553,FALSE)</f>
        <v>3.7664149911337801</v>
      </c>
      <c r="L553">
        <f t="shared" ca="1" si="81"/>
        <v>1</v>
      </c>
      <c r="N553" t="e">
        <f t="shared" ca="1" si="82"/>
        <v>#N/A</v>
      </c>
      <c r="O553" t="e">
        <f t="shared" ca="1" si="83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4"/>
        <v>0</v>
      </c>
      <c r="AE553">
        <f t="shared" ca="1" si="85"/>
        <v>0</v>
      </c>
      <c r="AG553" s="65" t="e">
        <f t="shared" ca="1" si="86"/>
        <v>#N/A</v>
      </c>
      <c r="AH553" s="65" t="e">
        <f t="shared" ca="1" si="87"/>
        <v>#N/A</v>
      </c>
      <c r="AI553" s="3" t="e">
        <f t="shared" ca="1" si="88"/>
        <v>#N/A</v>
      </c>
    </row>
    <row r="554" spans="7:35" ht="15" thickBot="1" x14ac:dyDescent="0.35">
      <c r="G554" s="3">
        <f t="shared" ca="1" si="80"/>
        <v>336</v>
      </c>
      <c r="H554" s="99">
        <f t="shared" ca="1" si="89"/>
        <v>45626</v>
      </c>
      <c r="I554" s="123">
        <f ca="1">HLOOKUP($H$4,'Met Data'!$A$2:$F$368,G554,FALSE)</f>
        <v>15.887499999999999</v>
      </c>
      <c r="J554" s="121">
        <f ca="1">HLOOKUP($H$4,'Met Data'!$H$2:$M$368,G554,FALSE)*L554</f>
        <v>6.75</v>
      </c>
      <c r="K554" s="100">
        <f ca="1">HLOOKUP($H$4,'Met Data'!$O$2:$T$368,G554,FALSE)</f>
        <v>3.2490041935251899</v>
      </c>
      <c r="L554">
        <f t="shared" ca="1" si="81"/>
        <v>1</v>
      </c>
      <c r="N554" t="e">
        <f t="shared" ca="1" si="82"/>
        <v>#N/A</v>
      </c>
      <c r="O554" t="e">
        <f t="shared" ca="1" si="83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4"/>
        <v>0</v>
      </c>
      <c r="AE554">
        <f t="shared" ca="1" si="85"/>
        <v>0</v>
      </c>
      <c r="AG554" s="65" t="e">
        <f t="shared" ca="1" si="86"/>
        <v>#N/A</v>
      </c>
      <c r="AH554" s="65" t="e">
        <f t="shared" ca="1" si="87"/>
        <v>#N/A</v>
      </c>
      <c r="AI554" s="3" t="e">
        <f t="shared" ca="1" si="88"/>
        <v>#N/A</v>
      </c>
    </row>
    <row r="555" spans="7:35" ht="15" thickBot="1" x14ac:dyDescent="0.35">
      <c r="G555" s="3">
        <f t="shared" ca="1" si="80"/>
        <v>337</v>
      </c>
      <c r="H555" s="99">
        <f t="shared" ca="1" si="89"/>
        <v>45627</v>
      </c>
      <c r="I555" s="123">
        <f ca="1">HLOOKUP($H$4,'Met Data'!$A$2:$F$368,G555,FALSE)</f>
        <v>16.1458333333333</v>
      </c>
      <c r="J555" s="121">
        <f ca="1">HLOOKUP($H$4,'Met Data'!$H$2:$M$368,G555,FALSE)*L555</f>
        <v>1.0833333333333299</v>
      </c>
      <c r="K555" s="100">
        <f ca="1">HLOOKUP($H$4,'Met Data'!$O$2:$T$368,G555,FALSE)</f>
        <v>3.8649058322152201</v>
      </c>
      <c r="L555">
        <f t="shared" ca="1" si="81"/>
        <v>1</v>
      </c>
      <c r="N555" t="e">
        <f t="shared" ca="1" si="82"/>
        <v>#N/A</v>
      </c>
      <c r="O555" t="e">
        <f t="shared" ca="1" si="83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4"/>
        <v>0</v>
      </c>
      <c r="AE555">
        <f t="shared" ca="1" si="85"/>
        <v>0</v>
      </c>
      <c r="AG555" s="65" t="e">
        <f t="shared" ca="1" si="86"/>
        <v>#N/A</v>
      </c>
      <c r="AH555" s="65" t="e">
        <f t="shared" ca="1" si="87"/>
        <v>#N/A</v>
      </c>
      <c r="AI555" s="3" t="e">
        <f t="shared" ca="1" si="88"/>
        <v>#N/A</v>
      </c>
    </row>
    <row r="556" spans="7:35" ht="15" thickBot="1" x14ac:dyDescent="0.35">
      <c r="G556" s="3">
        <f t="shared" ca="1" si="80"/>
        <v>338</v>
      </c>
      <c r="H556" s="99">
        <f t="shared" ca="1" si="89"/>
        <v>45628</v>
      </c>
      <c r="I556" s="123">
        <f ca="1">HLOOKUP($H$4,'Met Data'!$A$2:$F$368,G556,FALSE)</f>
        <v>16.0625</v>
      </c>
      <c r="J556" s="121">
        <f ca="1">HLOOKUP($H$4,'Met Data'!$H$2:$M$368,G556,FALSE)*L556</f>
        <v>2.2666666666666599</v>
      </c>
      <c r="K556" s="100">
        <f ca="1">HLOOKUP($H$4,'Met Data'!$O$2:$T$368,G556,FALSE)</f>
        <v>3.3633315244434101</v>
      </c>
      <c r="L556">
        <f t="shared" ca="1" si="81"/>
        <v>1</v>
      </c>
      <c r="N556" t="e">
        <f t="shared" ca="1" si="82"/>
        <v>#N/A</v>
      </c>
      <c r="O556" t="e">
        <f t="shared" ca="1" si="83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4"/>
        <v>0</v>
      </c>
      <c r="AE556">
        <f t="shared" ca="1" si="85"/>
        <v>0</v>
      </c>
      <c r="AG556" s="65" t="e">
        <f t="shared" ca="1" si="86"/>
        <v>#N/A</v>
      </c>
      <c r="AH556" s="65" t="e">
        <f t="shared" ca="1" si="87"/>
        <v>#N/A</v>
      </c>
      <c r="AI556" s="3" t="e">
        <f t="shared" ca="1" si="88"/>
        <v>#N/A</v>
      </c>
    </row>
    <row r="557" spans="7:35" ht="15" thickBot="1" x14ac:dyDescent="0.35">
      <c r="G557" s="3">
        <f t="shared" ca="1" si="80"/>
        <v>339</v>
      </c>
      <c r="H557" s="99">
        <f t="shared" ca="1" si="89"/>
        <v>45629</v>
      </c>
      <c r="I557" s="123">
        <f ca="1">HLOOKUP($H$4,'Met Data'!$A$2:$F$368,G557,FALSE)</f>
        <v>16.591666666666601</v>
      </c>
      <c r="J557" s="121">
        <f ca="1">HLOOKUP($H$4,'Met Data'!$H$2:$M$368,G557,FALSE)*L557</f>
        <v>3.0333333333333301</v>
      </c>
      <c r="K557" s="100">
        <f ca="1">HLOOKUP($H$4,'Met Data'!$O$2:$T$368,G557,FALSE)</f>
        <v>3.8332290024095501</v>
      </c>
      <c r="L557">
        <f t="shared" ca="1" si="81"/>
        <v>1</v>
      </c>
      <c r="N557" t="e">
        <f t="shared" ca="1" si="82"/>
        <v>#N/A</v>
      </c>
      <c r="O557" t="e">
        <f t="shared" ca="1" si="83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4"/>
        <v>0</v>
      </c>
      <c r="AE557">
        <f t="shared" ca="1" si="85"/>
        <v>0</v>
      </c>
      <c r="AG557" s="65" t="e">
        <f t="shared" ca="1" si="86"/>
        <v>#N/A</v>
      </c>
      <c r="AH557" s="65" t="e">
        <f t="shared" ca="1" si="87"/>
        <v>#N/A</v>
      </c>
      <c r="AI557" s="3" t="e">
        <f t="shared" ca="1" si="88"/>
        <v>#N/A</v>
      </c>
    </row>
    <row r="558" spans="7:35" ht="15" thickBot="1" x14ac:dyDescent="0.35">
      <c r="G558" s="3">
        <f t="shared" ca="1" si="80"/>
        <v>340</v>
      </c>
      <c r="H558" s="99">
        <f t="shared" ca="1" si="89"/>
        <v>45630</v>
      </c>
      <c r="I558" s="123">
        <f ca="1">HLOOKUP($H$4,'Met Data'!$A$2:$F$368,G558,FALSE)</f>
        <v>16.441666666666599</v>
      </c>
      <c r="J558" s="121">
        <f ca="1">HLOOKUP($H$4,'Met Data'!$H$2:$M$368,G558,FALSE)*L558</f>
        <v>1.0833333333333299</v>
      </c>
      <c r="K558" s="100">
        <f ca="1">HLOOKUP($H$4,'Met Data'!$O$2:$T$368,G558,FALSE)</f>
        <v>3.3753600087216298</v>
      </c>
      <c r="L558">
        <f t="shared" ca="1" si="81"/>
        <v>1</v>
      </c>
      <c r="N558" t="e">
        <f t="shared" ca="1" si="82"/>
        <v>#N/A</v>
      </c>
      <c r="O558" t="e">
        <f t="shared" ca="1" si="83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4"/>
        <v>0</v>
      </c>
      <c r="AE558">
        <f t="shared" ca="1" si="85"/>
        <v>0</v>
      </c>
      <c r="AG558" s="65" t="e">
        <f t="shared" ca="1" si="86"/>
        <v>#N/A</v>
      </c>
      <c r="AH558" s="65" t="e">
        <f t="shared" ca="1" si="87"/>
        <v>#N/A</v>
      </c>
      <c r="AI558" s="3" t="e">
        <f t="shared" ca="1" si="88"/>
        <v>#N/A</v>
      </c>
    </row>
    <row r="559" spans="7:35" ht="15" thickBot="1" x14ac:dyDescent="0.35">
      <c r="G559" s="3">
        <f t="shared" ca="1" si="80"/>
        <v>341</v>
      </c>
      <c r="H559" s="99">
        <f t="shared" ca="1" si="89"/>
        <v>45631</v>
      </c>
      <c r="I559" s="123">
        <f ca="1">HLOOKUP($H$4,'Met Data'!$A$2:$F$368,G559,FALSE)</f>
        <v>16.454166666666602</v>
      </c>
      <c r="J559" s="121">
        <f ca="1">HLOOKUP($H$4,'Met Data'!$H$2:$M$368,G559,FALSE)*L559</f>
        <v>2.61666666666666</v>
      </c>
      <c r="K559" s="100">
        <f ca="1">HLOOKUP($H$4,'Met Data'!$O$2:$T$368,G559,FALSE)</f>
        <v>2.8811659068389401</v>
      </c>
      <c r="L559">
        <f t="shared" ca="1" si="81"/>
        <v>1</v>
      </c>
      <c r="N559" t="e">
        <f t="shared" ca="1" si="82"/>
        <v>#N/A</v>
      </c>
      <c r="O559" t="e">
        <f t="shared" ca="1" si="83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4"/>
        <v>0</v>
      </c>
      <c r="AE559">
        <f t="shared" ca="1" si="85"/>
        <v>0</v>
      </c>
      <c r="AG559" s="65" t="e">
        <f t="shared" ca="1" si="86"/>
        <v>#N/A</v>
      </c>
      <c r="AH559" s="65" t="e">
        <f t="shared" ca="1" si="87"/>
        <v>#N/A</v>
      </c>
      <c r="AI559" s="3" t="e">
        <f t="shared" ca="1" si="88"/>
        <v>#N/A</v>
      </c>
    </row>
    <row r="560" spans="7:35" ht="15" thickBot="1" x14ac:dyDescent="0.35">
      <c r="G560" s="3">
        <f t="shared" ref="G560:G623" ca="1" si="90">H560-DATE(YEAR(H560),1,0)+1</f>
        <v>342</v>
      </c>
      <c r="H560" s="99">
        <f t="shared" ca="1" si="89"/>
        <v>45632</v>
      </c>
      <c r="I560" s="123">
        <f ca="1">HLOOKUP($H$4,'Met Data'!$A$2:$F$368,G560,FALSE)</f>
        <v>15.879166666666601</v>
      </c>
      <c r="J560" s="121">
        <f ca="1">HLOOKUP($H$4,'Met Data'!$H$2:$M$368,G560,FALSE)*L560</f>
        <v>3.1</v>
      </c>
      <c r="K560" s="100">
        <f ca="1">HLOOKUP($H$4,'Met Data'!$O$2:$T$368,G560,FALSE)</f>
        <v>3.4185168625157498</v>
      </c>
      <c r="L560">
        <f t="shared" ref="L560:L623" ca="1" si="91">IF(H560&lt;$B$31,$J$3,$J$4)</f>
        <v>1</v>
      </c>
      <c r="N560" t="e">
        <f t="shared" ref="N560:N623" ca="1" si="92">IF(P560&lt;$P$3,TRUE,FALSE)</f>
        <v>#N/A</v>
      </c>
      <c r="O560" t="e">
        <f t="shared" ref="O560:O623" ca="1" si="93">AND(IF(P560&gt;($P$2-1),TRUE,FALSE),IF(P560&lt;($P$3+1),TRUE,FALSE))</f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ref="AD560:AD623" ca="1" si="94">IFERROR(P560,$AD$4)</f>
        <v>0</v>
      </c>
      <c r="AE560">
        <f t="shared" ref="AE560:AE623" ca="1" si="95">IFERROR(U560,0)</f>
        <v>0</v>
      </c>
      <c r="AG560" s="65" t="e">
        <f t="shared" ref="AG560:AG623" ca="1" si="96">Q559+S560+T560+U560</f>
        <v>#N/A</v>
      </c>
      <c r="AH560" s="65" t="e">
        <f t="shared" ref="AH560:AH623" ca="1" si="97">Q560+R560+X560</f>
        <v>#N/A</v>
      </c>
      <c r="AI560" s="3" t="e">
        <f t="shared" ref="AI560:AI623" ca="1" si="98">AH560-AG560</f>
        <v>#N/A</v>
      </c>
    </row>
    <row r="561" spans="7:35" ht="15" thickBot="1" x14ac:dyDescent="0.35">
      <c r="G561" s="3">
        <f t="shared" ca="1" si="90"/>
        <v>343</v>
      </c>
      <c r="H561" s="99">
        <f t="shared" ca="1" si="89"/>
        <v>45633</v>
      </c>
      <c r="I561" s="123">
        <f ca="1">HLOOKUP($H$4,'Met Data'!$A$2:$F$368,G561,FALSE)</f>
        <v>15.259090909090901</v>
      </c>
      <c r="J561" s="121">
        <f ca="1">HLOOKUP($H$4,'Met Data'!$H$2:$M$368,G561,FALSE)*L561</f>
        <v>6.1090909090908996</v>
      </c>
      <c r="K561" s="100">
        <f ca="1">HLOOKUP($H$4,'Met Data'!$O$2:$T$368,G561,FALSE)</f>
        <v>2.9122766026990501</v>
      </c>
      <c r="L561">
        <f t="shared" ca="1" si="91"/>
        <v>1</v>
      </c>
      <c r="N561" t="e">
        <f t="shared" ca="1" si="92"/>
        <v>#N/A</v>
      </c>
      <c r="O561" t="e">
        <f t="shared" ca="1" si="93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ca="1" si="94"/>
        <v>0</v>
      </c>
      <c r="AE561">
        <f t="shared" ca="1" si="95"/>
        <v>0</v>
      </c>
      <c r="AG561" s="65" t="e">
        <f t="shared" ca="1" si="96"/>
        <v>#N/A</v>
      </c>
      <c r="AH561" s="65" t="e">
        <f t="shared" ca="1" si="97"/>
        <v>#N/A</v>
      </c>
      <c r="AI561" s="3" t="e">
        <f t="shared" ca="1" si="98"/>
        <v>#N/A</v>
      </c>
    </row>
    <row r="562" spans="7:35" ht="15" thickBot="1" x14ac:dyDescent="0.35">
      <c r="G562" s="3">
        <f t="shared" ca="1" si="90"/>
        <v>344</v>
      </c>
      <c r="H562" s="99">
        <f t="shared" ca="1" si="89"/>
        <v>45634</v>
      </c>
      <c r="I562" s="123">
        <f ca="1">HLOOKUP($H$4,'Met Data'!$A$2:$F$368,G562,FALSE)</f>
        <v>15.9125</v>
      </c>
      <c r="J562" s="121">
        <f ca="1">HLOOKUP($H$4,'Met Data'!$H$2:$M$368,G562,FALSE)*L562</f>
        <v>1.7833333333333301</v>
      </c>
      <c r="K562" s="100">
        <f ca="1">HLOOKUP($H$4,'Met Data'!$O$2:$T$368,G562,FALSE)</f>
        <v>3.7124167377990198</v>
      </c>
      <c r="L562">
        <f t="shared" ca="1" si="91"/>
        <v>1</v>
      </c>
      <c r="N562" t="e">
        <f t="shared" ca="1" si="92"/>
        <v>#N/A</v>
      </c>
      <c r="O562" t="e">
        <f t="shared" ca="1" si="93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4"/>
        <v>0</v>
      </c>
      <c r="AE562">
        <f t="shared" ca="1" si="95"/>
        <v>0</v>
      </c>
      <c r="AG562" s="65" t="e">
        <f t="shared" ca="1" si="96"/>
        <v>#N/A</v>
      </c>
      <c r="AH562" s="65" t="e">
        <f t="shared" ca="1" si="97"/>
        <v>#N/A</v>
      </c>
      <c r="AI562" s="3" t="e">
        <f t="shared" ca="1" si="98"/>
        <v>#N/A</v>
      </c>
    </row>
    <row r="563" spans="7:35" ht="15" thickBot="1" x14ac:dyDescent="0.35">
      <c r="G563" s="3">
        <f t="shared" ca="1" si="90"/>
        <v>345</v>
      </c>
      <c r="H563" s="99">
        <f t="shared" ca="1" si="89"/>
        <v>45635</v>
      </c>
      <c r="I563" s="123">
        <f ca="1">HLOOKUP($H$4,'Met Data'!$A$2:$F$368,G563,FALSE)</f>
        <v>16.720833333333299</v>
      </c>
      <c r="J563" s="121">
        <f ca="1">HLOOKUP($H$4,'Met Data'!$H$2:$M$368,G563,FALSE)*L563</f>
        <v>6.61666666666666</v>
      </c>
      <c r="K563" s="100">
        <f ca="1">HLOOKUP($H$4,'Met Data'!$O$2:$T$368,G563,FALSE)</f>
        <v>3.19412245919293</v>
      </c>
      <c r="L563">
        <f t="shared" ca="1" si="91"/>
        <v>1</v>
      </c>
      <c r="N563" t="e">
        <f t="shared" ca="1" si="92"/>
        <v>#N/A</v>
      </c>
      <c r="O563" t="e">
        <f t="shared" ca="1" si="93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4"/>
        <v>0</v>
      </c>
      <c r="AE563">
        <f t="shared" ca="1" si="95"/>
        <v>0</v>
      </c>
      <c r="AG563" s="65" t="e">
        <f t="shared" ca="1" si="96"/>
        <v>#N/A</v>
      </c>
      <c r="AH563" s="65" t="e">
        <f t="shared" ca="1" si="97"/>
        <v>#N/A</v>
      </c>
      <c r="AI563" s="3" t="e">
        <f t="shared" ca="1" si="98"/>
        <v>#N/A</v>
      </c>
    </row>
    <row r="564" spans="7:35" ht="15" thickBot="1" x14ac:dyDescent="0.35">
      <c r="G564" s="3">
        <f t="shared" ca="1" si="90"/>
        <v>346</v>
      </c>
      <c r="H564" s="99">
        <f t="shared" ca="1" si="89"/>
        <v>45636</v>
      </c>
      <c r="I564" s="123">
        <f ca="1">HLOOKUP($H$4,'Met Data'!$A$2:$F$368,G564,FALSE)</f>
        <v>17.529166666666601</v>
      </c>
      <c r="J564" s="121">
        <f ca="1">HLOOKUP($H$4,'Met Data'!$H$2:$M$368,G564,FALSE)*L564</f>
        <v>2.0333333333333301</v>
      </c>
      <c r="K564" s="100">
        <f ca="1">HLOOKUP($H$4,'Met Data'!$O$2:$T$368,G564,FALSE)</f>
        <v>3.0664285414958901</v>
      </c>
      <c r="L564">
        <f t="shared" ca="1" si="91"/>
        <v>1</v>
      </c>
      <c r="N564" t="e">
        <f t="shared" ca="1" si="92"/>
        <v>#N/A</v>
      </c>
      <c r="O564" t="e">
        <f t="shared" ca="1" si="93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4"/>
        <v>0</v>
      </c>
      <c r="AE564">
        <f t="shared" ca="1" si="95"/>
        <v>0</v>
      </c>
      <c r="AG564" s="65" t="e">
        <f t="shared" ca="1" si="96"/>
        <v>#N/A</v>
      </c>
      <c r="AH564" s="65" t="e">
        <f t="shared" ca="1" si="97"/>
        <v>#N/A</v>
      </c>
      <c r="AI564" s="3" t="e">
        <f t="shared" ca="1" si="98"/>
        <v>#N/A</v>
      </c>
    </row>
    <row r="565" spans="7:35" ht="15" thickBot="1" x14ac:dyDescent="0.35">
      <c r="G565" s="3">
        <f t="shared" ca="1" si="90"/>
        <v>347</v>
      </c>
      <c r="H565" s="99">
        <f t="shared" ca="1" si="89"/>
        <v>45637</v>
      </c>
      <c r="I565" s="123">
        <f ca="1">HLOOKUP($H$4,'Met Data'!$A$2:$F$368,G565,FALSE)</f>
        <v>17.004166666666599</v>
      </c>
      <c r="J565" s="121">
        <f ca="1">HLOOKUP($H$4,'Met Data'!$H$2:$M$368,G565,FALSE)*L565</f>
        <v>2.4666666666666601</v>
      </c>
      <c r="K565" s="100">
        <f ca="1">HLOOKUP($H$4,'Met Data'!$O$2:$T$368,G565,FALSE)</f>
        <v>3.6044975025694099</v>
      </c>
      <c r="L565">
        <f t="shared" ca="1" si="91"/>
        <v>1</v>
      </c>
      <c r="N565" t="e">
        <f t="shared" ca="1" si="92"/>
        <v>#N/A</v>
      </c>
      <c r="O565" t="e">
        <f t="shared" ca="1" si="93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4"/>
        <v>0</v>
      </c>
      <c r="AE565">
        <f t="shared" ca="1" si="95"/>
        <v>0</v>
      </c>
      <c r="AG565" s="65" t="e">
        <f t="shared" ca="1" si="96"/>
        <v>#N/A</v>
      </c>
      <c r="AH565" s="65" t="e">
        <f t="shared" ca="1" si="97"/>
        <v>#N/A</v>
      </c>
      <c r="AI565" s="3" t="e">
        <f t="shared" ca="1" si="98"/>
        <v>#N/A</v>
      </c>
    </row>
    <row r="566" spans="7:35" ht="15" thickBot="1" x14ac:dyDescent="0.35">
      <c r="G566" s="3">
        <f t="shared" ca="1" si="90"/>
        <v>348</v>
      </c>
      <c r="H566" s="99">
        <f t="shared" ca="1" si="89"/>
        <v>45638</v>
      </c>
      <c r="I566" s="123">
        <f ca="1">HLOOKUP($H$4,'Met Data'!$A$2:$F$368,G566,FALSE)</f>
        <v>16.883333333333301</v>
      </c>
      <c r="J566" s="121">
        <f ca="1">HLOOKUP($H$4,'Met Data'!$H$2:$M$368,G566,FALSE)*L566</f>
        <v>1.7333333333333301</v>
      </c>
      <c r="K566" s="100">
        <f ca="1">HLOOKUP($H$4,'Met Data'!$O$2:$T$368,G566,FALSE)</f>
        <v>4.1436131117359496</v>
      </c>
      <c r="L566">
        <f t="shared" ca="1" si="91"/>
        <v>1</v>
      </c>
      <c r="N566" t="e">
        <f t="shared" ca="1" si="92"/>
        <v>#N/A</v>
      </c>
      <c r="O566" t="e">
        <f t="shared" ca="1" si="93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4"/>
        <v>0</v>
      </c>
      <c r="AE566">
        <f t="shared" ca="1" si="95"/>
        <v>0</v>
      </c>
      <c r="AG566" s="65" t="e">
        <f t="shared" ca="1" si="96"/>
        <v>#N/A</v>
      </c>
      <c r="AH566" s="65" t="e">
        <f t="shared" ca="1" si="97"/>
        <v>#N/A</v>
      </c>
      <c r="AI566" s="3" t="e">
        <f t="shared" ca="1" si="98"/>
        <v>#N/A</v>
      </c>
    </row>
    <row r="567" spans="7:35" ht="15" thickBot="1" x14ac:dyDescent="0.35">
      <c r="G567" s="3">
        <f t="shared" ca="1" si="90"/>
        <v>349</v>
      </c>
      <c r="H567" s="99">
        <f t="shared" ca="1" si="89"/>
        <v>45639</v>
      </c>
      <c r="I567" s="123">
        <f ca="1">HLOOKUP($H$4,'Met Data'!$A$2:$F$368,G567,FALSE)</f>
        <v>16.191666666666599</v>
      </c>
      <c r="J567" s="121">
        <f ca="1">HLOOKUP($H$4,'Met Data'!$H$2:$M$368,G567,FALSE)*L567</f>
        <v>1.5333333333333301</v>
      </c>
      <c r="K567" s="100">
        <f ca="1">HLOOKUP($H$4,'Met Data'!$O$2:$T$368,G567,FALSE)</f>
        <v>3.8138486605430502</v>
      </c>
      <c r="L567">
        <f t="shared" ca="1" si="91"/>
        <v>1</v>
      </c>
      <c r="N567" t="e">
        <f t="shared" ca="1" si="92"/>
        <v>#N/A</v>
      </c>
      <c r="O567" t="e">
        <f t="shared" ca="1" si="93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4"/>
        <v>0</v>
      </c>
      <c r="AE567">
        <f t="shared" ca="1" si="95"/>
        <v>0</v>
      </c>
      <c r="AG567" s="65" t="e">
        <f t="shared" ca="1" si="96"/>
        <v>#N/A</v>
      </c>
      <c r="AH567" s="65" t="e">
        <f t="shared" ca="1" si="97"/>
        <v>#N/A</v>
      </c>
      <c r="AI567" s="3" t="e">
        <f t="shared" ca="1" si="98"/>
        <v>#N/A</v>
      </c>
    </row>
    <row r="568" spans="7:35" ht="15" thickBot="1" x14ac:dyDescent="0.35">
      <c r="G568" s="3">
        <f t="shared" ca="1" si="90"/>
        <v>350</v>
      </c>
      <c r="H568" s="99">
        <f t="shared" ca="1" si="89"/>
        <v>45640</v>
      </c>
      <c r="I568" s="123">
        <f ca="1">HLOOKUP($H$4,'Met Data'!$A$2:$F$368,G568,FALSE)</f>
        <v>15.754166666666601</v>
      </c>
      <c r="J568" s="121">
        <f ca="1">HLOOKUP($H$4,'Met Data'!$H$2:$M$368,G568,FALSE)*L568</f>
        <v>4.9166666666666599</v>
      </c>
      <c r="K568" s="100">
        <f ca="1">HLOOKUP($H$4,'Met Data'!$O$2:$T$368,G568,FALSE)</f>
        <v>4.2245531095694204</v>
      </c>
      <c r="L568">
        <f t="shared" ca="1" si="91"/>
        <v>1</v>
      </c>
      <c r="N568" t="e">
        <f t="shared" ca="1" si="92"/>
        <v>#N/A</v>
      </c>
      <c r="O568" t="e">
        <f t="shared" ca="1" si="93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4"/>
        <v>0</v>
      </c>
      <c r="AE568">
        <f t="shared" ca="1" si="95"/>
        <v>0</v>
      </c>
      <c r="AG568" s="65" t="e">
        <f t="shared" ca="1" si="96"/>
        <v>#N/A</v>
      </c>
      <c r="AH568" s="65" t="e">
        <f t="shared" ca="1" si="97"/>
        <v>#N/A</v>
      </c>
      <c r="AI568" s="3" t="e">
        <f t="shared" ca="1" si="98"/>
        <v>#N/A</v>
      </c>
    </row>
    <row r="569" spans="7:35" ht="15" thickBot="1" x14ac:dyDescent="0.35">
      <c r="G569" s="3">
        <f t="shared" ca="1" si="90"/>
        <v>351</v>
      </c>
      <c r="H569" s="99">
        <f t="shared" ca="1" si="89"/>
        <v>45641</v>
      </c>
      <c r="I569" s="123">
        <f ca="1">HLOOKUP($H$4,'Met Data'!$A$2:$F$368,G569,FALSE)</f>
        <v>16.766666666666602</v>
      </c>
      <c r="J569" s="121">
        <f ca="1">HLOOKUP($H$4,'Met Data'!$H$2:$M$368,G569,FALSE)*L569</f>
        <v>1.5999999999999901</v>
      </c>
      <c r="K569" s="100">
        <f ca="1">HLOOKUP($H$4,'Met Data'!$O$2:$T$368,G569,FALSE)</f>
        <v>4.0567025040665996</v>
      </c>
      <c r="L569">
        <f t="shared" ca="1" si="91"/>
        <v>1</v>
      </c>
      <c r="N569" t="e">
        <f t="shared" ca="1" si="92"/>
        <v>#N/A</v>
      </c>
      <c r="O569" t="e">
        <f t="shared" ca="1" si="93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4"/>
        <v>0</v>
      </c>
      <c r="AE569">
        <f t="shared" ca="1" si="95"/>
        <v>0</v>
      </c>
      <c r="AG569" s="65" t="e">
        <f t="shared" ca="1" si="96"/>
        <v>#N/A</v>
      </c>
      <c r="AH569" s="65" t="e">
        <f t="shared" ca="1" si="97"/>
        <v>#N/A</v>
      </c>
      <c r="AI569" s="3" t="e">
        <f t="shared" ca="1" si="98"/>
        <v>#N/A</v>
      </c>
    </row>
    <row r="570" spans="7:35" ht="15" thickBot="1" x14ac:dyDescent="0.35">
      <c r="G570" s="3">
        <f t="shared" ca="1" si="90"/>
        <v>352</v>
      </c>
      <c r="H570" s="99">
        <f t="shared" ca="1" si="89"/>
        <v>45642</v>
      </c>
      <c r="I570" s="123">
        <f ca="1">HLOOKUP($H$4,'Met Data'!$A$2:$F$368,G570,FALSE)</f>
        <v>16.766666666666602</v>
      </c>
      <c r="J570" s="121">
        <f ca="1">HLOOKUP($H$4,'Met Data'!$H$2:$M$368,G570,FALSE)*L570</f>
        <v>4.3166666666666602</v>
      </c>
      <c r="K570" s="100">
        <f ca="1">HLOOKUP($H$4,'Met Data'!$O$2:$T$368,G570,FALSE)</f>
        <v>3.8858032497445998</v>
      </c>
      <c r="L570">
        <f t="shared" ca="1" si="91"/>
        <v>1</v>
      </c>
      <c r="N570" t="e">
        <f t="shared" ca="1" si="92"/>
        <v>#N/A</v>
      </c>
      <c r="O570" t="e">
        <f t="shared" ca="1" si="93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4"/>
        <v>0</v>
      </c>
      <c r="AE570">
        <f t="shared" ca="1" si="95"/>
        <v>0</v>
      </c>
      <c r="AG570" s="65" t="e">
        <f t="shared" ca="1" si="96"/>
        <v>#N/A</v>
      </c>
      <c r="AH570" s="65" t="e">
        <f t="shared" ca="1" si="97"/>
        <v>#N/A</v>
      </c>
      <c r="AI570" s="3" t="e">
        <f t="shared" ca="1" si="98"/>
        <v>#N/A</v>
      </c>
    </row>
    <row r="571" spans="7:35" ht="15" thickBot="1" x14ac:dyDescent="0.35">
      <c r="G571" s="3">
        <f t="shared" ca="1" si="90"/>
        <v>353</v>
      </c>
      <c r="H571" s="99">
        <f t="shared" ca="1" si="89"/>
        <v>45643</v>
      </c>
      <c r="I571" s="123">
        <f ca="1">HLOOKUP($H$4,'Met Data'!$A$2:$F$368,G571,FALSE)</f>
        <v>17.191666666666599</v>
      </c>
      <c r="J571" s="121">
        <f ca="1">HLOOKUP($H$4,'Met Data'!$H$2:$M$368,G571,FALSE)*L571</f>
        <v>1.25</v>
      </c>
      <c r="K571" s="100">
        <f ca="1">HLOOKUP($H$4,'Met Data'!$O$2:$T$368,G571,FALSE)</f>
        <v>3.5439221574521702</v>
      </c>
      <c r="L571">
        <f t="shared" ca="1" si="91"/>
        <v>1</v>
      </c>
      <c r="N571" t="e">
        <f t="shared" ca="1" si="92"/>
        <v>#N/A</v>
      </c>
      <c r="O571" t="e">
        <f t="shared" ca="1" si="93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4"/>
        <v>0</v>
      </c>
      <c r="AE571">
        <f t="shared" ca="1" si="95"/>
        <v>0</v>
      </c>
      <c r="AG571" s="65" t="e">
        <f t="shared" ca="1" si="96"/>
        <v>#N/A</v>
      </c>
      <c r="AH571" s="65" t="e">
        <f t="shared" ca="1" si="97"/>
        <v>#N/A</v>
      </c>
      <c r="AI571" s="3" t="e">
        <f t="shared" ca="1" si="98"/>
        <v>#N/A</v>
      </c>
    </row>
    <row r="572" spans="7:35" ht="15" thickBot="1" x14ac:dyDescent="0.35">
      <c r="G572" s="3">
        <f t="shared" ca="1" si="90"/>
        <v>354</v>
      </c>
      <c r="H572" s="99">
        <f t="shared" ca="1" si="89"/>
        <v>45644</v>
      </c>
      <c r="I572" s="123">
        <f ca="1">HLOOKUP($H$4,'Met Data'!$A$2:$F$368,G572,FALSE)</f>
        <v>16.725000000000001</v>
      </c>
      <c r="J572" s="121">
        <f ca="1">HLOOKUP($H$4,'Met Data'!$H$2:$M$368,G572,FALSE)*L572</f>
        <v>6.43333333333333</v>
      </c>
      <c r="K572" s="100">
        <f ca="1">HLOOKUP($H$4,'Met Data'!$O$2:$T$368,G572,FALSE)</f>
        <v>2.7226403112081199</v>
      </c>
      <c r="L572">
        <f t="shared" ca="1" si="91"/>
        <v>1</v>
      </c>
      <c r="N572" t="e">
        <f t="shared" ca="1" si="92"/>
        <v>#N/A</v>
      </c>
      <c r="O572" t="e">
        <f t="shared" ca="1" si="93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4"/>
        <v>0</v>
      </c>
      <c r="AE572">
        <f t="shared" ca="1" si="95"/>
        <v>0</v>
      </c>
      <c r="AG572" s="65" t="e">
        <f t="shared" ca="1" si="96"/>
        <v>#N/A</v>
      </c>
      <c r="AH572" s="65" t="e">
        <f t="shared" ca="1" si="97"/>
        <v>#N/A</v>
      </c>
      <c r="AI572" s="3" t="e">
        <f t="shared" ca="1" si="98"/>
        <v>#N/A</v>
      </c>
    </row>
    <row r="573" spans="7:35" ht="15" thickBot="1" x14ac:dyDescent="0.35">
      <c r="G573" s="3">
        <f t="shared" ca="1" si="90"/>
        <v>355</v>
      </c>
      <c r="H573" s="99">
        <f t="shared" ca="1" si="89"/>
        <v>45645</v>
      </c>
      <c r="I573" s="123">
        <f ca="1">HLOOKUP($H$4,'Met Data'!$A$2:$F$368,G573,FALSE)</f>
        <v>15.9625</v>
      </c>
      <c r="J573" s="121">
        <f ca="1">HLOOKUP($H$4,'Met Data'!$H$2:$M$368,G573,FALSE)*L573</f>
        <v>4.3333333333333304</v>
      </c>
      <c r="K573" s="100">
        <f ca="1">HLOOKUP($H$4,'Met Data'!$O$2:$T$368,G573,FALSE)</f>
        <v>3.7253118866284498</v>
      </c>
      <c r="L573">
        <f t="shared" ca="1" si="91"/>
        <v>1</v>
      </c>
      <c r="N573" t="e">
        <f t="shared" ca="1" si="92"/>
        <v>#N/A</v>
      </c>
      <c r="O573" t="e">
        <f t="shared" ca="1" si="93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4"/>
        <v>0</v>
      </c>
      <c r="AE573">
        <f t="shared" ca="1" si="95"/>
        <v>0</v>
      </c>
      <c r="AG573" s="65" t="e">
        <f t="shared" ca="1" si="96"/>
        <v>#N/A</v>
      </c>
      <c r="AH573" s="65" t="e">
        <f t="shared" ca="1" si="97"/>
        <v>#N/A</v>
      </c>
      <c r="AI573" s="3" t="e">
        <f t="shared" ca="1" si="98"/>
        <v>#N/A</v>
      </c>
    </row>
    <row r="574" spans="7:35" ht="15" thickBot="1" x14ac:dyDescent="0.35">
      <c r="G574" s="3">
        <f t="shared" ca="1" si="90"/>
        <v>356</v>
      </c>
      <c r="H574" s="99">
        <f t="shared" ca="1" si="89"/>
        <v>45646</v>
      </c>
      <c r="I574" s="123">
        <f ca="1">HLOOKUP($H$4,'Met Data'!$A$2:$F$368,G574,FALSE)</f>
        <v>16.074999999999999</v>
      </c>
      <c r="J574" s="121">
        <f ca="1">HLOOKUP($H$4,'Met Data'!$H$2:$M$368,G574,FALSE)*L574</f>
        <v>0.89999999999999902</v>
      </c>
      <c r="K574" s="100">
        <f ca="1">HLOOKUP($H$4,'Met Data'!$O$2:$T$368,G574,FALSE)</f>
        <v>3.69045556475041</v>
      </c>
      <c r="L574">
        <f t="shared" ca="1" si="91"/>
        <v>1</v>
      </c>
      <c r="N574" t="e">
        <f t="shared" ca="1" si="92"/>
        <v>#N/A</v>
      </c>
      <c r="O574" t="e">
        <f t="shared" ca="1" si="93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4"/>
        <v>0</v>
      </c>
      <c r="AE574">
        <f t="shared" ca="1" si="95"/>
        <v>0</v>
      </c>
      <c r="AG574" s="65" t="e">
        <f t="shared" ca="1" si="96"/>
        <v>#N/A</v>
      </c>
      <c r="AH574" s="65" t="e">
        <f t="shared" ca="1" si="97"/>
        <v>#N/A</v>
      </c>
      <c r="AI574" s="3" t="e">
        <f t="shared" ca="1" si="98"/>
        <v>#N/A</v>
      </c>
    </row>
    <row r="575" spans="7:35" ht="15" thickBot="1" x14ac:dyDescent="0.35">
      <c r="G575" s="3">
        <f t="shared" ca="1" si="90"/>
        <v>357</v>
      </c>
      <c r="H575" s="99">
        <f t="shared" ca="1" si="89"/>
        <v>45647</v>
      </c>
      <c r="I575" s="123">
        <f ca="1">HLOOKUP($H$4,'Met Data'!$A$2:$F$368,G575,FALSE)</f>
        <v>16.1458333333333</v>
      </c>
      <c r="J575" s="121">
        <f ca="1">HLOOKUP($H$4,'Met Data'!$H$2:$M$368,G575,FALSE)*L575</f>
        <v>0.78333333333333299</v>
      </c>
      <c r="K575" s="100">
        <f ca="1">HLOOKUP($H$4,'Met Data'!$O$2:$T$368,G575,FALSE)</f>
        <v>3.66376320931905</v>
      </c>
      <c r="L575">
        <f t="shared" ca="1" si="91"/>
        <v>1</v>
      </c>
      <c r="N575" t="e">
        <f t="shared" ca="1" si="92"/>
        <v>#N/A</v>
      </c>
      <c r="O575" t="e">
        <f t="shared" ca="1" si="93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4"/>
        <v>0</v>
      </c>
      <c r="AE575">
        <f t="shared" ca="1" si="95"/>
        <v>0</v>
      </c>
      <c r="AG575" s="65" t="e">
        <f t="shared" ca="1" si="96"/>
        <v>#N/A</v>
      </c>
      <c r="AH575" s="65" t="e">
        <f t="shared" ca="1" si="97"/>
        <v>#N/A</v>
      </c>
      <c r="AI575" s="3" t="e">
        <f t="shared" ca="1" si="98"/>
        <v>#N/A</v>
      </c>
    </row>
    <row r="576" spans="7:35" ht="15" thickBot="1" x14ac:dyDescent="0.35">
      <c r="G576" s="3">
        <f t="shared" ca="1" si="90"/>
        <v>358</v>
      </c>
      <c r="H576" s="99">
        <f t="shared" ca="1" si="89"/>
        <v>45648</v>
      </c>
      <c r="I576" s="123">
        <f ca="1">HLOOKUP($H$4,'Met Data'!$A$2:$F$368,G576,FALSE)</f>
        <v>16.820833333333301</v>
      </c>
      <c r="J576" s="121">
        <f ca="1">HLOOKUP($H$4,'Met Data'!$H$2:$M$368,G576,FALSE)*L576</f>
        <v>1.1666666666666601</v>
      </c>
      <c r="K576" s="100">
        <f ca="1">HLOOKUP($H$4,'Met Data'!$O$2:$T$368,G576,FALSE)</f>
        <v>4.2904592235930501</v>
      </c>
      <c r="L576">
        <f t="shared" ca="1" si="91"/>
        <v>1</v>
      </c>
      <c r="N576" t="e">
        <f t="shared" ca="1" si="92"/>
        <v>#N/A</v>
      </c>
      <c r="O576" t="e">
        <f t="shared" ca="1" si="93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4"/>
        <v>0</v>
      </c>
      <c r="AE576">
        <f t="shared" ca="1" si="95"/>
        <v>0</v>
      </c>
      <c r="AG576" s="65" t="e">
        <f t="shared" ca="1" si="96"/>
        <v>#N/A</v>
      </c>
      <c r="AH576" s="65" t="e">
        <f t="shared" ca="1" si="97"/>
        <v>#N/A</v>
      </c>
      <c r="AI576" s="3" t="e">
        <f t="shared" ca="1" si="98"/>
        <v>#N/A</v>
      </c>
    </row>
    <row r="577" spans="7:35" ht="15" thickBot="1" x14ac:dyDescent="0.35">
      <c r="G577" s="3">
        <f t="shared" ca="1" si="90"/>
        <v>359</v>
      </c>
      <c r="H577" s="99">
        <f t="shared" ca="1" si="89"/>
        <v>45649</v>
      </c>
      <c r="I577" s="123">
        <f ca="1">HLOOKUP($H$4,'Met Data'!$A$2:$F$368,G577,FALSE)</f>
        <v>16.883333333333301</v>
      </c>
      <c r="J577" s="121">
        <f ca="1">HLOOKUP($H$4,'Met Data'!$H$2:$M$368,G577,FALSE)*L577</f>
        <v>4.1499999999999897</v>
      </c>
      <c r="K577" s="100">
        <f ca="1">HLOOKUP($H$4,'Met Data'!$O$2:$T$368,G577,FALSE)</f>
        <v>3.61274265774352</v>
      </c>
      <c r="L577">
        <f t="shared" ca="1" si="91"/>
        <v>1</v>
      </c>
      <c r="N577" t="e">
        <f t="shared" ca="1" si="92"/>
        <v>#N/A</v>
      </c>
      <c r="O577" t="e">
        <f t="shared" ca="1" si="93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4"/>
        <v>0</v>
      </c>
      <c r="AE577">
        <f t="shared" ca="1" si="95"/>
        <v>0</v>
      </c>
      <c r="AG577" s="65" t="e">
        <f t="shared" ca="1" si="96"/>
        <v>#N/A</v>
      </c>
      <c r="AH577" s="65" t="e">
        <f t="shared" ca="1" si="97"/>
        <v>#N/A</v>
      </c>
      <c r="AI577" s="3" t="e">
        <f t="shared" ca="1" si="98"/>
        <v>#N/A</v>
      </c>
    </row>
    <row r="578" spans="7:35" ht="15" thickBot="1" x14ac:dyDescent="0.35">
      <c r="G578" s="3">
        <f t="shared" ca="1" si="90"/>
        <v>360</v>
      </c>
      <c r="H578" s="99">
        <f t="shared" ca="1" si="89"/>
        <v>45650</v>
      </c>
      <c r="I578" s="123">
        <f ca="1">HLOOKUP($H$4,'Met Data'!$A$2:$F$368,G578,FALSE)</f>
        <v>17.399999999999999</v>
      </c>
      <c r="J578" s="121">
        <f ca="1">HLOOKUP($H$4,'Met Data'!$H$2:$M$368,G578,FALSE)*L578</f>
        <v>5.0166666666666604</v>
      </c>
      <c r="K578" s="100">
        <f ca="1">HLOOKUP($H$4,'Met Data'!$O$2:$T$368,G578,FALSE)</f>
        <v>4.09028075025509</v>
      </c>
      <c r="L578">
        <f t="shared" ca="1" si="91"/>
        <v>1</v>
      </c>
      <c r="N578" t="e">
        <f t="shared" ca="1" si="92"/>
        <v>#N/A</v>
      </c>
      <c r="O578" t="e">
        <f t="shared" ca="1" si="93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4"/>
        <v>0</v>
      </c>
      <c r="AE578">
        <f t="shared" ca="1" si="95"/>
        <v>0</v>
      </c>
      <c r="AG578" s="65" t="e">
        <f t="shared" ca="1" si="96"/>
        <v>#N/A</v>
      </c>
      <c r="AH578" s="65" t="e">
        <f t="shared" ca="1" si="97"/>
        <v>#N/A</v>
      </c>
      <c r="AI578" s="3" t="e">
        <f t="shared" ca="1" si="98"/>
        <v>#N/A</v>
      </c>
    </row>
    <row r="579" spans="7:35" ht="15" thickBot="1" x14ac:dyDescent="0.35">
      <c r="G579" s="3">
        <f t="shared" ca="1" si="90"/>
        <v>361</v>
      </c>
      <c r="H579" s="99">
        <f t="shared" ca="1" si="89"/>
        <v>45651</v>
      </c>
      <c r="I579" s="123">
        <f ca="1">HLOOKUP($H$4,'Met Data'!$A$2:$F$368,G579,FALSE)</f>
        <v>17.920833333333299</v>
      </c>
      <c r="J579" s="121">
        <f ca="1">HLOOKUP($H$4,'Met Data'!$H$2:$M$368,G579,FALSE)*L579</f>
        <v>0.56666666666666599</v>
      </c>
      <c r="K579" s="100">
        <f ca="1">HLOOKUP($H$4,'Met Data'!$O$2:$T$368,G579,FALSE)</f>
        <v>4.1244552423616296</v>
      </c>
      <c r="L579">
        <f t="shared" ca="1" si="91"/>
        <v>1</v>
      </c>
      <c r="N579" t="e">
        <f t="shared" ca="1" si="92"/>
        <v>#N/A</v>
      </c>
      <c r="O579" t="e">
        <f t="shared" ca="1" si="93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4"/>
        <v>0</v>
      </c>
      <c r="AE579">
        <f t="shared" ca="1" si="95"/>
        <v>0</v>
      </c>
      <c r="AG579" s="65" t="e">
        <f t="shared" ca="1" si="96"/>
        <v>#N/A</v>
      </c>
      <c r="AH579" s="65" t="e">
        <f t="shared" ca="1" si="97"/>
        <v>#N/A</v>
      </c>
      <c r="AI579" s="3" t="e">
        <f t="shared" ca="1" si="98"/>
        <v>#N/A</v>
      </c>
    </row>
    <row r="580" spans="7:35" ht="15" thickBot="1" x14ac:dyDescent="0.35">
      <c r="G580" s="3">
        <f t="shared" ca="1" si="90"/>
        <v>362</v>
      </c>
      <c r="H580" s="99">
        <f t="shared" ca="1" si="89"/>
        <v>45652</v>
      </c>
      <c r="I580" s="123">
        <f ca="1">HLOOKUP($H$4,'Met Data'!$A$2:$F$368,G580,FALSE)</f>
        <v>17.537500000000001</v>
      </c>
      <c r="J580" s="121">
        <f ca="1">HLOOKUP($H$4,'Met Data'!$H$2:$M$368,G580,FALSE)*L580</f>
        <v>1.2833333333333301</v>
      </c>
      <c r="K580" s="100">
        <f ca="1">HLOOKUP($H$4,'Met Data'!$O$2:$T$368,G580,FALSE)</f>
        <v>4.3692883234689903</v>
      </c>
      <c r="L580">
        <f t="shared" ca="1" si="91"/>
        <v>1</v>
      </c>
      <c r="N580" t="e">
        <f t="shared" ca="1" si="92"/>
        <v>#N/A</v>
      </c>
      <c r="O580" t="e">
        <f t="shared" ca="1" si="93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4"/>
        <v>0</v>
      </c>
      <c r="AE580">
        <f t="shared" ca="1" si="95"/>
        <v>0</v>
      </c>
      <c r="AG580" s="65" t="e">
        <f t="shared" ca="1" si="96"/>
        <v>#N/A</v>
      </c>
      <c r="AH580" s="65" t="e">
        <f t="shared" ca="1" si="97"/>
        <v>#N/A</v>
      </c>
      <c r="AI580" s="3" t="e">
        <f t="shared" ca="1" si="98"/>
        <v>#N/A</v>
      </c>
    </row>
    <row r="581" spans="7:35" ht="15" thickBot="1" x14ac:dyDescent="0.35">
      <c r="G581" s="3">
        <f t="shared" ca="1" si="90"/>
        <v>363</v>
      </c>
      <c r="H581" s="99">
        <f t="shared" ca="1" si="89"/>
        <v>45653</v>
      </c>
      <c r="I581" s="123">
        <f ca="1">HLOOKUP($H$4,'Met Data'!$A$2:$F$368,G581,FALSE)</f>
        <v>17.012499999999999</v>
      </c>
      <c r="J581" s="121">
        <f ca="1">HLOOKUP($H$4,'Met Data'!$H$2:$M$368,G581,FALSE)*L581</f>
        <v>1.5833333333333299</v>
      </c>
      <c r="K581" s="100">
        <f ca="1">HLOOKUP($H$4,'Met Data'!$O$2:$T$368,G581,FALSE)</f>
        <v>3.8686759650684999</v>
      </c>
      <c r="L581">
        <f t="shared" ca="1" si="91"/>
        <v>1</v>
      </c>
      <c r="N581" t="e">
        <f t="shared" ca="1" si="92"/>
        <v>#N/A</v>
      </c>
      <c r="O581" t="e">
        <f t="shared" ca="1" si="93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4"/>
        <v>0</v>
      </c>
      <c r="AE581">
        <f t="shared" ca="1" si="95"/>
        <v>0</v>
      </c>
      <c r="AG581" s="65" t="e">
        <f t="shared" ca="1" si="96"/>
        <v>#N/A</v>
      </c>
      <c r="AH581" s="65" t="e">
        <f t="shared" ca="1" si="97"/>
        <v>#N/A</v>
      </c>
      <c r="AI581" s="3" t="e">
        <f t="shared" ca="1" si="98"/>
        <v>#N/A</v>
      </c>
    </row>
    <row r="582" spans="7:35" ht="15" thickBot="1" x14ac:dyDescent="0.35">
      <c r="G582" s="3">
        <f t="shared" ca="1" si="90"/>
        <v>364</v>
      </c>
      <c r="H582" s="99">
        <f t="shared" ca="1" si="89"/>
        <v>45654</v>
      </c>
      <c r="I582" s="123">
        <f ca="1">HLOOKUP($H$4,'Met Data'!$A$2:$F$368,G582,FALSE)</f>
        <v>17.1041666666666</v>
      </c>
      <c r="J582" s="121">
        <f ca="1">HLOOKUP($H$4,'Met Data'!$H$2:$M$368,G582,FALSE)*L582</f>
        <v>4.2833333333333297</v>
      </c>
      <c r="K582" s="100">
        <f ca="1">HLOOKUP($H$4,'Met Data'!$O$2:$T$368,G582,FALSE)</f>
        <v>3.65125453231978</v>
      </c>
      <c r="L582">
        <f t="shared" ca="1" si="91"/>
        <v>1</v>
      </c>
      <c r="N582" t="e">
        <f t="shared" ca="1" si="92"/>
        <v>#N/A</v>
      </c>
      <c r="O582" t="e">
        <f t="shared" ca="1" si="93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4"/>
        <v>0</v>
      </c>
      <c r="AE582">
        <f t="shared" ca="1" si="95"/>
        <v>0</v>
      </c>
      <c r="AG582" s="65" t="e">
        <f t="shared" ca="1" si="96"/>
        <v>#N/A</v>
      </c>
      <c r="AH582" s="65" t="e">
        <f t="shared" ca="1" si="97"/>
        <v>#N/A</v>
      </c>
      <c r="AI582" s="3" t="e">
        <f t="shared" ca="1" si="98"/>
        <v>#N/A</v>
      </c>
    </row>
    <row r="583" spans="7:35" ht="15" thickBot="1" x14ac:dyDescent="0.35">
      <c r="G583" s="3">
        <f t="shared" ca="1" si="90"/>
        <v>365</v>
      </c>
      <c r="H583" s="99">
        <f t="shared" ca="1" si="89"/>
        <v>45655</v>
      </c>
      <c r="I583" s="123">
        <f ca="1">HLOOKUP($H$4,'Met Data'!$A$2:$F$368,G583,FALSE)</f>
        <v>17.0541666666666</v>
      </c>
      <c r="J583" s="121">
        <f ca="1">HLOOKUP($H$4,'Met Data'!$H$2:$M$368,G583,FALSE)*L583</f>
        <v>3.68333333333333</v>
      </c>
      <c r="K583" s="100">
        <f ca="1">HLOOKUP($H$4,'Met Data'!$O$2:$T$368,G583,FALSE)</f>
        <v>3.3111049356888498</v>
      </c>
      <c r="L583">
        <f t="shared" ca="1" si="91"/>
        <v>1</v>
      </c>
      <c r="N583" t="e">
        <f t="shared" ca="1" si="92"/>
        <v>#N/A</v>
      </c>
      <c r="O583" t="e">
        <f t="shared" ca="1" si="93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4"/>
        <v>0</v>
      </c>
      <c r="AE583">
        <f t="shared" ca="1" si="95"/>
        <v>0</v>
      </c>
      <c r="AG583" s="65" t="e">
        <f t="shared" ca="1" si="96"/>
        <v>#N/A</v>
      </c>
      <c r="AH583" s="65" t="e">
        <f t="shared" ca="1" si="97"/>
        <v>#N/A</v>
      </c>
      <c r="AI583" s="3" t="e">
        <f t="shared" ca="1" si="98"/>
        <v>#N/A</v>
      </c>
    </row>
    <row r="584" spans="7:35" ht="15" thickBot="1" x14ac:dyDescent="0.35">
      <c r="G584" s="3">
        <f t="shared" ca="1" si="90"/>
        <v>366</v>
      </c>
      <c r="H584" s="99">
        <f t="shared" ref="H584:H647" ca="1" si="99">H583+1</f>
        <v>45656</v>
      </c>
      <c r="I584" s="123">
        <f ca="1">HLOOKUP($H$4,'Met Data'!$A$2:$F$368,G584,FALSE)</f>
        <v>16.6875</v>
      </c>
      <c r="J584" s="121">
        <f ca="1">HLOOKUP($H$4,'Met Data'!$H$2:$M$368,G584,FALSE)*L584</f>
        <v>4.68333333333333</v>
      </c>
      <c r="K584" s="100">
        <f ca="1">HLOOKUP($H$4,'Met Data'!$O$2:$T$368,G584,FALSE)</f>
        <v>3.7095349810249001</v>
      </c>
      <c r="L584">
        <f t="shared" ca="1" si="91"/>
        <v>1</v>
      </c>
      <c r="N584" t="e">
        <f t="shared" ca="1" si="92"/>
        <v>#N/A</v>
      </c>
      <c r="O584" t="e">
        <f t="shared" ca="1" si="93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4"/>
        <v>0</v>
      </c>
      <c r="AE584">
        <f t="shared" ca="1" si="95"/>
        <v>0</v>
      </c>
      <c r="AG584" s="65" t="e">
        <f t="shared" ca="1" si="96"/>
        <v>#N/A</v>
      </c>
      <c r="AH584" s="65" t="e">
        <f t="shared" ca="1" si="97"/>
        <v>#N/A</v>
      </c>
      <c r="AI584" s="3" t="e">
        <f t="shared" ca="1" si="98"/>
        <v>#N/A</v>
      </c>
    </row>
    <row r="585" spans="7:35" ht="15" thickBot="1" x14ac:dyDescent="0.35">
      <c r="G585" s="3">
        <f t="shared" ca="1" si="90"/>
        <v>367</v>
      </c>
      <c r="H585" s="99">
        <f t="shared" ca="1" si="99"/>
        <v>45657</v>
      </c>
      <c r="I585" s="123">
        <f ca="1">HLOOKUP($H$4,'Met Data'!$A$2:$F$368,G585,FALSE)</f>
        <v>15.483333333333301</v>
      </c>
      <c r="J585" s="121">
        <f ca="1">HLOOKUP($H$4,'Met Data'!$H$2:$M$368,G585,FALSE)*L585</f>
        <v>0</v>
      </c>
      <c r="K585" s="100">
        <f ca="1">HLOOKUP($H$4,'Met Data'!$O$2:$T$368,G585,FALSE)</f>
        <v>5.2329405479025102</v>
      </c>
      <c r="L585">
        <f t="shared" ca="1" si="91"/>
        <v>1</v>
      </c>
      <c r="N585" t="e">
        <f t="shared" ca="1" si="92"/>
        <v>#N/A</v>
      </c>
      <c r="O585" t="e">
        <f t="shared" ca="1" si="93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4"/>
        <v>0</v>
      </c>
      <c r="AE585">
        <f t="shared" ca="1" si="95"/>
        <v>0</v>
      </c>
      <c r="AG585" s="65" t="e">
        <f t="shared" ca="1" si="96"/>
        <v>#N/A</v>
      </c>
      <c r="AH585" s="65" t="e">
        <f t="shared" ca="1" si="97"/>
        <v>#N/A</v>
      </c>
      <c r="AI585" s="3" t="e">
        <f t="shared" ca="1" si="98"/>
        <v>#N/A</v>
      </c>
    </row>
    <row r="586" spans="7:35" ht="15" thickBot="1" x14ac:dyDescent="0.35">
      <c r="G586" s="3">
        <f t="shared" ca="1" si="90"/>
        <v>2</v>
      </c>
      <c r="H586" s="99">
        <f t="shared" ca="1" si="99"/>
        <v>45658</v>
      </c>
      <c r="I586" s="123">
        <f ca="1">HLOOKUP($H$4,'Met Data'!$A$2:$F$368,G586,FALSE)</f>
        <v>17.908333333333299</v>
      </c>
      <c r="J586" s="121">
        <f ca="1">HLOOKUP($H$4,'Met Data'!$H$2:$M$368,G586,FALSE)*L586</f>
        <v>2.5499999999999998</v>
      </c>
      <c r="K586" s="100">
        <f ca="1">HLOOKUP($H$4,'Met Data'!$O$2:$T$368,G586,FALSE)</f>
        <v>3.6545263506553698</v>
      </c>
      <c r="L586">
        <f t="shared" ca="1" si="91"/>
        <v>1</v>
      </c>
      <c r="N586" t="e">
        <f t="shared" ca="1" si="92"/>
        <v>#N/A</v>
      </c>
      <c r="O586" t="e">
        <f t="shared" ca="1" si="93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4"/>
        <v>0</v>
      </c>
      <c r="AE586">
        <f t="shared" ca="1" si="95"/>
        <v>0</v>
      </c>
      <c r="AG586" s="65" t="e">
        <f t="shared" ca="1" si="96"/>
        <v>#N/A</v>
      </c>
      <c r="AH586" s="65" t="e">
        <f t="shared" ca="1" si="97"/>
        <v>#N/A</v>
      </c>
      <c r="AI586" s="3" t="e">
        <f t="shared" ca="1" si="98"/>
        <v>#N/A</v>
      </c>
    </row>
    <row r="587" spans="7:35" ht="15" thickBot="1" x14ac:dyDescent="0.35">
      <c r="G587" s="3">
        <f t="shared" ca="1" si="90"/>
        <v>3</v>
      </c>
      <c r="H587" s="99">
        <f t="shared" ca="1" si="99"/>
        <v>45659</v>
      </c>
      <c r="I587" s="123">
        <f ca="1">HLOOKUP($H$4,'Met Data'!$A$2:$F$368,G587,FALSE)</f>
        <v>18.454166666666602</v>
      </c>
      <c r="J587" s="121">
        <f ca="1">HLOOKUP($H$4,'Met Data'!$H$2:$M$368,G587,FALSE)*L587</f>
        <v>2.3166666666666602</v>
      </c>
      <c r="K587" s="100">
        <f ca="1">HLOOKUP($H$4,'Met Data'!$O$2:$T$368,G587,FALSE)</f>
        <v>3.0374578661788201</v>
      </c>
      <c r="L587">
        <f t="shared" ca="1" si="91"/>
        <v>1</v>
      </c>
      <c r="N587" t="e">
        <f t="shared" ca="1" si="92"/>
        <v>#N/A</v>
      </c>
      <c r="O587" t="e">
        <f t="shared" ca="1" si="93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4"/>
        <v>0</v>
      </c>
      <c r="AE587">
        <f t="shared" ca="1" si="95"/>
        <v>0</v>
      </c>
      <c r="AG587" s="65" t="e">
        <f t="shared" ca="1" si="96"/>
        <v>#N/A</v>
      </c>
      <c r="AH587" s="65" t="e">
        <f t="shared" ca="1" si="97"/>
        <v>#N/A</v>
      </c>
      <c r="AI587" s="3" t="e">
        <f t="shared" ca="1" si="98"/>
        <v>#N/A</v>
      </c>
    </row>
    <row r="588" spans="7:35" ht="15" thickBot="1" x14ac:dyDescent="0.35">
      <c r="G588" s="3">
        <f t="shared" ca="1" si="90"/>
        <v>4</v>
      </c>
      <c r="H588" s="99">
        <f t="shared" ca="1" si="99"/>
        <v>45660</v>
      </c>
      <c r="I588" s="123">
        <f ca="1">HLOOKUP($H$4,'Met Data'!$A$2:$F$368,G588,FALSE)</f>
        <v>18.4916666666666</v>
      </c>
      <c r="J588" s="121">
        <f ca="1">HLOOKUP($H$4,'Met Data'!$H$2:$M$368,G588,FALSE)*L588</f>
        <v>6.6333333333333302</v>
      </c>
      <c r="K588" s="100">
        <f ca="1">HLOOKUP($H$4,'Met Data'!$O$2:$T$368,G588,FALSE)</f>
        <v>3.5424660833564698</v>
      </c>
      <c r="L588">
        <f t="shared" ca="1" si="91"/>
        <v>1</v>
      </c>
      <c r="N588" t="e">
        <f t="shared" ca="1" si="92"/>
        <v>#N/A</v>
      </c>
      <c r="O588" t="e">
        <f t="shared" ca="1" si="93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4"/>
        <v>0</v>
      </c>
      <c r="AE588">
        <f t="shared" ca="1" si="95"/>
        <v>0</v>
      </c>
      <c r="AG588" s="65" t="e">
        <f t="shared" ca="1" si="96"/>
        <v>#N/A</v>
      </c>
      <c r="AH588" s="65" t="e">
        <f t="shared" ca="1" si="97"/>
        <v>#N/A</v>
      </c>
      <c r="AI588" s="3" t="e">
        <f t="shared" ca="1" si="98"/>
        <v>#N/A</v>
      </c>
    </row>
    <row r="589" spans="7:35" ht="15" thickBot="1" x14ac:dyDescent="0.35">
      <c r="G589" s="3">
        <f t="shared" ca="1" si="90"/>
        <v>5</v>
      </c>
      <c r="H589" s="99">
        <f t="shared" ca="1" si="99"/>
        <v>45661</v>
      </c>
      <c r="I589" s="123">
        <f ca="1">HLOOKUP($H$4,'Met Data'!$A$2:$F$368,G589,FALSE)</f>
        <v>17</v>
      </c>
      <c r="J589" s="121">
        <f ca="1">HLOOKUP($H$4,'Met Data'!$H$2:$M$368,G589,FALSE)*L589</f>
        <v>1.93333333333333</v>
      </c>
      <c r="K589" s="100">
        <f ca="1">HLOOKUP($H$4,'Met Data'!$O$2:$T$368,G589,FALSE)</f>
        <v>4.6893309655458602</v>
      </c>
      <c r="L589">
        <f t="shared" ca="1" si="91"/>
        <v>1</v>
      </c>
      <c r="N589" t="e">
        <f t="shared" ca="1" si="92"/>
        <v>#N/A</v>
      </c>
      <c r="O589" t="e">
        <f t="shared" ca="1" si="93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4"/>
        <v>0</v>
      </c>
      <c r="AE589">
        <f t="shared" ca="1" si="95"/>
        <v>0</v>
      </c>
      <c r="AG589" s="65" t="e">
        <f t="shared" ca="1" si="96"/>
        <v>#N/A</v>
      </c>
      <c r="AH589" s="65" t="e">
        <f t="shared" ca="1" si="97"/>
        <v>#N/A</v>
      </c>
      <c r="AI589" s="3" t="e">
        <f t="shared" ca="1" si="98"/>
        <v>#N/A</v>
      </c>
    </row>
    <row r="590" spans="7:35" ht="15" thickBot="1" x14ac:dyDescent="0.35">
      <c r="G590" s="3">
        <f t="shared" ca="1" si="90"/>
        <v>6</v>
      </c>
      <c r="H590" s="99">
        <f t="shared" ca="1" si="99"/>
        <v>45662</v>
      </c>
      <c r="I590" s="123">
        <f ca="1">HLOOKUP($H$4,'Met Data'!$A$2:$F$368,G590,FALSE)</f>
        <v>16.4166666666666</v>
      </c>
      <c r="J590" s="121">
        <f ca="1">HLOOKUP($H$4,'Met Data'!$H$2:$M$368,G590,FALSE)*L590</f>
        <v>2.9833333333333298</v>
      </c>
      <c r="K590" s="100">
        <f ca="1">HLOOKUP($H$4,'Met Data'!$O$2:$T$368,G590,FALSE)</f>
        <v>4.0957861961112103</v>
      </c>
      <c r="L590">
        <f t="shared" ca="1" si="91"/>
        <v>1</v>
      </c>
      <c r="N590" t="e">
        <f t="shared" ca="1" si="92"/>
        <v>#N/A</v>
      </c>
      <c r="O590" t="e">
        <f t="shared" ca="1" si="93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4"/>
        <v>0</v>
      </c>
      <c r="AE590">
        <f t="shared" ca="1" si="95"/>
        <v>0</v>
      </c>
      <c r="AG590" s="65" t="e">
        <f t="shared" ca="1" si="96"/>
        <v>#N/A</v>
      </c>
      <c r="AH590" s="65" t="e">
        <f t="shared" ca="1" si="97"/>
        <v>#N/A</v>
      </c>
      <c r="AI590" s="3" t="e">
        <f t="shared" ca="1" si="98"/>
        <v>#N/A</v>
      </c>
    </row>
    <row r="591" spans="7:35" ht="15" thickBot="1" x14ac:dyDescent="0.35">
      <c r="G591" s="3">
        <f t="shared" ca="1" si="90"/>
        <v>7</v>
      </c>
      <c r="H591" s="99">
        <f t="shared" ca="1" si="99"/>
        <v>45663</v>
      </c>
      <c r="I591" s="123">
        <f ca="1">HLOOKUP($H$4,'Met Data'!$A$2:$F$368,G591,FALSE)</f>
        <v>17.629166666666599</v>
      </c>
      <c r="J591" s="121">
        <f ca="1">HLOOKUP($H$4,'Met Data'!$H$2:$M$368,G591,FALSE)*L591</f>
        <v>0.43333333333333302</v>
      </c>
      <c r="K591" s="100">
        <f ca="1">HLOOKUP($H$4,'Met Data'!$O$2:$T$368,G591,FALSE)</f>
        <v>4.0765351917680999</v>
      </c>
      <c r="L591">
        <f t="shared" ca="1" si="91"/>
        <v>1</v>
      </c>
      <c r="N591" t="e">
        <f t="shared" ca="1" si="92"/>
        <v>#N/A</v>
      </c>
      <c r="O591" t="e">
        <f t="shared" ca="1" si="93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4"/>
        <v>0</v>
      </c>
      <c r="AE591">
        <f t="shared" ca="1" si="95"/>
        <v>0</v>
      </c>
      <c r="AG591" s="65" t="e">
        <f t="shared" ca="1" si="96"/>
        <v>#N/A</v>
      </c>
      <c r="AH591" s="65" t="e">
        <f t="shared" ca="1" si="97"/>
        <v>#N/A</v>
      </c>
      <c r="AI591" s="3" t="e">
        <f t="shared" ca="1" si="98"/>
        <v>#N/A</v>
      </c>
    </row>
    <row r="592" spans="7:35" ht="15" thickBot="1" x14ac:dyDescent="0.35">
      <c r="G592" s="3">
        <f t="shared" ca="1" si="90"/>
        <v>8</v>
      </c>
      <c r="H592" s="99">
        <f t="shared" ca="1" si="99"/>
        <v>45664</v>
      </c>
      <c r="I592" s="123">
        <f ca="1">HLOOKUP($H$4,'Met Data'!$A$2:$F$368,G592,FALSE)</f>
        <v>17.004166666666599</v>
      </c>
      <c r="J592" s="121">
        <f ca="1">HLOOKUP($H$4,'Met Data'!$H$2:$M$368,G592,FALSE)*L592</f>
        <v>2.7833333333333301</v>
      </c>
      <c r="K592" s="100">
        <f ca="1">HLOOKUP($H$4,'Met Data'!$O$2:$T$368,G592,FALSE)</f>
        <v>3.5869881049730998</v>
      </c>
      <c r="L592">
        <f t="shared" ca="1" si="91"/>
        <v>1</v>
      </c>
      <c r="N592" t="e">
        <f t="shared" ca="1" si="92"/>
        <v>#N/A</v>
      </c>
      <c r="O592" t="e">
        <f t="shared" ca="1" si="93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4"/>
        <v>0</v>
      </c>
      <c r="AE592">
        <f t="shared" ca="1" si="95"/>
        <v>0</v>
      </c>
      <c r="AG592" s="65" t="e">
        <f t="shared" ca="1" si="96"/>
        <v>#N/A</v>
      </c>
      <c r="AH592" s="65" t="e">
        <f t="shared" ca="1" si="97"/>
        <v>#N/A</v>
      </c>
      <c r="AI592" s="3" t="e">
        <f t="shared" ca="1" si="98"/>
        <v>#N/A</v>
      </c>
    </row>
    <row r="593" spans="7:35" ht="15" thickBot="1" x14ac:dyDescent="0.35">
      <c r="G593" s="3">
        <f t="shared" ca="1" si="90"/>
        <v>9</v>
      </c>
      <c r="H593" s="99">
        <f t="shared" ca="1" si="99"/>
        <v>45665</v>
      </c>
      <c r="I593" s="123">
        <f ca="1">HLOOKUP($H$4,'Met Data'!$A$2:$F$368,G593,FALSE)</f>
        <v>17.433333333333302</v>
      </c>
      <c r="J593" s="121">
        <f ca="1">HLOOKUP($H$4,'Met Data'!$H$2:$M$368,G593,FALSE)*L593</f>
        <v>2.3833333333333302</v>
      </c>
      <c r="K593" s="100">
        <f ca="1">HLOOKUP($H$4,'Met Data'!$O$2:$T$368,G593,FALSE)</f>
        <v>4.2605807421289903</v>
      </c>
      <c r="L593">
        <f t="shared" ca="1" si="91"/>
        <v>1</v>
      </c>
      <c r="N593" t="e">
        <f t="shared" ca="1" si="92"/>
        <v>#N/A</v>
      </c>
      <c r="O593" t="e">
        <f t="shared" ca="1" si="93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4"/>
        <v>0</v>
      </c>
      <c r="AE593">
        <f t="shared" ca="1" si="95"/>
        <v>0</v>
      </c>
      <c r="AG593" s="65" t="e">
        <f t="shared" ca="1" si="96"/>
        <v>#N/A</v>
      </c>
      <c r="AH593" s="65" t="e">
        <f t="shared" ca="1" si="97"/>
        <v>#N/A</v>
      </c>
      <c r="AI593" s="3" t="e">
        <f t="shared" ca="1" si="98"/>
        <v>#N/A</v>
      </c>
    </row>
    <row r="594" spans="7:35" ht="15" thickBot="1" x14ac:dyDescent="0.35">
      <c r="G594" s="3">
        <f t="shared" ca="1" si="90"/>
        <v>10</v>
      </c>
      <c r="H594" s="99">
        <f t="shared" ca="1" si="99"/>
        <v>45666</v>
      </c>
      <c r="I594" s="123">
        <f ca="1">HLOOKUP($H$4,'Met Data'!$A$2:$F$368,G594,FALSE)</f>
        <v>17.0208333333333</v>
      </c>
      <c r="J594" s="121">
        <f ca="1">HLOOKUP($H$4,'Met Data'!$H$2:$M$368,G594,FALSE)*L594</f>
        <v>0.3</v>
      </c>
      <c r="K594" s="100">
        <f ca="1">HLOOKUP($H$4,'Met Data'!$O$2:$T$368,G594,FALSE)</f>
        <v>4.14669035003873</v>
      </c>
      <c r="L594">
        <f t="shared" ca="1" si="91"/>
        <v>1</v>
      </c>
      <c r="N594" t="e">
        <f t="shared" ca="1" si="92"/>
        <v>#N/A</v>
      </c>
      <c r="O594" t="e">
        <f t="shared" ca="1" si="93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4"/>
        <v>0</v>
      </c>
      <c r="AE594">
        <f t="shared" ca="1" si="95"/>
        <v>0</v>
      </c>
      <c r="AG594" s="65" t="e">
        <f t="shared" ca="1" si="96"/>
        <v>#N/A</v>
      </c>
      <c r="AH594" s="65" t="e">
        <f t="shared" ca="1" si="97"/>
        <v>#N/A</v>
      </c>
      <c r="AI594" s="3" t="e">
        <f t="shared" ca="1" si="98"/>
        <v>#N/A</v>
      </c>
    </row>
    <row r="595" spans="7:35" ht="15" thickBot="1" x14ac:dyDescent="0.35">
      <c r="G595" s="3">
        <f t="shared" ca="1" si="90"/>
        <v>11</v>
      </c>
      <c r="H595" s="99">
        <f t="shared" ca="1" si="99"/>
        <v>45667</v>
      </c>
      <c r="I595" s="123">
        <f ca="1">HLOOKUP($H$4,'Met Data'!$A$2:$F$368,G595,FALSE)</f>
        <v>17.6041666666666</v>
      </c>
      <c r="J595" s="121">
        <f ca="1">HLOOKUP($H$4,'Met Data'!$H$2:$M$368,G595,FALSE)*L595</f>
        <v>0.88333333333333297</v>
      </c>
      <c r="K595" s="100">
        <f ca="1">HLOOKUP($H$4,'Met Data'!$O$2:$T$368,G595,FALSE)</f>
        <v>3.4815515936566799</v>
      </c>
      <c r="L595">
        <f t="shared" ca="1" si="91"/>
        <v>1</v>
      </c>
      <c r="N595" t="e">
        <f t="shared" ca="1" si="92"/>
        <v>#N/A</v>
      </c>
      <c r="O595" t="e">
        <f t="shared" ca="1" si="93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4"/>
        <v>0</v>
      </c>
      <c r="AE595">
        <f t="shared" ca="1" si="95"/>
        <v>0</v>
      </c>
      <c r="AG595" s="65" t="e">
        <f t="shared" ca="1" si="96"/>
        <v>#N/A</v>
      </c>
      <c r="AH595" s="65" t="e">
        <f t="shared" ca="1" si="97"/>
        <v>#N/A</v>
      </c>
      <c r="AI595" s="3" t="e">
        <f t="shared" ca="1" si="98"/>
        <v>#N/A</v>
      </c>
    </row>
    <row r="596" spans="7:35" ht="15" thickBot="1" x14ac:dyDescent="0.35">
      <c r="G596" s="3">
        <f t="shared" ca="1" si="90"/>
        <v>12</v>
      </c>
      <c r="H596" s="99">
        <f t="shared" ca="1" si="99"/>
        <v>45668</v>
      </c>
      <c r="I596" s="123">
        <f ca="1">HLOOKUP($H$4,'Met Data'!$A$2:$F$368,G596,FALSE)</f>
        <v>17.654166666666601</v>
      </c>
      <c r="J596" s="121">
        <f ca="1">HLOOKUP($H$4,'Met Data'!$H$2:$M$368,G596,FALSE)*L596</f>
        <v>0.33333333333333298</v>
      </c>
      <c r="K596" s="100">
        <f ca="1">HLOOKUP($H$4,'Met Data'!$O$2:$T$368,G596,FALSE)</f>
        <v>4.1035718910061201</v>
      </c>
      <c r="L596">
        <f t="shared" ca="1" si="91"/>
        <v>1</v>
      </c>
      <c r="N596" t="e">
        <f t="shared" ca="1" si="92"/>
        <v>#N/A</v>
      </c>
      <c r="O596" t="e">
        <f t="shared" ca="1" si="93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4"/>
        <v>0</v>
      </c>
      <c r="AE596">
        <f t="shared" ca="1" si="95"/>
        <v>0</v>
      </c>
      <c r="AG596" s="65" t="e">
        <f t="shared" ca="1" si="96"/>
        <v>#N/A</v>
      </c>
      <c r="AH596" s="65" t="e">
        <f t="shared" ca="1" si="97"/>
        <v>#N/A</v>
      </c>
      <c r="AI596" s="3" t="e">
        <f t="shared" ca="1" si="98"/>
        <v>#N/A</v>
      </c>
    </row>
    <row r="597" spans="7:35" ht="15" thickBot="1" x14ac:dyDescent="0.35">
      <c r="G597" s="3">
        <f t="shared" ca="1" si="90"/>
        <v>13</v>
      </c>
      <c r="H597" s="99">
        <f t="shared" ca="1" si="99"/>
        <v>45669</v>
      </c>
      <c r="I597" s="123">
        <f ca="1">HLOOKUP($H$4,'Met Data'!$A$2:$F$368,G597,FALSE)</f>
        <v>18.175000000000001</v>
      </c>
      <c r="J597" s="121">
        <f ca="1">HLOOKUP($H$4,'Met Data'!$H$2:$M$368,G597,FALSE)*L597</f>
        <v>0.96666666666666601</v>
      </c>
      <c r="K597" s="100">
        <f ca="1">HLOOKUP($H$4,'Met Data'!$O$2:$T$368,G597,FALSE)</f>
        <v>3.7942004669494902</v>
      </c>
      <c r="L597">
        <f t="shared" ca="1" si="91"/>
        <v>1</v>
      </c>
      <c r="N597" t="e">
        <f t="shared" ca="1" si="92"/>
        <v>#N/A</v>
      </c>
      <c r="O597" t="e">
        <f t="shared" ca="1" si="93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4"/>
        <v>0</v>
      </c>
      <c r="AE597">
        <f t="shared" ca="1" si="95"/>
        <v>0</v>
      </c>
      <c r="AG597" s="65" t="e">
        <f t="shared" ca="1" si="96"/>
        <v>#N/A</v>
      </c>
      <c r="AH597" s="65" t="e">
        <f t="shared" ca="1" si="97"/>
        <v>#N/A</v>
      </c>
      <c r="AI597" s="3" t="e">
        <f t="shared" ca="1" si="98"/>
        <v>#N/A</v>
      </c>
    </row>
    <row r="598" spans="7:35" ht="15" thickBot="1" x14ac:dyDescent="0.35">
      <c r="G598" s="3">
        <f t="shared" ca="1" si="90"/>
        <v>14</v>
      </c>
      <c r="H598" s="99">
        <f t="shared" ca="1" si="99"/>
        <v>45670</v>
      </c>
      <c r="I598" s="123">
        <f ca="1">HLOOKUP($H$4,'Met Data'!$A$2:$F$368,G598,FALSE)</f>
        <v>17.883333333333301</v>
      </c>
      <c r="J598" s="121">
        <f ca="1">HLOOKUP($H$4,'Met Data'!$H$2:$M$368,G598,FALSE)*L598</f>
        <v>3.0333333333333301</v>
      </c>
      <c r="K598" s="100">
        <f ca="1">HLOOKUP($H$4,'Met Data'!$O$2:$T$368,G598,FALSE)</f>
        <v>3.9941259720520699</v>
      </c>
      <c r="L598">
        <f t="shared" ca="1" si="91"/>
        <v>1</v>
      </c>
      <c r="N598" t="e">
        <f t="shared" ca="1" si="92"/>
        <v>#N/A</v>
      </c>
      <c r="O598" t="e">
        <f t="shared" ca="1" si="93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4"/>
        <v>0</v>
      </c>
      <c r="AE598">
        <f t="shared" ca="1" si="95"/>
        <v>0</v>
      </c>
      <c r="AG598" s="65" t="e">
        <f t="shared" ca="1" si="96"/>
        <v>#N/A</v>
      </c>
      <c r="AH598" s="65" t="e">
        <f t="shared" ca="1" si="97"/>
        <v>#N/A</v>
      </c>
      <c r="AI598" s="3" t="e">
        <f t="shared" ca="1" si="98"/>
        <v>#N/A</v>
      </c>
    </row>
    <row r="599" spans="7:35" ht="15" thickBot="1" x14ac:dyDescent="0.35">
      <c r="G599" s="3">
        <f t="shared" ca="1" si="90"/>
        <v>15</v>
      </c>
      <c r="H599" s="99">
        <f t="shared" ca="1" si="99"/>
        <v>45671</v>
      </c>
      <c r="I599" s="123">
        <f ca="1">HLOOKUP($H$4,'Met Data'!$A$2:$F$368,G599,FALSE)</f>
        <v>17.279166666666601</v>
      </c>
      <c r="J599" s="121">
        <f ca="1">HLOOKUP($H$4,'Met Data'!$H$2:$M$368,G599,FALSE)*L599</f>
        <v>2.8833333333333302</v>
      </c>
      <c r="K599" s="100">
        <f ca="1">HLOOKUP($H$4,'Met Data'!$O$2:$T$368,G599,FALSE)</f>
        <v>4.3919546564694203</v>
      </c>
      <c r="L599">
        <f t="shared" ca="1" si="91"/>
        <v>1</v>
      </c>
      <c r="N599" t="e">
        <f t="shared" ca="1" si="92"/>
        <v>#N/A</v>
      </c>
      <c r="O599" t="e">
        <f t="shared" ca="1" si="93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4"/>
        <v>0</v>
      </c>
      <c r="AE599">
        <f t="shared" ca="1" si="95"/>
        <v>0</v>
      </c>
      <c r="AG599" s="65" t="e">
        <f t="shared" ca="1" si="96"/>
        <v>#N/A</v>
      </c>
      <c r="AH599" s="65" t="e">
        <f t="shared" ca="1" si="97"/>
        <v>#N/A</v>
      </c>
      <c r="AI599" s="3" t="e">
        <f t="shared" ca="1" si="98"/>
        <v>#N/A</v>
      </c>
    </row>
    <row r="600" spans="7:35" ht="15" thickBot="1" x14ac:dyDescent="0.35">
      <c r="G600" s="3">
        <f t="shared" ca="1" si="90"/>
        <v>16</v>
      </c>
      <c r="H600" s="99">
        <f t="shared" ca="1" si="99"/>
        <v>45672</v>
      </c>
      <c r="I600" s="123">
        <f ca="1">HLOOKUP($H$4,'Met Data'!$A$2:$F$368,G600,FALSE)</f>
        <v>17.5208333333333</v>
      </c>
      <c r="J600" s="121">
        <f ca="1">HLOOKUP($H$4,'Met Data'!$H$2:$M$368,G600,FALSE)*L600</f>
        <v>2.5833333333333299</v>
      </c>
      <c r="K600" s="100">
        <f ca="1">HLOOKUP($H$4,'Met Data'!$O$2:$T$368,G600,FALSE)</f>
        <v>4.2128718222508397</v>
      </c>
      <c r="L600">
        <f t="shared" ca="1" si="91"/>
        <v>1</v>
      </c>
      <c r="N600" t="e">
        <f t="shared" ca="1" si="92"/>
        <v>#N/A</v>
      </c>
      <c r="O600" t="e">
        <f t="shared" ca="1" si="93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4"/>
        <v>0</v>
      </c>
      <c r="AE600">
        <f t="shared" ca="1" si="95"/>
        <v>0</v>
      </c>
      <c r="AG600" s="65" t="e">
        <f t="shared" ca="1" si="96"/>
        <v>#N/A</v>
      </c>
      <c r="AH600" s="65" t="e">
        <f t="shared" ca="1" si="97"/>
        <v>#N/A</v>
      </c>
      <c r="AI600" s="3" t="e">
        <f t="shared" ca="1" si="98"/>
        <v>#N/A</v>
      </c>
    </row>
    <row r="601" spans="7:35" ht="15" thickBot="1" x14ac:dyDescent="0.35">
      <c r="G601" s="3">
        <f t="shared" ca="1" si="90"/>
        <v>17</v>
      </c>
      <c r="H601" s="99">
        <f t="shared" ca="1" si="99"/>
        <v>45673</v>
      </c>
      <c r="I601" s="123">
        <f ca="1">HLOOKUP($H$4,'Met Data'!$A$2:$F$368,G601,FALSE)</f>
        <v>17.970833333333299</v>
      </c>
      <c r="J601" s="121">
        <f ca="1">HLOOKUP($H$4,'Met Data'!$H$2:$M$368,G601,FALSE)*L601</f>
        <v>0.266666666666666</v>
      </c>
      <c r="K601" s="100">
        <f ca="1">HLOOKUP($H$4,'Met Data'!$O$2:$T$368,G601,FALSE)</f>
        <v>4.0252286180437302</v>
      </c>
      <c r="L601">
        <f t="shared" ca="1" si="91"/>
        <v>1</v>
      </c>
      <c r="N601" t="e">
        <f t="shared" ca="1" si="92"/>
        <v>#N/A</v>
      </c>
      <c r="O601" t="e">
        <f t="shared" ca="1" si="93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4"/>
        <v>0</v>
      </c>
      <c r="AE601">
        <f t="shared" ca="1" si="95"/>
        <v>0</v>
      </c>
      <c r="AG601" s="65" t="e">
        <f t="shared" ca="1" si="96"/>
        <v>#N/A</v>
      </c>
      <c r="AH601" s="65" t="e">
        <f t="shared" ca="1" si="97"/>
        <v>#N/A</v>
      </c>
      <c r="AI601" s="3" t="e">
        <f t="shared" ca="1" si="98"/>
        <v>#N/A</v>
      </c>
    </row>
    <row r="602" spans="7:35" ht="15" thickBot="1" x14ac:dyDescent="0.35">
      <c r="G602" s="3">
        <f t="shared" ca="1" si="90"/>
        <v>18</v>
      </c>
      <c r="H602" s="99">
        <f t="shared" ca="1" si="99"/>
        <v>45674</v>
      </c>
      <c r="I602" s="123">
        <f ca="1">HLOOKUP($H$4,'Met Data'!$A$2:$F$368,G602,FALSE)</f>
        <v>18.2708333333333</v>
      </c>
      <c r="J602" s="121">
        <f ca="1">HLOOKUP($H$4,'Met Data'!$H$2:$M$368,G602,FALSE)*L602</f>
        <v>1.81666666666666</v>
      </c>
      <c r="K602" s="100">
        <f ca="1">HLOOKUP($H$4,'Met Data'!$O$2:$T$368,G602,FALSE)</f>
        <v>4.3125410240098896</v>
      </c>
      <c r="L602">
        <f t="shared" ca="1" si="91"/>
        <v>1</v>
      </c>
      <c r="N602" t="e">
        <f t="shared" ca="1" si="92"/>
        <v>#N/A</v>
      </c>
      <c r="O602" t="e">
        <f t="shared" ca="1" si="93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4"/>
        <v>0</v>
      </c>
      <c r="AE602">
        <f t="shared" ca="1" si="95"/>
        <v>0</v>
      </c>
      <c r="AG602" s="65" t="e">
        <f t="shared" ca="1" si="96"/>
        <v>#N/A</v>
      </c>
      <c r="AH602" s="65" t="e">
        <f t="shared" ca="1" si="97"/>
        <v>#N/A</v>
      </c>
      <c r="AI602" s="3" t="e">
        <f t="shared" ca="1" si="98"/>
        <v>#N/A</v>
      </c>
    </row>
    <row r="603" spans="7:35" ht="15" thickBot="1" x14ac:dyDescent="0.35">
      <c r="G603" s="3">
        <f t="shared" ca="1" si="90"/>
        <v>19</v>
      </c>
      <c r="H603" s="99">
        <f t="shared" ca="1" si="99"/>
        <v>45675</v>
      </c>
      <c r="I603" s="123">
        <f ca="1">HLOOKUP($H$4,'Met Data'!$A$2:$F$368,G603,FALSE)</f>
        <v>17.954166666666602</v>
      </c>
      <c r="J603" s="121">
        <f ca="1">HLOOKUP($H$4,'Met Data'!$H$2:$M$368,G603,FALSE)*L603</f>
        <v>4.1499999999999897</v>
      </c>
      <c r="K603" s="100">
        <f ca="1">HLOOKUP($H$4,'Met Data'!$O$2:$T$368,G603,FALSE)</f>
        <v>3.9046074195490301</v>
      </c>
      <c r="L603">
        <f t="shared" ca="1" si="91"/>
        <v>1</v>
      </c>
      <c r="N603" t="e">
        <f t="shared" ca="1" si="92"/>
        <v>#N/A</v>
      </c>
      <c r="O603" t="e">
        <f t="shared" ca="1" si="93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4"/>
        <v>0</v>
      </c>
      <c r="AE603">
        <f t="shared" ca="1" si="95"/>
        <v>0</v>
      </c>
      <c r="AG603" s="65" t="e">
        <f t="shared" ca="1" si="96"/>
        <v>#N/A</v>
      </c>
      <c r="AH603" s="65" t="e">
        <f t="shared" ca="1" si="97"/>
        <v>#N/A</v>
      </c>
      <c r="AI603" s="3" t="e">
        <f t="shared" ca="1" si="98"/>
        <v>#N/A</v>
      </c>
    </row>
    <row r="604" spans="7:35" ht="15" thickBot="1" x14ac:dyDescent="0.35">
      <c r="G604" s="3">
        <f t="shared" ca="1" si="90"/>
        <v>20</v>
      </c>
      <c r="H604" s="99">
        <f t="shared" ca="1" si="99"/>
        <v>45676</v>
      </c>
      <c r="I604" s="123">
        <f ca="1">HLOOKUP($H$4,'Met Data'!$A$2:$F$368,G604,FALSE)</f>
        <v>18.454166666666602</v>
      </c>
      <c r="J604" s="121">
        <f ca="1">HLOOKUP($H$4,'Met Data'!$H$2:$M$368,G604,FALSE)*L604</f>
        <v>2.5166666666666599</v>
      </c>
      <c r="K604" s="100">
        <f ca="1">HLOOKUP($H$4,'Met Data'!$O$2:$T$368,G604,FALSE)</f>
        <v>4.0894627552594898</v>
      </c>
      <c r="L604">
        <f t="shared" ca="1" si="91"/>
        <v>1</v>
      </c>
      <c r="N604" t="e">
        <f t="shared" ca="1" si="92"/>
        <v>#N/A</v>
      </c>
      <c r="O604" t="e">
        <f t="shared" ca="1" si="93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4"/>
        <v>0</v>
      </c>
      <c r="AE604">
        <f t="shared" ca="1" si="95"/>
        <v>0</v>
      </c>
      <c r="AG604" s="65" t="e">
        <f t="shared" ca="1" si="96"/>
        <v>#N/A</v>
      </c>
      <c r="AH604" s="65" t="e">
        <f t="shared" ca="1" si="97"/>
        <v>#N/A</v>
      </c>
      <c r="AI604" s="3" t="e">
        <f t="shared" ca="1" si="98"/>
        <v>#N/A</v>
      </c>
    </row>
    <row r="605" spans="7:35" ht="15" thickBot="1" x14ac:dyDescent="0.35">
      <c r="G605" s="3">
        <f t="shared" ca="1" si="90"/>
        <v>21</v>
      </c>
      <c r="H605" s="99">
        <f t="shared" ca="1" si="99"/>
        <v>45677</v>
      </c>
      <c r="I605" s="123">
        <f ca="1">HLOOKUP($H$4,'Met Data'!$A$2:$F$368,G605,FALSE)</f>
        <v>18.125</v>
      </c>
      <c r="J605" s="121">
        <f ca="1">HLOOKUP($H$4,'Met Data'!$H$2:$M$368,G605,FALSE)*L605</f>
        <v>3.3333333333333299</v>
      </c>
      <c r="K605" s="100">
        <f ca="1">HLOOKUP($H$4,'Met Data'!$O$2:$T$368,G605,FALSE)</f>
        <v>4.4627747616983804</v>
      </c>
      <c r="L605">
        <f t="shared" ca="1" si="91"/>
        <v>1</v>
      </c>
      <c r="N605" t="e">
        <f t="shared" ca="1" si="92"/>
        <v>#N/A</v>
      </c>
      <c r="O605" t="e">
        <f t="shared" ca="1" si="93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4"/>
        <v>0</v>
      </c>
      <c r="AE605">
        <f t="shared" ca="1" si="95"/>
        <v>0</v>
      </c>
      <c r="AG605" s="65" t="e">
        <f t="shared" ca="1" si="96"/>
        <v>#N/A</v>
      </c>
      <c r="AH605" s="65" t="e">
        <f t="shared" ca="1" si="97"/>
        <v>#N/A</v>
      </c>
      <c r="AI605" s="3" t="e">
        <f t="shared" ca="1" si="98"/>
        <v>#N/A</v>
      </c>
    </row>
    <row r="606" spans="7:35" ht="15" thickBot="1" x14ac:dyDescent="0.35">
      <c r="G606" s="3">
        <f t="shared" ca="1" si="90"/>
        <v>22</v>
      </c>
      <c r="H606" s="99">
        <f t="shared" ca="1" si="99"/>
        <v>45678</v>
      </c>
      <c r="I606" s="123">
        <f ca="1">HLOOKUP($H$4,'Met Data'!$A$2:$F$368,G606,FALSE)</f>
        <v>17.6791666666666</v>
      </c>
      <c r="J606" s="121">
        <f ca="1">HLOOKUP($H$4,'Met Data'!$H$2:$M$368,G606,FALSE)*L606</f>
        <v>2.4</v>
      </c>
      <c r="K606" s="100">
        <f ca="1">HLOOKUP($H$4,'Met Data'!$O$2:$T$368,G606,FALSE)</f>
        <v>3.8954755691343999</v>
      </c>
      <c r="L606">
        <f t="shared" ca="1" si="91"/>
        <v>1</v>
      </c>
      <c r="N606" t="e">
        <f t="shared" ca="1" si="92"/>
        <v>#N/A</v>
      </c>
      <c r="O606" t="e">
        <f t="shared" ca="1" si="93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4"/>
        <v>0</v>
      </c>
      <c r="AE606">
        <f t="shared" ca="1" si="95"/>
        <v>0</v>
      </c>
      <c r="AG606" s="65" t="e">
        <f t="shared" ca="1" si="96"/>
        <v>#N/A</v>
      </c>
      <c r="AH606" s="65" t="e">
        <f t="shared" ca="1" si="97"/>
        <v>#N/A</v>
      </c>
      <c r="AI606" s="3" t="e">
        <f t="shared" ca="1" si="98"/>
        <v>#N/A</v>
      </c>
    </row>
    <row r="607" spans="7:35" ht="15" thickBot="1" x14ac:dyDescent="0.35">
      <c r="G607" s="3">
        <f t="shared" ca="1" si="90"/>
        <v>23</v>
      </c>
      <c r="H607" s="99">
        <f t="shared" ca="1" si="99"/>
        <v>45679</v>
      </c>
      <c r="I607" s="123">
        <f ca="1">HLOOKUP($H$4,'Met Data'!$A$2:$F$368,G607,FALSE)</f>
        <v>17.350000000000001</v>
      </c>
      <c r="J607" s="121">
        <f ca="1">HLOOKUP($H$4,'Met Data'!$H$2:$M$368,G607,FALSE)*L607</f>
        <v>2.6333333333333302</v>
      </c>
      <c r="K607" s="100">
        <f ca="1">HLOOKUP($H$4,'Met Data'!$O$2:$T$368,G607,FALSE)</f>
        <v>3.2997711779398098</v>
      </c>
      <c r="L607">
        <f t="shared" ca="1" si="91"/>
        <v>1</v>
      </c>
      <c r="N607" t="e">
        <f t="shared" ca="1" si="92"/>
        <v>#N/A</v>
      </c>
      <c r="O607" t="e">
        <f t="shared" ca="1" si="93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4"/>
        <v>0</v>
      </c>
      <c r="AE607">
        <f t="shared" ca="1" si="95"/>
        <v>0</v>
      </c>
      <c r="AG607" s="65" t="e">
        <f t="shared" ca="1" si="96"/>
        <v>#N/A</v>
      </c>
      <c r="AH607" s="65" t="e">
        <f t="shared" ca="1" si="97"/>
        <v>#N/A</v>
      </c>
      <c r="AI607" s="3" t="e">
        <f t="shared" ca="1" si="98"/>
        <v>#N/A</v>
      </c>
    </row>
    <row r="608" spans="7:35" ht="15" thickBot="1" x14ac:dyDescent="0.35">
      <c r="G608" s="3">
        <f t="shared" ca="1" si="90"/>
        <v>24</v>
      </c>
      <c r="H608" s="99">
        <f t="shared" ca="1" si="99"/>
        <v>45680</v>
      </c>
      <c r="I608" s="123">
        <f ca="1">HLOOKUP($H$4,'Met Data'!$A$2:$F$368,G608,FALSE)</f>
        <v>17.504166666666599</v>
      </c>
      <c r="J608" s="121">
        <f ca="1">HLOOKUP($H$4,'Met Data'!$H$2:$M$368,G608,FALSE)*L608</f>
        <v>5.5166666666666604</v>
      </c>
      <c r="K608" s="100">
        <f ca="1">HLOOKUP($H$4,'Met Data'!$O$2:$T$368,G608,FALSE)</f>
        <v>3.46570930270954</v>
      </c>
      <c r="L608">
        <f t="shared" ca="1" si="91"/>
        <v>1</v>
      </c>
      <c r="N608" t="e">
        <f t="shared" ca="1" si="92"/>
        <v>#N/A</v>
      </c>
      <c r="O608" t="e">
        <f t="shared" ca="1" si="93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4"/>
        <v>0</v>
      </c>
      <c r="AE608">
        <f t="shared" ca="1" si="95"/>
        <v>0</v>
      </c>
      <c r="AG608" s="65" t="e">
        <f t="shared" ca="1" si="96"/>
        <v>#N/A</v>
      </c>
      <c r="AH608" s="65" t="e">
        <f t="shared" ca="1" si="97"/>
        <v>#N/A</v>
      </c>
      <c r="AI608" s="3" t="e">
        <f t="shared" ca="1" si="98"/>
        <v>#N/A</v>
      </c>
    </row>
    <row r="609" spans="7:35" ht="15" thickBot="1" x14ac:dyDescent="0.35">
      <c r="G609" s="3">
        <f t="shared" ca="1" si="90"/>
        <v>25</v>
      </c>
      <c r="H609" s="99">
        <f t="shared" ca="1" si="99"/>
        <v>45681</v>
      </c>
      <c r="I609" s="123">
        <f ca="1">HLOOKUP($H$4,'Met Data'!$A$2:$F$368,G609,FALSE)</f>
        <v>17.713636363636301</v>
      </c>
      <c r="J609" s="121">
        <f ca="1">HLOOKUP($H$4,'Met Data'!$H$2:$M$368,G609,FALSE)*L609</f>
        <v>1.3818181818181801</v>
      </c>
      <c r="K609" s="100">
        <f ca="1">HLOOKUP($H$4,'Met Data'!$O$2:$T$368,G609,FALSE)</f>
        <v>4.0186876239346203</v>
      </c>
      <c r="L609">
        <f t="shared" ca="1" si="91"/>
        <v>1</v>
      </c>
      <c r="N609" t="e">
        <f t="shared" ca="1" si="92"/>
        <v>#N/A</v>
      </c>
      <c r="O609" t="e">
        <f t="shared" ca="1" si="93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4"/>
        <v>0</v>
      </c>
      <c r="AE609">
        <f t="shared" ca="1" si="95"/>
        <v>0</v>
      </c>
      <c r="AG609" s="65" t="e">
        <f t="shared" ca="1" si="96"/>
        <v>#N/A</v>
      </c>
      <c r="AH609" s="65" t="e">
        <f t="shared" ca="1" si="97"/>
        <v>#N/A</v>
      </c>
      <c r="AI609" s="3" t="e">
        <f t="shared" ca="1" si="98"/>
        <v>#N/A</v>
      </c>
    </row>
    <row r="610" spans="7:35" ht="15" thickBot="1" x14ac:dyDescent="0.35">
      <c r="G610" s="3">
        <f t="shared" ca="1" si="90"/>
        <v>26</v>
      </c>
      <c r="H610" s="99">
        <f t="shared" ca="1" si="99"/>
        <v>45682</v>
      </c>
      <c r="I610" s="123">
        <f ca="1">HLOOKUP($H$4,'Met Data'!$A$2:$F$368,G610,FALSE)</f>
        <v>17.8541666666666</v>
      </c>
      <c r="J610" s="121">
        <f ca="1">HLOOKUP($H$4,'Met Data'!$H$2:$M$368,G610,FALSE)*L610</f>
        <v>0.46666666666666601</v>
      </c>
      <c r="K610" s="100">
        <f ca="1">HLOOKUP($H$4,'Met Data'!$O$2:$T$368,G610,FALSE)</f>
        <v>4.1496250953293998</v>
      </c>
      <c r="L610">
        <f t="shared" ca="1" si="91"/>
        <v>1</v>
      </c>
      <c r="N610" t="e">
        <f t="shared" ca="1" si="92"/>
        <v>#N/A</v>
      </c>
      <c r="O610" t="e">
        <f t="shared" ca="1" si="93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4"/>
        <v>0</v>
      </c>
      <c r="AE610">
        <f t="shared" ca="1" si="95"/>
        <v>0</v>
      </c>
      <c r="AG610" s="65" t="e">
        <f t="shared" ca="1" si="96"/>
        <v>#N/A</v>
      </c>
      <c r="AH610" s="65" t="e">
        <f t="shared" ca="1" si="97"/>
        <v>#N/A</v>
      </c>
      <c r="AI610" s="3" t="e">
        <f t="shared" ca="1" si="98"/>
        <v>#N/A</v>
      </c>
    </row>
    <row r="611" spans="7:35" ht="15" thickBot="1" x14ac:dyDescent="0.35">
      <c r="G611" s="3">
        <f t="shared" ca="1" si="90"/>
        <v>27</v>
      </c>
      <c r="H611" s="99">
        <f t="shared" ca="1" si="99"/>
        <v>45683</v>
      </c>
      <c r="I611" s="123">
        <f ca="1">HLOOKUP($H$4,'Met Data'!$A$2:$F$368,G611,FALSE)</f>
        <v>18.933333333333302</v>
      </c>
      <c r="J611" s="121">
        <f ca="1">HLOOKUP($H$4,'Met Data'!$H$2:$M$368,G611,FALSE)*L611</f>
        <v>1.8</v>
      </c>
      <c r="K611" s="100">
        <f ca="1">HLOOKUP($H$4,'Met Data'!$O$2:$T$368,G611,FALSE)</f>
        <v>4.1034832888531598</v>
      </c>
      <c r="L611">
        <f t="shared" ca="1" si="91"/>
        <v>1</v>
      </c>
      <c r="N611" t="e">
        <f t="shared" ca="1" si="92"/>
        <v>#N/A</v>
      </c>
      <c r="O611" t="e">
        <f t="shared" ca="1" si="93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4"/>
        <v>0</v>
      </c>
      <c r="AE611">
        <f t="shared" ca="1" si="95"/>
        <v>0</v>
      </c>
      <c r="AG611" s="65" t="e">
        <f t="shared" ca="1" si="96"/>
        <v>#N/A</v>
      </c>
      <c r="AH611" s="65" t="e">
        <f t="shared" ca="1" si="97"/>
        <v>#N/A</v>
      </c>
      <c r="AI611" s="3" t="e">
        <f t="shared" ca="1" si="98"/>
        <v>#N/A</v>
      </c>
    </row>
    <row r="612" spans="7:35" ht="15" thickBot="1" x14ac:dyDescent="0.35">
      <c r="G612" s="3">
        <f t="shared" ca="1" si="90"/>
        <v>28</v>
      </c>
      <c r="H612" s="99">
        <f t="shared" ca="1" si="99"/>
        <v>45684</v>
      </c>
      <c r="I612" s="123">
        <f ca="1">HLOOKUP($H$4,'Met Data'!$A$2:$F$368,G612,FALSE)</f>
        <v>18.524999999999999</v>
      </c>
      <c r="J612" s="121">
        <f ca="1">HLOOKUP($H$4,'Met Data'!$H$2:$M$368,G612,FALSE)*L612</f>
        <v>4.2166666666666597</v>
      </c>
      <c r="K612" s="100">
        <f ca="1">HLOOKUP($H$4,'Met Data'!$O$2:$T$368,G612,FALSE)</f>
        <v>3.2920480795367801</v>
      </c>
      <c r="L612">
        <f t="shared" ca="1" si="91"/>
        <v>1</v>
      </c>
      <c r="N612" t="e">
        <f t="shared" ca="1" si="92"/>
        <v>#N/A</v>
      </c>
      <c r="O612" t="e">
        <f t="shared" ca="1" si="93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4"/>
        <v>0</v>
      </c>
      <c r="AE612">
        <f t="shared" ca="1" si="95"/>
        <v>0</v>
      </c>
      <c r="AG612" s="65" t="e">
        <f t="shared" ca="1" si="96"/>
        <v>#N/A</v>
      </c>
      <c r="AH612" s="65" t="e">
        <f t="shared" ca="1" si="97"/>
        <v>#N/A</v>
      </c>
      <c r="AI612" s="3" t="e">
        <f t="shared" ca="1" si="98"/>
        <v>#N/A</v>
      </c>
    </row>
    <row r="613" spans="7:35" ht="15" thickBot="1" x14ac:dyDescent="0.35">
      <c r="G613" s="3">
        <f t="shared" ca="1" si="90"/>
        <v>29</v>
      </c>
      <c r="H613" s="99">
        <f t="shared" ca="1" si="99"/>
        <v>45685</v>
      </c>
      <c r="I613" s="123">
        <f ca="1">HLOOKUP($H$4,'Met Data'!$A$2:$F$368,G613,FALSE)</f>
        <v>18.283333333333299</v>
      </c>
      <c r="J613" s="121">
        <f ca="1">HLOOKUP($H$4,'Met Data'!$H$2:$M$368,G613,FALSE)*L613</f>
        <v>0.96666666666666601</v>
      </c>
      <c r="K613" s="100">
        <f ca="1">HLOOKUP($H$4,'Met Data'!$O$2:$T$368,G613,FALSE)</f>
        <v>3.7580315328576899</v>
      </c>
      <c r="L613">
        <f t="shared" ca="1" si="91"/>
        <v>1</v>
      </c>
      <c r="N613" t="e">
        <f t="shared" ca="1" si="92"/>
        <v>#N/A</v>
      </c>
      <c r="O613" t="e">
        <f t="shared" ca="1" si="93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4"/>
        <v>0</v>
      </c>
      <c r="AE613">
        <f t="shared" ca="1" si="95"/>
        <v>0</v>
      </c>
      <c r="AG613" s="65" t="e">
        <f t="shared" ca="1" si="96"/>
        <v>#N/A</v>
      </c>
      <c r="AH613" s="65" t="e">
        <f t="shared" ca="1" si="97"/>
        <v>#N/A</v>
      </c>
      <c r="AI613" s="3" t="e">
        <f t="shared" ca="1" si="98"/>
        <v>#N/A</v>
      </c>
    </row>
    <row r="614" spans="7:35" ht="15" thickBot="1" x14ac:dyDescent="0.35">
      <c r="G614" s="3">
        <f t="shared" ca="1" si="90"/>
        <v>30</v>
      </c>
      <c r="H614" s="99">
        <f t="shared" ca="1" si="99"/>
        <v>45686</v>
      </c>
      <c r="I614" s="123">
        <f ca="1">HLOOKUP($H$4,'Met Data'!$A$2:$F$368,G614,FALSE)</f>
        <v>18.95</v>
      </c>
      <c r="J614" s="121">
        <f ca="1">HLOOKUP($H$4,'Met Data'!$H$2:$M$368,G614,FALSE)*L614</f>
        <v>0.233333333333333</v>
      </c>
      <c r="K614" s="100">
        <f ca="1">HLOOKUP($H$4,'Met Data'!$O$2:$T$368,G614,FALSE)</f>
        <v>4.4825712398856101</v>
      </c>
      <c r="L614">
        <f t="shared" ca="1" si="91"/>
        <v>1</v>
      </c>
      <c r="N614" t="e">
        <f t="shared" ca="1" si="92"/>
        <v>#N/A</v>
      </c>
      <c r="O614" t="e">
        <f t="shared" ca="1" si="93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4"/>
        <v>0</v>
      </c>
      <c r="AE614">
        <f t="shared" ca="1" si="95"/>
        <v>0</v>
      </c>
      <c r="AG614" s="65" t="e">
        <f t="shared" ca="1" si="96"/>
        <v>#N/A</v>
      </c>
      <c r="AH614" s="65" t="e">
        <f t="shared" ca="1" si="97"/>
        <v>#N/A</v>
      </c>
      <c r="AI614" s="3" t="e">
        <f t="shared" ca="1" si="98"/>
        <v>#N/A</v>
      </c>
    </row>
    <row r="615" spans="7:35" ht="15" thickBot="1" x14ac:dyDescent="0.35">
      <c r="G615" s="3">
        <f t="shared" ca="1" si="90"/>
        <v>31</v>
      </c>
      <c r="H615" s="99">
        <f t="shared" ca="1" si="99"/>
        <v>45687</v>
      </c>
      <c r="I615" s="123">
        <f ca="1">HLOOKUP($H$4,'Met Data'!$A$2:$F$368,G615,FALSE)</f>
        <v>19.070833333333301</v>
      </c>
      <c r="J615" s="121">
        <f ca="1">HLOOKUP($H$4,'Met Data'!$H$2:$M$368,G615,FALSE)*L615</f>
        <v>1.45</v>
      </c>
      <c r="K615" s="100">
        <f ca="1">HLOOKUP($H$4,'Met Data'!$O$2:$T$368,G615,FALSE)</f>
        <v>4.1485395322845697</v>
      </c>
      <c r="L615">
        <f t="shared" ca="1" si="91"/>
        <v>1</v>
      </c>
      <c r="N615" t="e">
        <f t="shared" ca="1" si="92"/>
        <v>#N/A</v>
      </c>
      <c r="O615" t="e">
        <f t="shared" ca="1" si="93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4"/>
        <v>0</v>
      </c>
      <c r="AE615">
        <f t="shared" ca="1" si="95"/>
        <v>0</v>
      </c>
      <c r="AG615" s="65" t="e">
        <f t="shared" ca="1" si="96"/>
        <v>#N/A</v>
      </c>
      <c r="AH615" s="65" t="e">
        <f t="shared" ca="1" si="97"/>
        <v>#N/A</v>
      </c>
      <c r="AI615" s="3" t="e">
        <f t="shared" ca="1" si="98"/>
        <v>#N/A</v>
      </c>
    </row>
    <row r="616" spans="7:35" ht="15" thickBot="1" x14ac:dyDescent="0.35">
      <c r="G616" s="3">
        <f t="shared" ca="1" si="90"/>
        <v>32</v>
      </c>
      <c r="H616" s="99">
        <f t="shared" ca="1" si="99"/>
        <v>45688</v>
      </c>
      <c r="I616" s="123">
        <f ca="1">HLOOKUP($H$4,'Met Data'!$A$2:$F$368,G616,FALSE)</f>
        <v>18.716666666666601</v>
      </c>
      <c r="J616" s="121">
        <f ca="1">HLOOKUP($H$4,'Met Data'!$H$2:$M$368,G616,FALSE)*L616</f>
        <v>1.6666666666666601E-2</v>
      </c>
      <c r="K616" s="100">
        <f ca="1">HLOOKUP($H$4,'Met Data'!$O$2:$T$368,G616,FALSE)</f>
        <v>3.9002627778438899</v>
      </c>
      <c r="L616">
        <f t="shared" ca="1" si="91"/>
        <v>1</v>
      </c>
      <c r="N616" t="e">
        <f t="shared" ca="1" si="92"/>
        <v>#N/A</v>
      </c>
      <c r="O616" t="e">
        <f t="shared" ca="1" si="93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4"/>
        <v>0</v>
      </c>
      <c r="AE616">
        <f t="shared" ca="1" si="95"/>
        <v>0</v>
      </c>
      <c r="AG616" s="65" t="e">
        <f t="shared" ca="1" si="96"/>
        <v>#N/A</v>
      </c>
      <c r="AH616" s="65" t="e">
        <f t="shared" ca="1" si="97"/>
        <v>#N/A</v>
      </c>
      <c r="AI616" s="3" t="e">
        <f t="shared" ca="1" si="98"/>
        <v>#N/A</v>
      </c>
    </row>
    <row r="617" spans="7:35" ht="15" thickBot="1" x14ac:dyDescent="0.35">
      <c r="G617" s="3">
        <f t="shared" ca="1" si="90"/>
        <v>33</v>
      </c>
      <c r="H617" s="99">
        <f t="shared" ca="1" si="99"/>
        <v>45689</v>
      </c>
      <c r="I617" s="123">
        <f ca="1">HLOOKUP($H$4,'Met Data'!$A$2:$F$368,G617,FALSE)</f>
        <v>18.720833333333299</v>
      </c>
      <c r="J617" s="121">
        <f ca="1">HLOOKUP($H$4,'Met Data'!$H$2:$M$368,G617,FALSE)*L617</f>
        <v>5.1333333333333302</v>
      </c>
      <c r="K617" s="100">
        <f ca="1">HLOOKUP($H$4,'Met Data'!$O$2:$T$368,G617,FALSE)</f>
        <v>3.3425533464765702</v>
      </c>
      <c r="L617">
        <f t="shared" ca="1" si="91"/>
        <v>1</v>
      </c>
      <c r="N617" t="e">
        <f t="shared" ca="1" si="92"/>
        <v>#N/A</v>
      </c>
      <c r="O617" t="e">
        <f t="shared" ca="1" si="93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4"/>
        <v>0</v>
      </c>
      <c r="AE617">
        <f t="shared" ca="1" si="95"/>
        <v>0</v>
      </c>
      <c r="AG617" s="65" t="e">
        <f t="shared" ca="1" si="96"/>
        <v>#N/A</v>
      </c>
      <c r="AH617" s="65" t="e">
        <f t="shared" ca="1" si="97"/>
        <v>#N/A</v>
      </c>
      <c r="AI617" s="3" t="e">
        <f t="shared" ca="1" si="98"/>
        <v>#N/A</v>
      </c>
    </row>
    <row r="618" spans="7:35" ht="15" thickBot="1" x14ac:dyDescent="0.35">
      <c r="G618" s="3">
        <f t="shared" ca="1" si="90"/>
        <v>34</v>
      </c>
      <c r="H618" s="99">
        <f t="shared" ca="1" si="99"/>
        <v>45690</v>
      </c>
      <c r="I618" s="123">
        <f ca="1">HLOOKUP($H$4,'Met Data'!$A$2:$F$368,G618,FALSE)</f>
        <v>18.558333333333302</v>
      </c>
      <c r="J618" s="121">
        <f ca="1">HLOOKUP($H$4,'Met Data'!$H$2:$M$368,G618,FALSE)*L618</f>
        <v>5.1666666666666599</v>
      </c>
      <c r="K618" s="100">
        <f ca="1">HLOOKUP($H$4,'Met Data'!$O$2:$T$368,G618,FALSE)</f>
        <v>3.37031285883524</v>
      </c>
      <c r="L618">
        <f t="shared" ca="1" si="91"/>
        <v>1</v>
      </c>
      <c r="N618" t="e">
        <f t="shared" ca="1" si="92"/>
        <v>#N/A</v>
      </c>
      <c r="O618" t="e">
        <f t="shared" ca="1" si="93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4"/>
        <v>0</v>
      </c>
      <c r="AE618">
        <f t="shared" ca="1" si="95"/>
        <v>0</v>
      </c>
      <c r="AG618" s="65" t="e">
        <f t="shared" ca="1" si="96"/>
        <v>#N/A</v>
      </c>
      <c r="AH618" s="65" t="e">
        <f t="shared" ca="1" si="97"/>
        <v>#N/A</v>
      </c>
      <c r="AI618" s="3" t="e">
        <f t="shared" ca="1" si="98"/>
        <v>#N/A</v>
      </c>
    </row>
    <row r="619" spans="7:35" ht="15" thickBot="1" x14ac:dyDescent="0.35">
      <c r="G619" s="3">
        <f t="shared" ca="1" si="90"/>
        <v>35</v>
      </c>
      <c r="H619" s="99">
        <f t="shared" ca="1" si="99"/>
        <v>45691</v>
      </c>
      <c r="I619" s="123">
        <f ca="1">HLOOKUP($H$4,'Met Data'!$A$2:$F$368,G619,FALSE)</f>
        <v>18.841666666666601</v>
      </c>
      <c r="J619" s="121">
        <f ca="1">HLOOKUP($H$4,'Met Data'!$H$2:$M$368,G619,FALSE)*L619</f>
        <v>0.483333333333333</v>
      </c>
      <c r="K619" s="100">
        <f ca="1">HLOOKUP($H$4,'Met Data'!$O$2:$T$368,G619,FALSE)</f>
        <v>4.5373745966907704</v>
      </c>
      <c r="L619">
        <f t="shared" ca="1" si="91"/>
        <v>1</v>
      </c>
      <c r="N619" t="e">
        <f t="shared" ca="1" si="92"/>
        <v>#N/A</v>
      </c>
      <c r="O619" t="e">
        <f t="shared" ca="1" si="93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4"/>
        <v>0</v>
      </c>
      <c r="AE619">
        <f t="shared" ca="1" si="95"/>
        <v>0</v>
      </c>
      <c r="AG619" s="65" t="e">
        <f t="shared" ca="1" si="96"/>
        <v>#N/A</v>
      </c>
      <c r="AH619" s="65" t="e">
        <f t="shared" ca="1" si="97"/>
        <v>#N/A</v>
      </c>
      <c r="AI619" s="3" t="e">
        <f t="shared" ca="1" si="98"/>
        <v>#N/A</v>
      </c>
    </row>
    <row r="620" spans="7:35" ht="15" thickBot="1" x14ac:dyDescent="0.35">
      <c r="G620" s="3">
        <f t="shared" ca="1" si="90"/>
        <v>36</v>
      </c>
      <c r="H620" s="99">
        <f t="shared" ca="1" si="99"/>
        <v>45692</v>
      </c>
      <c r="I620" s="123">
        <f ca="1">HLOOKUP($H$4,'Met Data'!$A$2:$F$368,G620,FALSE)</f>
        <v>18.441666666666599</v>
      </c>
      <c r="J620" s="121">
        <f ca="1">HLOOKUP($H$4,'Met Data'!$H$2:$M$368,G620,FALSE)*L620</f>
        <v>4.8</v>
      </c>
      <c r="K620" s="100">
        <f ca="1">HLOOKUP($H$4,'Met Data'!$O$2:$T$368,G620,FALSE)</f>
        <v>3.5125215918157</v>
      </c>
      <c r="L620">
        <f t="shared" ca="1" si="91"/>
        <v>1</v>
      </c>
      <c r="N620" t="e">
        <f t="shared" ca="1" si="92"/>
        <v>#N/A</v>
      </c>
      <c r="O620" t="e">
        <f t="shared" ca="1" si="93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4"/>
        <v>0</v>
      </c>
      <c r="AE620">
        <f t="shared" ca="1" si="95"/>
        <v>0</v>
      </c>
      <c r="AG620" s="65" t="e">
        <f t="shared" ca="1" si="96"/>
        <v>#N/A</v>
      </c>
      <c r="AH620" s="65" t="e">
        <f t="shared" ca="1" si="97"/>
        <v>#N/A</v>
      </c>
      <c r="AI620" s="3" t="e">
        <f t="shared" ca="1" si="98"/>
        <v>#N/A</v>
      </c>
    </row>
    <row r="621" spans="7:35" ht="15" thickBot="1" x14ac:dyDescent="0.35">
      <c r="G621" s="3">
        <f t="shared" ca="1" si="90"/>
        <v>37</v>
      </c>
      <c r="H621" s="99">
        <f t="shared" ca="1" si="99"/>
        <v>45693</v>
      </c>
      <c r="I621" s="123">
        <f ca="1">HLOOKUP($H$4,'Met Data'!$A$2:$F$368,G621,FALSE)</f>
        <v>17.975000000000001</v>
      </c>
      <c r="J621" s="121">
        <f ca="1">HLOOKUP($H$4,'Met Data'!$H$2:$M$368,G621,FALSE)*L621</f>
        <v>2.0166666666666599</v>
      </c>
      <c r="K621" s="100">
        <f ca="1">HLOOKUP($H$4,'Met Data'!$O$2:$T$368,G621,FALSE)</f>
        <v>3.7922889429532498</v>
      </c>
      <c r="L621">
        <f t="shared" ca="1" si="91"/>
        <v>1</v>
      </c>
      <c r="N621" t="e">
        <f t="shared" ca="1" si="92"/>
        <v>#N/A</v>
      </c>
      <c r="O621" t="e">
        <f t="shared" ca="1" si="93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4"/>
        <v>0</v>
      </c>
      <c r="AE621">
        <f t="shared" ca="1" si="95"/>
        <v>0</v>
      </c>
      <c r="AG621" s="65" t="e">
        <f t="shared" ca="1" si="96"/>
        <v>#N/A</v>
      </c>
      <c r="AH621" s="65" t="e">
        <f t="shared" ca="1" si="97"/>
        <v>#N/A</v>
      </c>
      <c r="AI621" s="3" t="e">
        <f t="shared" ca="1" si="98"/>
        <v>#N/A</v>
      </c>
    </row>
    <row r="622" spans="7:35" ht="15" thickBot="1" x14ac:dyDescent="0.35">
      <c r="G622" s="3">
        <f t="shared" ca="1" si="90"/>
        <v>38</v>
      </c>
      <c r="H622" s="99">
        <f t="shared" ca="1" si="99"/>
        <v>45694</v>
      </c>
      <c r="I622" s="123">
        <f ca="1">HLOOKUP($H$4,'Met Data'!$A$2:$F$368,G622,FALSE)</f>
        <v>17.383333333333301</v>
      </c>
      <c r="J622" s="121">
        <f ca="1">HLOOKUP($H$4,'Met Data'!$H$2:$M$368,G622,FALSE)*L622</f>
        <v>0.15</v>
      </c>
      <c r="K622" s="100">
        <f ca="1">HLOOKUP($H$4,'Met Data'!$O$2:$T$368,G622,FALSE)</f>
        <v>3.67022287265541</v>
      </c>
      <c r="L622">
        <f t="shared" ca="1" si="91"/>
        <v>1</v>
      </c>
      <c r="N622" t="e">
        <f t="shared" ca="1" si="92"/>
        <v>#N/A</v>
      </c>
      <c r="O622" t="e">
        <f t="shared" ca="1" si="93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4"/>
        <v>0</v>
      </c>
      <c r="AE622">
        <f t="shared" ca="1" si="95"/>
        <v>0</v>
      </c>
      <c r="AG622" s="65" t="e">
        <f t="shared" ca="1" si="96"/>
        <v>#N/A</v>
      </c>
      <c r="AH622" s="65" t="e">
        <f t="shared" ca="1" si="97"/>
        <v>#N/A</v>
      </c>
      <c r="AI622" s="3" t="e">
        <f t="shared" ca="1" si="98"/>
        <v>#N/A</v>
      </c>
    </row>
    <row r="623" spans="7:35" ht="15" thickBot="1" x14ac:dyDescent="0.35">
      <c r="G623" s="3">
        <f t="shared" ca="1" si="90"/>
        <v>39</v>
      </c>
      <c r="H623" s="99">
        <f t="shared" ca="1" si="99"/>
        <v>45695</v>
      </c>
      <c r="I623" s="123">
        <f ca="1">HLOOKUP($H$4,'Met Data'!$A$2:$F$368,G623,FALSE)</f>
        <v>17.0416666666666</v>
      </c>
      <c r="J623" s="121">
        <f ca="1">HLOOKUP($H$4,'Met Data'!$H$2:$M$368,G623,FALSE)*L623</f>
        <v>3.0166666666666599</v>
      </c>
      <c r="K623" s="100">
        <f ca="1">HLOOKUP($H$4,'Met Data'!$O$2:$T$368,G623,FALSE)</f>
        <v>3.8754357428809398</v>
      </c>
      <c r="L623">
        <f t="shared" ca="1" si="91"/>
        <v>1</v>
      </c>
      <c r="N623" t="e">
        <f t="shared" ca="1" si="92"/>
        <v>#N/A</v>
      </c>
      <c r="O623" t="e">
        <f t="shared" ca="1" si="93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4"/>
        <v>0</v>
      </c>
      <c r="AE623">
        <f t="shared" ca="1" si="95"/>
        <v>0</v>
      </c>
      <c r="AG623" s="65" t="e">
        <f t="shared" ca="1" si="96"/>
        <v>#N/A</v>
      </c>
      <c r="AH623" s="65" t="e">
        <f t="shared" ca="1" si="97"/>
        <v>#N/A</v>
      </c>
      <c r="AI623" s="3" t="e">
        <f t="shared" ca="1" si="98"/>
        <v>#N/A</v>
      </c>
    </row>
    <row r="624" spans="7:35" ht="15" thickBot="1" x14ac:dyDescent="0.35">
      <c r="G624" s="3">
        <f t="shared" ref="G624:G687" ca="1" si="100">H624-DATE(YEAR(H624),1,0)+1</f>
        <v>40</v>
      </c>
      <c r="H624" s="99">
        <f t="shared" ca="1" si="99"/>
        <v>45696</v>
      </c>
      <c r="I624" s="123">
        <f ca="1">HLOOKUP($H$4,'Met Data'!$A$2:$F$368,G624,FALSE)</f>
        <v>17.483333333333299</v>
      </c>
      <c r="J624" s="121">
        <f ca="1">HLOOKUP($H$4,'Met Data'!$H$2:$M$368,G624,FALSE)*L624</f>
        <v>2.69999999999999</v>
      </c>
      <c r="K624" s="100">
        <f ca="1">HLOOKUP($H$4,'Met Data'!$O$2:$T$368,G624,FALSE)</f>
        <v>3.8024866154372199</v>
      </c>
      <c r="L624">
        <f t="shared" ref="L624:L687" ca="1" si="101">IF(H624&lt;$B$31,$J$3,$J$4)</f>
        <v>1</v>
      </c>
      <c r="N624" t="e">
        <f t="shared" ref="N624:N687" ca="1" si="102">IF(P624&lt;$P$3,TRUE,FALSE)</f>
        <v>#N/A</v>
      </c>
      <c r="O624" t="e">
        <f t="shared" ref="O624:O687" ca="1" si="103">AND(IF(P624&gt;($P$2-1),TRUE,FALSE),IF(P624&lt;($P$3+1),TRUE,FALSE))</f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ref="AD624:AD687" ca="1" si="104">IFERROR(P624,$AD$4)</f>
        <v>0</v>
      </c>
      <c r="AE624">
        <f t="shared" ref="AE624:AE687" ca="1" si="105">IFERROR(U624,0)</f>
        <v>0</v>
      </c>
      <c r="AG624" s="65" t="e">
        <f t="shared" ref="AG624:AG687" ca="1" si="106">Q623+S624+T624+U624</f>
        <v>#N/A</v>
      </c>
      <c r="AH624" s="65" t="e">
        <f t="shared" ref="AH624:AH687" ca="1" si="107">Q624+R624+X624</f>
        <v>#N/A</v>
      </c>
      <c r="AI624" s="3" t="e">
        <f t="shared" ref="AI624:AI687" ca="1" si="108">AH624-AG624</f>
        <v>#N/A</v>
      </c>
    </row>
    <row r="625" spans="7:35" ht="15" thickBot="1" x14ac:dyDescent="0.35">
      <c r="G625" s="3">
        <f t="shared" ca="1" si="100"/>
        <v>41</v>
      </c>
      <c r="H625" s="99">
        <f t="shared" ca="1" si="99"/>
        <v>45697</v>
      </c>
      <c r="I625" s="123">
        <f ca="1">HLOOKUP($H$4,'Met Data'!$A$2:$F$368,G625,FALSE)</f>
        <v>17.5625</v>
      </c>
      <c r="J625" s="121">
        <f ca="1">HLOOKUP($H$4,'Met Data'!$H$2:$M$368,G625,FALSE)*L625</f>
        <v>0.51666666666666605</v>
      </c>
      <c r="K625" s="100">
        <f ca="1">HLOOKUP($H$4,'Met Data'!$O$2:$T$368,G625,FALSE)</f>
        <v>3.9226252937625699</v>
      </c>
      <c r="L625">
        <f t="shared" ca="1" si="101"/>
        <v>1</v>
      </c>
      <c r="N625" t="e">
        <f t="shared" ca="1" si="102"/>
        <v>#N/A</v>
      </c>
      <c r="O625" t="e">
        <f t="shared" ca="1" si="103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ca="1" si="104"/>
        <v>0</v>
      </c>
      <c r="AE625">
        <f t="shared" ca="1" si="105"/>
        <v>0</v>
      </c>
      <c r="AG625" s="65" t="e">
        <f t="shared" ca="1" si="106"/>
        <v>#N/A</v>
      </c>
      <c r="AH625" s="65" t="e">
        <f t="shared" ca="1" si="107"/>
        <v>#N/A</v>
      </c>
      <c r="AI625" s="3" t="e">
        <f t="shared" ca="1" si="108"/>
        <v>#N/A</v>
      </c>
    </row>
    <row r="626" spans="7:35" ht="15" thickBot="1" x14ac:dyDescent="0.35">
      <c r="G626" s="3">
        <f t="shared" ca="1" si="100"/>
        <v>42</v>
      </c>
      <c r="H626" s="99">
        <f t="shared" ca="1" si="99"/>
        <v>45698</v>
      </c>
      <c r="I626" s="123">
        <f ca="1">HLOOKUP($H$4,'Met Data'!$A$2:$F$368,G626,FALSE)</f>
        <v>17.7083333333333</v>
      </c>
      <c r="J626" s="121">
        <f ca="1">HLOOKUP($H$4,'Met Data'!$H$2:$M$368,G626,FALSE)*L626</f>
        <v>2.7333333333333298</v>
      </c>
      <c r="K626" s="100">
        <f ca="1">HLOOKUP($H$4,'Met Data'!$O$2:$T$368,G626,FALSE)</f>
        <v>3.6312925833969301</v>
      </c>
      <c r="L626">
        <f t="shared" ca="1" si="101"/>
        <v>1</v>
      </c>
      <c r="N626" t="e">
        <f t="shared" ca="1" si="102"/>
        <v>#N/A</v>
      </c>
      <c r="O626" t="e">
        <f t="shared" ca="1" si="103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4"/>
        <v>0</v>
      </c>
      <c r="AE626">
        <f t="shared" ca="1" si="105"/>
        <v>0</v>
      </c>
      <c r="AG626" s="65" t="e">
        <f t="shared" ca="1" si="106"/>
        <v>#N/A</v>
      </c>
      <c r="AH626" s="65" t="e">
        <f t="shared" ca="1" si="107"/>
        <v>#N/A</v>
      </c>
      <c r="AI626" s="3" t="e">
        <f t="shared" ca="1" si="108"/>
        <v>#N/A</v>
      </c>
    </row>
    <row r="627" spans="7:35" ht="15" thickBot="1" x14ac:dyDescent="0.35">
      <c r="G627" s="3">
        <f t="shared" ca="1" si="100"/>
        <v>43</v>
      </c>
      <c r="H627" s="99">
        <f t="shared" ca="1" si="99"/>
        <v>45699</v>
      </c>
      <c r="I627" s="123">
        <f ca="1">HLOOKUP($H$4,'Met Data'!$A$2:$F$368,G627,FALSE)</f>
        <v>17.654166666666601</v>
      </c>
      <c r="J627" s="121">
        <f ca="1">HLOOKUP($H$4,'Met Data'!$H$2:$M$368,G627,FALSE)*L627</f>
        <v>5.3166666666666602</v>
      </c>
      <c r="K627" s="100">
        <f ca="1">HLOOKUP($H$4,'Met Data'!$O$2:$T$368,G627,FALSE)</f>
        <v>3.7825096271499201</v>
      </c>
      <c r="L627">
        <f t="shared" ca="1" si="101"/>
        <v>1</v>
      </c>
      <c r="N627" t="e">
        <f t="shared" ca="1" si="102"/>
        <v>#N/A</v>
      </c>
      <c r="O627" t="e">
        <f t="shared" ca="1" si="103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4"/>
        <v>0</v>
      </c>
      <c r="AE627">
        <f t="shared" ca="1" si="105"/>
        <v>0</v>
      </c>
      <c r="AG627" s="65" t="e">
        <f t="shared" ca="1" si="106"/>
        <v>#N/A</v>
      </c>
      <c r="AH627" s="65" t="e">
        <f t="shared" ca="1" si="107"/>
        <v>#N/A</v>
      </c>
      <c r="AI627" s="3" t="e">
        <f t="shared" ca="1" si="108"/>
        <v>#N/A</v>
      </c>
    </row>
    <row r="628" spans="7:35" ht="15" thickBot="1" x14ac:dyDescent="0.35">
      <c r="G628" s="3">
        <f t="shared" ca="1" si="100"/>
        <v>44</v>
      </c>
      <c r="H628" s="99">
        <f t="shared" ca="1" si="99"/>
        <v>45700</v>
      </c>
      <c r="I628" s="123">
        <f ca="1">HLOOKUP($H$4,'Met Data'!$A$2:$F$368,G628,FALSE)</f>
        <v>18.245833333333302</v>
      </c>
      <c r="J628" s="121">
        <f ca="1">HLOOKUP($H$4,'Met Data'!$H$2:$M$368,G628,FALSE)*L628</f>
        <v>1.8</v>
      </c>
      <c r="K628" s="100">
        <f ca="1">HLOOKUP($H$4,'Met Data'!$O$2:$T$368,G628,FALSE)</f>
        <v>3.5345089397679601</v>
      </c>
      <c r="L628">
        <f t="shared" ca="1" si="101"/>
        <v>1</v>
      </c>
      <c r="N628" t="e">
        <f t="shared" ca="1" si="102"/>
        <v>#N/A</v>
      </c>
      <c r="O628" t="e">
        <f t="shared" ca="1" si="103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4"/>
        <v>0</v>
      </c>
      <c r="AE628">
        <f t="shared" ca="1" si="105"/>
        <v>0</v>
      </c>
      <c r="AG628" s="65" t="e">
        <f t="shared" ca="1" si="106"/>
        <v>#N/A</v>
      </c>
      <c r="AH628" s="65" t="e">
        <f t="shared" ca="1" si="107"/>
        <v>#N/A</v>
      </c>
      <c r="AI628" s="3" t="e">
        <f t="shared" ca="1" si="108"/>
        <v>#N/A</v>
      </c>
    </row>
    <row r="629" spans="7:35" ht="15" thickBot="1" x14ac:dyDescent="0.35">
      <c r="G629" s="3">
        <f t="shared" ca="1" si="100"/>
        <v>45</v>
      </c>
      <c r="H629" s="99">
        <f t="shared" ca="1" si="99"/>
        <v>45701</v>
      </c>
      <c r="I629" s="123">
        <f ca="1">HLOOKUP($H$4,'Met Data'!$A$2:$F$368,G629,FALSE)</f>
        <v>18.674999999999901</v>
      </c>
      <c r="J629" s="121">
        <f ca="1">HLOOKUP($H$4,'Met Data'!$H$2:$M$368,G629,FALSE)*L629</f>
        <v>0.44999999999999901</v>
      </c>
      <c r="K629" s="100">
        <f ca="1">HLOOKUP($H$4,'Met Data'!$O$2:$T$368,G629,FALSE)</f>
        <v>3.2860966338213999</v>
      </c>
      <c r="L629">
        <f t="shared" ca="1" si="101"/>
        <v>1</v>
      </c>
      <c r="N629" t="e">
        <f t="shared" ca="1" si="102"/>
        <v>#N/A</v>
      </c>
      <c r="O629" t="e">
        <f t="shared" ca="1" si="103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4"/>
        <v>0</v>
      </c>
      <c r="AE629">
        <f t="shared" ca="1" si="105"/>
        <v>0</v>
      </c>
      <c r="AG629" s="65" t="e">
        <f t="shared" ca="1" si="106"/>
        <v>#N/A</v>
      </c>
      <c r="AH629" s="65" t="e">
        <f t="shared" ca="1" si="107"/>
        <v>#N/A</v>
      </c>
      <c r="AI629" s="3" t="e">
        <f t="shared" ca="1" si="108"/>
        <v>#N/A</v>
      </c>
    </row>
    <row r="630" spans="7:35" ht="15" thickBot="1" x14ac:dyDescent="0.35">
      <c r="G630" s="3">
        <f t="shared" ca="1" si="100"/>
        <v>46</v>
      </c>
      <c r="H630" s="99">
        <f t="shared" ca="1" si="99"/>
        <v>45702</v>
      </c>
      <c r="I630" s="123">
        <f ca="1">HLOOKUP($H$4,'Met Data'!$A$2:$F$368,G630,FALSE)</f>
        <v>18.670833333333299</v>
      </c>
      <c r="J630" s="121">
        <f ca="1">HLOOKUP($H$4,'Met Data'!$H$2:$M$368,G630,FALSE)*L630</f>
        <v>1.13333333333333</v>
      </c>
      <c r="K630" s="100">
        <f ca="1">HLOOKUP($H$4,'Met Data'!$O$2:$T$368,G630,FALSE)</f>
        <v>3.8932908527116399</v>
      </c>
      <c r="L630">
        <f t="shared" ca="1" si="101"/>
        <v>1</v>
      </c>
      <c r="N630" t="e">
        <f t="shared" ca="1" si="102"/>
        <v>#N/A</v>
      </c>
      <c r="O630" t="e">
        <f t="shared" ca="1" si="103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4"/>
        <v>0</v>
      </c>
      <c r="AE630">
        <f t="shared" ca="1" si="105"/>
        <v>0</v>
      </c>
      <c r="AG630" s="65" t="e">
        <f t="shared" ca="1" si="106"/>
        <v>#N/A</v>
      </c>
      <c r="AH630" s="65" t="e">
        <f t="shared" ca="1" si="107"/>
        <v>#N/A</v>
      </c>
      <c r="AI630" s="3" t="e">
        <f t="shared" ca="1" si="108"/>
        <v>#N/A</v>
      </c>
    </row>
    <row r="631" spans="7:35" ht="15" thickBot="1" x14ac:dyDescent="0.35">
      <c r="G631" s="3">
        <f t="shared" ca="1" si="100"/>
        <v>47</v>
      </c>
      <c r="H631" s="99">
        <f t="shared" ca="1" si="99"/>
        <v>45703</v>
      </c>
      <c r="I631" s="123">
        <f ca="1">HLOOKUP($H$4,'Met Data'!$A$2:$F$368,G631,FALSE)</f>
        <v>18.1666666666666</v>
      </c>
      <c r="J631" s="121">
        <f ca="1">HLOOKUP($H$4,'Met Data'!$H$2:$M$368,G631,FALSE)*L631</f>
        <v>1.7333333333333301</v>
      </c>
      <c r="K631" s="100">
        <f ca="1">HLOOKUP($H$4,'Met Data'!$O$2:$T$368,G631,FALSE)</f>
        <v>3.7918051722380999</v>
      </c>
      <c r="L631">
        <f t="shared" ca="1" si="101"/>
        <v>1</v>
      </c>
      <c r="N631" t="e">
        <f t="shared" ca="1" si="102"/>
        <v>#N/A</v>
      </c>
      <c r="O631" t="e">
        <f t="shared" ca="1" si="103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4"/>
        <v>0</v>
      </c>
      <c r="AE631">
        <f t="shared" ca="1" si="105"/>
        <v>0</v>
      </c>
      <c r="AG631" s="65" t="e">
        <f t="shared" ca="1" si="106"/>
        <v>#N/A</v>
      </c>
      <c r="AH631" s="65" t="e">
        <f t="shared" ca="1" si="107"/>
        <v>#N/A</v>
      </c>
      <c r="AI631" s="3" t="e">
        <f t="shared" ca="1" si="108"/>
        <v>#N/A</v>
      </c>
    </row>
    <row r="632" spans="7:35" ht="15" thickBot="1" x14ac:dyDescent="0.35">
      <c r="G632" s="3">
        <f t="shared" ca="1" si="100"/>
        <v>48</v>
      </c>
      <c r="H632" s="99">
        <f t="shared" ca="1" si="99"/>
        <v>45704</v>
      </c>
      <c r="I632" s="123">
        <f ca="1">HLOOKUP($H$4,'Met Data'!$A$2:$F$368,G632,FALSE)</f>
        <v>17.879166666666599</v>
      </c>
      <c r="J632" s="121">
        <f ca="1">HLOOKUP($H$4,'Met Data'!$H$2:$M$368,G632,FALSE)*L632</f>
        <v>0.73333333333333295</v>
      </c>
      <c r="K632" s="100">
        <f ca="1">HLOOKUP($H$4,'Met Data'!$O$2:$T$368,G632,FALSE)</f>
        <v>3.8813294167315999</v>
      </c>
      <c r="L632">
        <f t="shared" ca="1" si="101"/>
        <v>1</v>
      </c>
      <c r="N632" t="e">
        <f t="shared" ca="1" si="102"/>
        <v>#N/A</v>
      </c>
      <c r="O632" t="e">
        <f t="shared" ca="1" si="103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4"/>
        <v>0</v>
      </c>
      <c r="AE632">
        <f t="shared" ca="1" si="105"/>
        <v>0</v>
      </c>
      <c r="AG632" s="65" t="e">
        <f t="shared" ca="1" si="106"/>
        <v>#N/A</v>
      </c>
      <c r="AH632" s="65" t="e">
        <f t="shared" ca="1" si="107"/>
        <v>#N/A</v>
      </c>
      <c r="AI632" s="3" t="e">
        <f t="shared" ca="1" si="108"/>
        <v>#N/A</v>
      </c>
    </row>
    <row r="633" spans="7:35" ht="15" thickBot="1" x14ac:dyDescent="0.35">
      <c r="G633" s="3">
        <f t="shared" ca="1" si="100"/>
        <v>49</v>
      </c>
      <c r="H633" s="99">
        <f t="shared" ca="1" si="99"/>
        <v>45705</v>
      </c>
      <c r="I633" s="123">
        <f ca="1">HLOOKUP($H$4,'Met Data'!$A$2:$F$368,G633,FALSE)</f>
        <v>18.2083333333333</v>
      </c>
      <c r="J633" s="121">
        <f ca="1">HLOOKUP($H$4,'Met Data'!$H$2:$M$368,G633,FALSE)*L633</f>
        <v>2.8833333333333302</v>
      </c>
      <c r="K633" s="100">
        <f ca="1">HLOOKUP($H$4,'Met Data'!$O$2:$T$368,G633,FALSE)</f>
        <v>3.5062121478789399</v>
      </c>
      <c r="L633">
        <f t="shared" ca="1" si="101"/>
        <v>1</v>
      </c>
      <c r="N633" t="e">
        <f t="shared" ca="1" si="102"/>
        <v>#N/A</v>
      </c>
      <c r="O633" t="e">
        <f t="shared" ca="1" si="103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4"/>
        <v>0</v>
      </c>
      <c r="AE633">
        <f t="shared" ca="1" si="105"/>
        <v>0</v>
      </c>
      <c r="AG633" s="65" t="e">
        <f t="shared" ca="1" si="106"/>
        <v>#N/A</v>
      </c>
      <c r="AH633" s="65" t="e">
        <f t="shared" ca="1" si="107"/>
        <v>#N/A</v>
      </c>
      <c r="AI633" s="3" t="e">
        <f t="shared" ca="1" si="108"/>
        <v>#N/A</v>
      </c>
    </row>
    <row r="634" spans="7:35" ht="15" thickBot="1" x14ac:dyDescent="0.35">
      <c r="G634" s="3">
        <f t="shared" ca="1" si="100"/>
        <v>50</v>
      </c>
      <c r="H634" s="99">
        <f t="shared" ca="1" si="99"/>
        <v>45706</v>
      </c>
      <c r="I634" s="123">
        <f ca="1">HLOOKUP($H$4,'Met Data'!$A$2:$F$368,G634,FALSE)</f>
        <v>18.529166666666601</v>
      </c>
      <c r="J634" s="121">
        <f ca="1">HLOOKUP($H$4,'Met Data'!$H$2:$M$368,G634,FALSE)*L634</f>
        <v>2.85</v>
      </c>
      <c r="K634" s="100">
        <f ca="1">HLOOKUP($H$4,'Met Data'!$O$2:$T$368,G634,FALSE)</f>
        <v>3.5342235016405201</v>
      </c>
      <c r="L634">
        <f t="shared" ca="1" si="101"/>
        <v>1</v>
      </c>
      <c r="N634" t="e">
        <f t="shared" ca="1" si="102"/>
        <v>#N/A</v>
      </c>
      <c r="O634" t="e">
        <f t="shared" ca="1" si="103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4"/>
        <v>0</v>
      </c>
      <c r="AE634">
        <f t="shared" ca="1" si="105"/>
        <v>0</v>
      </c>
      <c r="AG634" s="65" t="e">
        <f t="shared" ca="1" si="106"/>
        <v>#N/A</v>
      </c>
      <c r="AH634" s="65" t="e">
        <f t="shared" ca="1" si="107"/>
        <v>#N/A</v>
      </c>
      <c r="AI634" s="3" t="e">
        <f t="shared" ca="1" si="108"/>
        <v>#N/A</v>
      </c>
    </row>
    <row r="635" spans="7:35" ht="15" thickBot="1" x14ac:dyDescent="0.35">
      <c r="G635" s="3">
        <f t="shared" ca="1" si="100"/>
        <v>51</v>
      </c>
      <c r="H635" s="99">
        <f t="shared" ca="1" si="99"/>
        <v>45707</v>
      </c>
      <c r="I635" s="123">
        <f ca="1">HLOOKUP($H$4,'Met Data'!$A$2:$F$368,G635,FALSE)</f>
        <v>18.925000000000001</v>
      </c>
      <c r="J635" s="121">
        <f ca="1">HLOOKUP($H$4,'Met Data'!$H$2:$M$368,G635,FALSE)*L635</f>
        <v>3.86666666666666</v>
      </c>
      <c r="K635" s="100">
        <f ca="1">HLOOKUP($H$4,'Met Data'!$O$2:$T$368,G635,FALSE)</f>
        <v>3.6338116563958698</v>
      </c>
      <c r="L635">
        <f t="shared" ca="1" si="101"/>
        <v>1</v>
      </c>
      <c r="N635" t="e">
        <f t="shared" ca="1" si="102"/>
        <v>#N/A</v>
      </c>
      <c r="O635" t="e">
        <f t="shared" ca="1" si="103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4"/>
        <v>0</v>
      </c>
      <c r="AE635">
        <f t="shared" ca="1" si="105"/>
        <v>0</v>
      </c>
      <c r="AG635" s="65" t="e">
        <f t="shared" ca="1" si="106"/>
        <v>#N/A</v>
      </c>
      <c r="AH635" s="65" t="e">
        <f t="shared" ca="1" si="107"/>
        <v>#N/A</v>
      </c>
      <c r="AI635" s="3" t="e">
        <f t="shared" ca="1" si="108"/>
        <v>#N/A</v>
      </c>
    </row>
    <row r="636" spans="7:35" ht="15" thickBot="1" x14ac:dyDescent="0.35">
      <c r="G636" s="3">
        <f t="shared" ca="1" si="100"/>
        <v>52</v>
      </c>
      <c r="H636" s="99">
        <f t="shared" ca="1" si="99"/>
        <v>45708</v>
      </c>
      <c r="I636" s="123">
        <f ca="1">HLOOKUP($H$4,'Met Data'!$A$2:$F$368,G636,FALSE)</f>
        <v>19.195833333333301</v>
      </c>
      <c r="J636" s="121">
        <f ca="1">HLOOKUP($H$4,'Met Data'!$H$2:$M$368,G636,FALSE)*L636</f>
        <v>1.18333333333333</v>
      </c>
      <c r="K636" s="100">
        <f ca="1">HLOOKUP($H$4,'Met Data'!$O$2:$T$368,G636,FALSE)</f>
        <v>3.7477053916930299</v>
      </c>
      <c r="L636">
        <f t="shared" ca="1" si="101"/>
        <v>1</v>
      </c>
      <c r="N636" t="e">
        <f t="shared" ca="1" si="102"/>
        <v>#N/A</v>
      </c>
      <c r="O636" t="e">
        <f t="shared" ca="1" si="103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4"/>
        <v>0</v>
      </c>
      <c r="AE636">
        <f t="shared" ca="1" si="105"/>
        <v>0</v>
      </c>
      <c r="AG636" s="65" t="e">
        <f t="shared" ca="1" si="106"/>
        <v>#N/A</v>
      </c>
      <c r="AH636" s="65" t="e">
        <f t="shared" ca="1" si="107"/>
        <v>#N/A</v>
      </c>
      <c r="AI636" s="3" t="e">
        <f t="shared" ca="1" si="108"/>
        <v>#N/A</v>
      </c>
    </row>
    <row r="637" spans="7:35" ht="15" thickBot="1" x14ac:dyDescent="0.35">
      <c r="G637" s="3">
        <f t="shared" ca="1" si="100"/>
        <v>53</v>
      </c>
      <c r="H637" s="99">
        <f t="shared" ca="1" si="99"/>
        <v>45709</v>
      </c>
      <c r="I637" s="123">
        <f ca="1">HLOOKUP($H$4,'Met Data'!$A$2:$F$368,G637,FALSE)</f>
        <v>18.945833333333301</v>
      </c>
      <c r="J637" s="121">
        <f ca="1">HLOOKUP($H$4,'Met Data'!$H$2:$M$368,G637,FALSE)*L637</f>
        <v>1.3333333333333299</v>
      </c>
      <c r="K637" s="100">
        <f ca="1">HLOOKUP($H$4,'Met Data'!$O$2:$T$368,G637,FALSE)</f>
        <v>3.7395681594102799</v>
      </c>
      <c r="L637">
        <f t="shared" ca="1" si="101"/>
        <v>1</v>
      </c>
      <c r="N637" t="e">
        <f t="shared" ca="1" si="102"/>
        <v>#N/A</v>
      </c>
      <c r="O637" t="e">
        <f t="shared" ca="1" si="103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4"/>
        <v>0</v>
      </c>
      <c r="AE637">
        <f t="shared" ca="1" si="105"/>
        <v>0</v>
      </c>
      <c r="AG637" s="65" t="e">
        <f t="shared" ca="1" si="106"/>
        <v>#N/A</v>
      </c>
      <c r="AH637" s="65" t="e">
        <f t="shared" ca="1" si="107"/>
        <v>#N/A</v>
      </c>
      <c r="AI637" s="3" t="e">
        <f t="shared" ca="1" si="108"/>
        <v>#N/A</v>
      </c>
    </row>
    <row r="638" spans="7:35" ht="15" thickBot="1" x14ac:dyDescent="0.35">
      <c r="G638" s="3">
        <f t="shared" ca="1" si="100"/>
        <v>54</v>
      </c>
      <c r="H638" s="99">
        <f t="shared" ca="1" si="99"/>
        <v>45710</v>
      </c>
      <c r="I638" s="123">
        <f ca="1">HLOOKUP($H$4,'Met Data'!$A$2:$F$368,G638,FALSE)</f>
        <v>18.912499999999898</v>
      </c>
      <c r="J638" s="121">
        <f ca="1">HLOOKUP($H$4,'Met Data'!$H$2:$M$368,G638,FALSE)*L638</f>
        <v>6.18333333333333</v>
      </c>
      <c r="K638" s="100">
        <f ca="1">HLOOKUP($H$4,'Met Data'!$O$2:$T$368,G638,FALSE)</f>
        <v>3.0629444033618198</v>
      </c>
      <c r="L638">
        <f t="shared" ca="1" si="101"/>
        <v>1</v>
      </c>
      <c r="N638" t="e">
        <f t="shared" ca="1" si="102"/>
        <v>#N/A</v>
      </c>
      <c r="O638" t="e">
        <f t="shared" ca="1" si="103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4"/>
        <v>0</v>
      </c>
      <c r="AE638">
        <f t="shared" ca="1" si="105"/>
        <v>0</v>
      </c>
      <c r="AG638" s="65" t="e">
        <f t="shared" ca="1" si="106"/>
        <v>#N/A</v>
      </c>
      <c r="AH638" s="65" t="e">
        <f t="shared" ca="1" si="107"/>
        <v>#N/A</v>
      </c>
      <c r="AI638" s="3" t="e">
        <f t="shared" ca="1" si="108"/>
        <v>#N/A</v>
      </c>
    </row>
    <row r="639" spans="7:35" ht="15" thickBot="1" x14ac:dyDescent="0.35">
      <c r="G639" s="3">
        <f t="shared" ca="1" si="100"/>
        <v>55</v>
      </c>
      <c r="H639" s="99">
        <f t="shared" ca="1" si="99"/>
        <v>45711</v>
      </c>
      <c r="I639" s="123">
        <f ca="1">HLOOKUP($H$4,'Met Data'!$A$2:$F$368,G639,FALSE)</f>
        <v>17.745833333333302</v>
      </c>
      <c r="J639" s="121">
        <f ca="1">HLOOKUP($H$4,'Met Data'!$H$2:$M$368,G639,FALSE)*L639</f>
        <v>0.7</v>
      </c>
      <c r="K639" s="100">
        <f ca="1">HLOOKUP($H$4,'Met Data'!$O$2:$T$368,G639,FALSE)</f>
        <v>3.7397228058893299</v>
      </c>
      <c r="L639">
        <f t="shared" ca="1" si="101"/>
        <v>1</v>
      </c>
      <c r="N639" t="e">
        <f t="shared" ca="1" si="102"/>
        <v>#N/A</v>
      </c>
      <c r="O639" t="e">
        <f t="shared" ca="1" si="103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4"/>
        <v>0</v>
      </c>
      <c r="AE639">
        <f t="shared" ca="1" si="105"/>
        <v>0</v>
      </c>
      <c r="AG639" s="65" t="e">
        <f t="shared" ca="1" si="106"/>
        <v>#N/A</v>
      </c>
      <c r="AH639" s="65" t="e">
        <f t="shared" ca="1" si="107"/>
        <v>#N/A</v>
      </c>
      <c r="AI639" s="3" t="e">
        <f t="shared" ca="1" si="108"/>
        <v>#N/A</v>
      </c>
    </row>
    <row r="640" spans="7:35" ht="15" thickBot="1" x14ac:dyDescent="0.35">
      <c r="G640" s="3">
        <f t="shared" ca="1" si="100"/>
        <v>56</v>
      </c>
      <c r="H640" s="99">
        <f t="shared" ca="1" si="99"/>
        <v>45712</v>
      </c>
      <c r="I640" s="123">
        <f ca="1">HLOOKUP($H$4,'Met Data'!$A$2:$F$368,G640,FALSE)</f>
        <v>16.945833333333301</v>
      </c>
      <c r="J640" s="121">
        <f ca="1">HLOOKUP($H$4,'Met Data'!$H$2:$M$368,G640,FALSE)*L640</f>
        <v>1.5999999999999901</v>
      </c>
      <c r="K640" s="100">
        <f ca="1">HLOOKUP($H$4,'Met Data'!$O$2:$T$368,G640,FALSE)</f>
        <v>3.5683594386422701</v>
      </c>
      <c r="L640">
        <f t="shared" ca="1" si="101"/>
        <v>1</v>
      </c>
      <c r="N640" t="e">
        <f t="shared" ca="1" si="102"/>
        <v>#N/A</v>
      </c>
      <c r="O640" t="e">
        <f t="shared" ca="1" si="103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4"/>
        <v>0</v>
      </c>
      <c r="AE640">
        <f t="shared" ca="1" si="105"/>
        <v>0</v>
      </c>
      <c r="AG640" s="65" t="e">
        <f t="shared" ca="1" si="106"/>
        <v>#N/A</v>
      </c>
      <c r="AH640" s="65" t="e">
        <f t="shared" ca="1" si="107"/>
        <v>#N/A</v>
      </c>
      <c r="AI640" s="3" t="e">
        <f t="shared" ca="1" si="108"/>
        <v>#N/A</v>
      </c>
    </row>
    <row r="641" spans="7:35" ht="15" thickBot="1" x14ac:dyDescent="0.35">
      <c r="G641" s="3">
        <f t="shared" ca="1" si="100"/>
        <v>57</v>
      </c>
      <c r="H641" s="99">
        <f t="shared" ca="1" si="99"/>
        <v>45713</v>
      </c>
      <c r="I641" s="123">
        <f ca="1">HLOOKUP($H$4,'Met Data'!$A$2:$F$368,G641,FALSE)</f>
        <v>17.495833333333302</v>
      </c>
      <c r="J641" s="121">
        <f ca="1">HLOOKUP($H$4,'Met Data'!$H$2:$M$368,G641,FALSE)*L641</f>
        <v>0.86666666666666603</v>
      </c>
      <c r="K641" s="100">
        <f ca="1">HLOOKUP($H$4,'Met Data'!$O$2:$T$368,G641,FALSE)</f>
        <v>3.5556810366886502</v>
      </c>
      <c r="L641">
        <f t="shared" ca="1" si="101"/>
        <v>1</v>
      </c>
      <c r="N641" t="e">
        <f t="shared" ca="1" si="102"/>
        <v>#N/A</v>
      </c>
      <c r="O641" t="e">
        <f t="shared" ca="1" si="103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4"/>
        <v>0</v>
      </c>
      <c r="AE641">
        <f t="shared" ca="1" si="105"/>
        <v>0</v>
      </c>
      <c r="AG641" s="65" t="e">
        <f t="shared" ca="1" si="106"/>
        <v>#N/A</v>
      </c>
      <c r="AH641" s="65" t="e">
        <f t="shared" ca="1" si="107"/>
        <v>#N/A</v>
      </c>
      <c r="AI641" s="3" t="e">
        <f t="shared" ca="1" si="108"/>
        <v>#N/A</v>
      </c>
    </row>
    <row r="642" spans="7:35" ht="15" thickBot="1" x14ac:dyDescent="0.35">
      <c r="G642" s="3">
        <f t="shared" ca="1" si="100"/>
        <v>58</v>
      </c>
      <c r="H642" s="99">
        <f t="shared" ca="1" si="99"/>
        <v>45714</v>
      </c>
      <c r="I642" s="123">
        <f ca="1">HLOOKUP($H$4,'Met Data'!$A$2:$F$368,G642,FALSE)</f>
        <v>16.954166666666602</v>
      </c>
      <c r="J642" s="121">
        <f ca="1">HLOOKUP($H$4,'Met Data'!$H$2:$M$368,G642,FALSE)*L642</f>
        <v>0.93333333333333302</v>
      </c>
      <c r="K642" s="100">
        <f ca="1">HLOOKUP($H$4,'Met Data'!$O$2:$T$368,G642,FALSE)</f>
        <v>3.6102637976598602</v>
      </c>
      <c r="L642">
        <f t="shared" ca="1" si="101"/>
        <v>1</v>
      </c>
      <c r="N642" t="e">
        <f t="shared" ca="1" si="102"/>
        <v>#N/A</v>
      </c>
      <c r="O642" t="e">
        <f t="shared" ca="1" si="103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4"/>
        <v>0</v>
      </c>
      <c r="AE642">
        <f t="shared" ca="1" si="105"/>
        <v>0</v>
      </c>
      <c r="AG642" s="65" t="e">
        <f t="shared" ca="1" si="106"/>
        <v>#N/A</v>
      </c>
      <c r="AH642" s="65" t="e">
        <f t="shared" ca="1" si="107"/>
        <v>#N/A</v>
      </c>
      <c r="AI642" s="3" t="e">
        <f t="shared" ca="1" si="108"/>
        <v>#N/A</v>
      </c>
    </row>
    <row r="643" spans="7:35" ht="15" thickBot="1" x14ac:dyDescent="0.35">
      <c r="G643" s="3">
        <f t="shared" ca="1" si="100"/>
        <v>59</v>
      </c>
      <c r="H643" s="99">
        <f t="shared" ca="1" si="99"/>
        <v>45715</v>
      </c>
      <c r="I643" s="123">
        <f ca="1">HLOOKUP($H$4,'Met Data'!$A$2:$F$368,G643,FALSE)</f>
        <v>16.829166666666602</v>
      </c>
      <c r="J643" s="121">
        <f ca="1">HLOOKUP($H$4,'Met Data'!$H$2:$M$368,G643,FALSE)*L643</f>
        <v>0.41666666666666602</v>
      </c>
      <c r="K643" s="100">
        <f ca="1">HLOOKUP($H$4,'Met Data'!$O$2:$T$368,G643,FALSE)</f>
        <v>3.6752740997587301</v>
      </c>
      <c r="L643">
        <f t="shared" ca="1" si="101"/>
        <v>1</v>
      </c>
      <c r="N643" t="e">
        <f t="shared" ca="1" si="102"/>
        <v>#N/A</v>
      </c>
      <c r="O643" t="e">
        <f t="shared" ca="1" si="103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4"/>
        <v>0</v>
      </c>
      <c r="AE643">
        <f t="shared" ca="1" si="105"/>
        <v>0</v>
      </c>
      <c r="AG643" s="65" t="e">
        <f t="shared" ca="1" si="106"/>
        <v>#N/A</v>
      </c>
      <c r="AH643" s="65" t="e">
        <f t="shared" ca="1" si="107"/>
        <v>#N/A</v>
      </c>
      <c r="AI643" s="3" t="e">
        <f t="shared" ca="1" si="108"/>
        <v>#N/A</v>
      </c>
    </row>
    <row r="644" spans="7:35" ht="15" thickBot="1" x14ac:dyDescent="0.35">
      <c r="G644" s="3">
        <f t="shared" ca="1" si="100"/>
        <v>60</v>
      </c>
      <c r="H644" s="99">
        <f t="shared" ca="1" si="99"/>
        <v>45716</v>
      </c>
      <c r="I644" s="123">
        <f ca="1">HLOOKUP($H$4,'Met Data'!$A$2:$F$368,G644,FALSE)</f>
        <v>17.512499999999999</v>
      </c>
      <c r="J644" s="121">
        <f ca="1">HLOOKUP($H$4,'Met Data'!$H$2:$M$368,G644,FALSE)*L644</f>
        <v>0.38333333333333303</v>
      </c>
      <c r="K644" s="100">
        <f ca="1">HLOOKUP($H$4,'Met Data'!$O$2:$T$368,G644,FALSE)</f>
        <v>3.6973328494211302</v>
      </c>
      <c r="L644">
        <f t="shared" ca="1" si="101"/>
        <v>1</v>
      </c>
      <c r="N644" t="e">
        <f t="shared" ca="1" si="102"/>
        <v>#N/A</v>
      </c>
      <c r="O644" t="e">
        <f t="shared" ca="1" si="103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4"/>
        <v>0</v>
      </c>
      <c r="AE644">
        <f t="shared" ca="1" si="105"/>
        <v>0</v>
      </c>
      <c r="AG644" s="65" t="e">
        <f t="shared" ca="1" si="106"/>
        <v>#N/A</v>
      </c>
      <c r="AH644" s="65" t="e">
        <f t="shared" ca="1" si="107"/>
        <v>#N/A</v>
      </c>
      <c r="AI644" s="3" t="e">
        <f t="shared" ca="1" si="108"/>
        <v>#N/A</v>
      </c>
    </row>
    <row r="645" spans="7:35" ht="15" thickBot="1" x14ac:dyDescent="0.35">
      <c r="G645" s="3">
        <f t="shared" ca="1" si="100"/>
        <v>61</v>
      </c>
      <c r="H645" s="99">
        <f t="shared" ca="1" si="99"/>
        <v>45717</v>
      </c>
      <c r="I645" s="123">
        <f ca="1">HLOOKUP($H$4,'Met Data'!$A$2:$F$368,G645,FALSE)</f>
        <v>17.1166666666666</v>
      </c>
      <c r="J645" s="121">
        <f ca="1">HLOOKUP($H$4,'Met Data'!$H$2:$M$368,G645,FALSE)*L645</f>
        <v>2.3166666666666602</v>
      </c>
      <c r="K645" s="100">
        <f ca="1">HLOOKUP($H$4,'Met Data'!$O$2:$T$368,G645,FALSE)</f>
        <v>3.5365052642272401</v>
      </c>
      <c r="L645">
        <f t="shared" ca="1" si="101"/>
        <v>1</v>
      </c>
      <c r="N645" t="e">
        <f t="shared" ca="1" si="102"/>
        <v>#N/A</v>
      </c>
      <c r="O645" t="e">
        <f t="shared" ca="1" si="103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4"/>
        <v>0</v>
      </c>
      <c r="AE645">
        <f t="shared" ca="1" si="105"/>
        <v>0</v>
      </c>
      <c r="AG645" s="65" t="e">
        <f t="shared" ca="1" si="106"/>
        <v>#N/A</v>
      </c>
      <c r="AH645" s="65" t="e">
        <f t="shared" ca="1" si="107"/>
        <v>#N/A</v>
      </c>
      <c r="AI645" s="3" t="e">
        <f t="shared" ca="1" si="108"/>
        <v>#N/A</v>
      </c>
    </row>
    <row r="646" spans="7:35" ht="15" thickBot="1" x14ac:dyDescent="0.35">
      <c r="G646" s="3">
        <f t="shared" ca="1" si="100"/>
        <v>62</v>
      </c>
      <c r="H646" s="99">
        <f t="shared" ca="1" si="99"/>
        <v>45718</v>
      </c>
      <c r="I646" s="123">
        <f ca="1">HLOOKUP($H$4,'Met Data'!$A$2:$F$368,G646,FALSE)</f>
        <v>17.037500000000001</v>
      </c>
      <c r="J646" s="121">
        <f ca="1">HLOOKUP($H$4,'Met Data'!$H$2:$M$368,G646,FALSE)*L646</f>
        <v>2.18333333333333</v>
      </c>
      <c r="K646" s="100">
        <f ca="1">HLOOKUP($H$4,'Met Data'!$O$2:$T$368,G646,FALSE)</f>
        <v>3.0680063753167199</v>
      </c>
      <c r="L646">
        <f t="shared" ca="1" si="101"/>
        <v>1</v>
      </c>
      <c r="N646" t="e">
        <f t="shared" ca="1" si="102"/>
        <v>#N/A</v>
      </c>
      <c r="O646" t="e">
        <f t="shared" ca="1" si="103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4"/>
        <v>0</v>
      </c>
      <c r="AE646">
        <f t="shared" ca="1" si="105"/>
        <v>0</v>
      </c>
      <c r="AG646" s="65" t="e">
        <f t="shared" ca="1" si="106"/>
        <v>#N/A</v>
      </c>
      <c r="AH646" s="65" t="e">
        <f t="shared" ca="1" si="107"/>
        <v>#N/A</v>
      </c>
      <c r="AI646" s="3" t="e">
        <f t="shared" ca="1" si="108"/>
        <v>#N/A</v>
      </c>
    </row>
    <row r="647" spans="7:35" ht="15" thickBot="1" x14ac:dyDescent="0.35">
      <c r="G647" s="3">
        <f t="shared" ca="1" si="100"/>
        <v>63</v>
      </c>
      <c r="H647" s="99">
        <f t="shared" ca="1" si="99"/>
        <v>45719</v>
      </c>
      <c r="I647" s="123">
        <f ca="1">HLOOKUP($H$4,'Met Data'!$A$2:$F$368,G647,FALSE)</f>
        <v>17.204166666666602</v>
      </c>
      <c r="J647" s="121">
        <f ca="1">HLOOKUP($H$4,'Met Data'!$H$2:$M$368,G647,FALSE)*L647</f>
        <v>0.61666666666666603</v>
      </c>
      <c r="K647" s="100">
        <f ca="1">HLOOKUP($H$4,'Met Data'!$O$2:$T$368,G647,FALSE)</f>
        <v>3.2161744467378801</v>
      </c>
      <c r="L647">
        <f t="shared" ca="1" si="101"/>
        <v>1</v>
      </c>
      <c r="N647" t="e">
        <f t="shared" ca="1" si="102"/>
        <v>#N/A</v>
      </c>
      <c r="O647" t="e">
        <f t="shared" ca="1" si="103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4"/>
        <v>0</v>
      </c>
      <c r="AE647">
        <f t="shared" ca="1" si="105"/>
        <v>0</v>
      </c>
      <c r="AG647" s="65" t="e">
        <f t="shared" ca="1" si="106"/>
        <v>#N/A</v>
      </c>
      <c r="AH647" s="65" t="e">
        <f t="shared" ca="1" si="107"/>
        <v>#N/A</v>
      </c>
      <c r="AI647" s="3" t="e">
        <f t="shared" ca="1" si="108"/>
        <v>#N/A</v>
      </c>
    </row>
    <row r="648" spans="7:35" ht="15" thickBot="1" x14ac:dyDescent="0.35">
      <c r="G648" s="3">
        <f t="shared" ca="1" si="100"/>
        <v>64</v>
      </c>
      <c r="H648" s="99">
        <f t="shared" ref="H648:H711" ca="1" si="109">H647+1</f>
        <v>45720</v>
      </c>
      <c r="I648" s="123">
        <f ca="1">HLOOKUP($H$4,'Met Data'!$A$2:$F$368,G648,FALSE)</f>
        <v>16.720833333333299</v>
      </c>
      <c r="J648" s="121">
        <f ca="1">HLOOKUP($H$4,'Met Data'!$H$2:$M$368,G648,FALSE)*L648</f>
        <v>2.93333333333333</v>
      </c>
      <c r="K648" s="100">
        <f ca="1">HLOOKUP($H$4,'Met Data'!$O$2:$T$368,G648,FALSE)</f>
        <v>2.8476580172568502</v>
      </c>
      <c r="L648">
        <f t="shared" ca="1" si="101"/>
        <v>1</v>
      </c>
      <c r="N648" t="e">
        <f t="shared" ca="1" si="102"/>
        <v>#N/A</v>
      </c>
      <c r="O648" t="e">
        <f t="shared" ca="1" si="103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4"/>
        <v>0</v>
      </c>
      <c r="AE648">
        <f t="shared" ca="1" si="105"/>
        <v>0</v>
      </c>
      <c r="AG648" s="65" t="e">
        <f t="shared" ca="1" si="106"/>
        <v>#N/A</v>
      </c>
      <c r="AH648" s="65" t="e">
        <f t="shared" ca="1" si="107"/>
        <v>#N/A</v>
      </c>
      <c r="AI648" s="3" t="e">
        <f t="shared" ca="1" si="108"/>
        <v>#N/A</v>
      </c>
    </row>
    <row r="649" spans="7:35" ht="15" thickBot="1" x14ac:dyDescent="0.35">
      <c r="G649" s="3">
        <f t="shared" ca="1" si="100"/>
        <v>65</v>
      </c>
      <c r="H649" s="99">
        <f t="shared" ca="1" si="109"/>
        <v>45721</v>
      </c>
      <c r="I649" s="123">
        <f ca="1">HLOOKUP($H$4,'Met Data'!$A$2:$F$368,G649,FALSE)</f>
        <v>17.05</v>
      </c>
      <c r="J649" s="121">
        <f ca="1">HLOOKUP($H$4,'Met Data'!$H$2:$M$368,G649,FALSE)*L649</f>
        <v>3.5</v>
      </c>
      <c r="K649" s="100">
        <f ca="1">HLOOKUP($H$4,'Met Data'!$O$2:$T$368,G649,FALSE)</f>
        <v>3.0856400612975601</v>
      </c>
      <c r="L649">
        <f t="shared" ca="1" si="101"/>
        <v>1</v>
      </c>
      <c r="N649" t="e">
        <f t="shared" ca="1" si="102"/>
        <v>#N/A</v>
      </c>
      <c r="O649" t="e">
        <f t="shared" ca="1" si="103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4"/>
        <v>0</v>
      </c>
      <c r="AE649">
        <f t="shared" ca="1" si="105"/>
        <v>0</v>
      </c>
      <c r="AG649" s="65" t="e">
        <f t="shared" ca="1" si="106"/>
        <v>#N/A</v>
      </c>
      <c r="AH649" s="65" t="e">
        <f t="shared" ca="1" si="107"/>
        <v>#N/A</v>
      </c>
      <c r="AI649" s="3" t="e">
        <f t="shared" ca="1" si="108"/>
        <v>#N/A</v>
      </c>
    </row>
    <row r="650" spans="7:35" ht="15" thickBot="1" x14ac:dyDescent="0.35">
      <c r="G650" s="3">
        <f t="shared" ca="1" si="100"/>
        <v>66</v>
      </c>
      <c r="H650" s="99">
        <f t="shared" ca="1" si="109"/>
        <v>45722</v>
      </c>
      <c r="I650" s="123">
        <f ca="1">HLOOKUP($H$4,'Met Data'!$A$2:$F$368,G650,FALSE)</f>
        <v>16.5625</v>
      </c>
      <c r="J650" s="121">
        <f ca="1">HLOOKUP($H$4,'Met Data'!$H$2:$M$368,G650,FALSE)*L650</f>
        <v>1.9166666666666601</v>
      </c>
      <c r="K650" s="100">
        <f ca="1">HLOOKUP($H$4,'Met Data'!$O$2:$T$368,G650,FALSE)</f>
        <v>2.4477007585282702</v>
      </c>
      <c r="L650">
        <f t="shared" ca="1" si="101"/>
        <v>1</v>
      </c>
      <c r="N650" t="e">
        <f t="shared" ca="1" si="102"/>
        <v>#N/A</v>
      </c>
      <c r="O650" t="e">
        <f t="shared" ca="1" si="103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4"/>
        <v>0</v>
      </c>
      <c r="AE650">
        <f t="shared" ca="1" si="105"/>
        <v>0</v>
      </c>
      <c r="AG650" s="65" t="e">
        <f t="shared" ca="1" si="106"/>
        <v>#N/A</v>
      </c>
      <c r="AH650" s="65" t="e">
        <f t="shared" ca="1" si="107"/>
        <v>#N/A</v>
      </c>
      <c r="AI650" s="3" t="e">
        <f t="shared" ca="1" si="108"/>
        <v>#N/A</v>
      </c>
    </row>
    <row r="651" spans="7:35" ht="15" thickBot="1" x14ac:dyDescent="0.35">
      <c r="G651" s="3">
        <f t="shared" ca="1" si="100"/>
        <v>67</v>
      </c>
      <c r="H651" s="99">
        <f t="shared" ca="1" si="109"/>
        <v>45723</v>
      </c>
      <c r="I651" s="123">
        <f ca="1">HLOOKUP($H$4,'Met Data'!$A$2:$F$368,G651,FALSE)</f>
        <v>16.349999999999898</v>
      </c>
      <c r="J651" s="121">
        <f ca="1">HLOOKUP($H$4,'Met Data'!$H$2:$M$368,G651,FALSE)*L651</f>
        <v>5.4</v>
      </c>
      <c r="K651" s="100">
        <f ca="1">HLOOKUP($H$4,'Met Data'!$O$2:$T$368,G651,FALSE)</f>
        <v>3.2051572713162999</v>
      </c>
      <c r="L651">
        <f t="shared" ca="1" si="101"/>
        <v>1</v>
      </c>
      <c r="N651" t="e">
        <f t="shared" ca="1" si="102"/>
        <v>#N/A</v>
      </c>
      <c r="O651" t="e">
        <f t="shared" ca="1" si="103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4"/>
        <v>0</v>
      </c>
      <c r="AE651">
        <f t="shared" ca="1" si="105"/>
        <v>0</v>
      </c>
      <c r="AG651" s="65" t="e">
        <f t="shared" ca="1" si="106"/>
        <v>#N/A</v>
      </c>
      <c r="AH651" s="65" t="e">
        <f t="shared" ca="1" si="107"/>
        <v>#N/A</v>
      </c>
      <c r="AI651" s="3" t="e">
        <f t="shared" ca="1" si="108"/>
        <v>#N/A</v>
      </c>
    </row>
    <row r="652" spans="7:35" ht="15" thickBot="1" x14ac:dyDescent="0.35">
      <c r="G652" s="3">
        <f t="shared" ca="1" si="100"/>
        <v>68</v>
      </c>
      <c r="H652" s="99">
        <f t="shared" ca="1" si="109"/>
        <v>45724</v>
      </c>
      <c r="I652" s="123">
        <f ca="1">HLOOKUP($H$4,'Met Data'!$A$2:$F$368,G652,FALSE)</f>
        <v>16.404166666666601</v>
      </c>
      <c r="J652" s="121">
        <f ca="1">HLOOKUP($H$4,'Met Data'!$H$2:$M$368,G652,FALSE)*L652</f>
        <v>1.7666666666666599</v>
      </c>
      <c r="K652" s="100">
        <f ca="1">HLOOKUP($H$4,'Met Data'!$O$2:$T$368,G652,FALSE)</f>
        <v>3.3473688975414899</v>
      </c>
      <c r="L652">
        <f t="shared" ca="1" si="101"/>
        <v>1</v>
      </c>
      <c r="N652" t="e">
        <f t="shared" ca="1" si="102"/>
        <v>#N/A</v>
      </c>
      <c r="O652" t="e">
        <f t="shared" ca="1" si="103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4"/>
        <v>0</v>
      </c>
      <c r="AE652">
        <f t="shared" ca="1" si="105"/>
        <v>0</v>
      </c>
      <c r="AG652" s="65" t="e">
        <f t="shared" ca="1" si="106"/>
        <v>#N/A</v>
      </c>
      <c r="AH652" s="65" t="e">
        <f t="shared" ca="1" si="107"/>
        <v>#N/A</v>
      </c>
      <c r="AI652" s="3" t="e">
        <f t="shared" ca="1" si="108"/>
        <v>#N/A</v>
      </c>
    </row>
    <row r="653" spans="7:35" ht="15" thickBot="1" x14ac:dyDescent="0.35">
      <c r="G653" s="3">
        <f t="shared" ca="1" si="100"/>
        <v>69</v>
      </c>
      <c r="H653" s="99">
        <f t="shared" ca="1" si="109"/>
        <v>45725</v>
      </c>
      <c r="I653" s="123">
        <f ca="1">HLOOKUP($H$4,'Met Data'!$A$2:$F$368,G653,FALSE)</f>
        <v>16.174999999999901</v>
      </c>
      <c r="J653" s="121">
        <f ca="1">HLOOKUP($H$4,'Met Data'!$H$2:$M$368,G653,FALSE)*L653</f>
        <v>0.54999999999999905</v>
      </c>
      <c r="K653" s="100">
        <f ca="1">HLOOKUP($H$4,'Met Data'!$O$2:$T$368,G653,FALSE)</f>
        <v>3.3552920602916099</v>
      </c>
      <c r="L653">
        <f t="shared" ca="1" si="101"/>
        <v>1</v>
      </c>
      <c r="N653" t="e">
        <f t="shared" ca="1" si="102"/>
        <v>#N/A</v>
      </c>
      <c r="O653" t="e">
        <f t="shared" ca="1" si="103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4"/>
        <v>0</v>
      </c>
      <c r="AE653">
        <f t="shared" ca="1" si="105"/>
        <v>0</v>
      </c>
      <c r="AG653" s="65" t="e">
        <f t="shared" ca="1" si="106"/>
        <v>#N/A</v>
      </c>
      <c r="AH653" s="65" t="e">
        <f t="shared" ca="1" si="107"/>
        <v>#N/A</v>
      </c>
      <c r="AI653" s="3" t="e">
        <f t="shared" ca="1" si="108"/>
        <v>#N/A</v>
      </c>
    </row>
    <row r="654" spans="7:35" ht="15" thickBot="1" x14ac:dyDescent="0.35">
      <c r="G654" s="3">
        <f t="shared" ca="1" si="100"/>
        <v>70</v>
      </c>
      <c r="H654" s="99">
        <f t="shared" ca="1" si="109"/>
        <v>45726</v>
      </c>
      <c r="I654" s="123">
        <f ca="1">HLOOKUP($H$4,'Met Data'!$A$2:$F$368,G654,FALSE)</f>
        <v>16.625</v>
      </c>
      <c r="J654" s="121">
        <f ca="1">HLOOKUP($H$4,'Met Data'!$H$2:$M$368,G654,FALSE)*L654</f>
        <v>2.0666666666666602</v>
      </c>
      <c r="K654" s="100">
        <f ca="1">HLOOKUP($H$4,'Met Data'!$O$2:$T$368,G654,FALSE)</f>
        <v>3.2920876744510998</v>
      </c>
      <c r="L654">
        <f t="shared" ca="1" si="101"/>
        <v>1</v>
      </c>
      <c r="N654" t="e">
        <f t="shared" ca="1" si="102"/>
        <v>#N/A</v>
      </c>
      <c r="O654" t="e">
        <f t="shared" ca="1" si="103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4"/>
        <v>0</v>
      </c>
      <c r="AE654">
        <f t="shared" ca="1" si="105"/>
        <v>0</v>
      </c>
      <c r="AG654" s="65" t="e">
        <f t="shared" ca="1" si="106"/>
        <v>#N/A</v>
      </c>
      <c r="AH654" s="65" t="e">
        <f t="shared" ca="1" si="107"/>
        <v>#N/A</v>
      </c>
      <c r="AI654" s="3" t="e">
        <f t="shared" ca="1" si="108"/>
        <v>#N/A</v>
      </c>
    </row>
    <row r="655" spans="7:35" ht="15" thickBot="1" x14ac:dyDescent="0.35">
      <c r="G655" s="3">
        <f t="shared" ca="1" si="100"/>
        <v>71</v>
      </c>
      <c r="H655" s="99">
        <f t="shared" ca="1" si="109"/>
        <v>45727</v>
      </c>
      <c r="I655" s="123">
        <f ca="1">HLOOKUP($H$4,'Met Data'!$A$2:$F$368,G655,FALSE)</f>
        <v>16.266666666666602</v>
      </c>
      <c r="J655" s="121">
        <f ca="1">HLOOKUP($H$4,'Met Data'!$H$2:$M$368,G655,FALSE)*L655</f>
        <v>3.44999999999999</v>
      </c>
      <c r="K655" s="100">
        <f ca="1">HLOOKUP($H$4,'Met Data'!$O$2:$T$368,G655,FALSE)</f>
        <v>2.5592177640993499</v>
      </c>
      <c r="L655">
        <f t="shared" ca="1" si="101"/>
        <v>1</v>
      </c>
      <c r="N655" t="e">
        <f t="shared" ca="1" si="102"/>
        <v>#N/A</v>
      </c>
      <c r="O655" t="e">
        <f t="shared" ca="1" si="103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4"/>
        <v>0</v>
      </c>
      <c r="AE655">
        <f t="shared" ca="1" si="105"/>
        <v>0</v>
      </c>
      <c r="AG655" s="65" t="e">
        <f t="shared" ca="1" si="106"/>
        <v>#N/A</v>
      </c>
      <c r="AH655" s="65" t="e">
        <f t="shared" ca="1" si="107"/>
        <v>#N/A</v>
      </c>
      <c r="AI655" s="3" t="e">
        <f t="shared" ca="1" si="108"/>
        <v>#N/A</v>
      </c>
    </row>
    <row r="656" spans="7:35" ht="15" thickBot="1" x14ac:dyDescent="0.35">
      <c r="G656" s="3">
        <f t="shared" ca="1" si="100"/>
        <v>72</v>
      </c>
      <c r="H656" s="99">
        <f t="shared" ca="1" si="109"/>
        <v>45728</v>
      </c>
      <c r="I656" s="123">
        <f ca="1">HLOOKUP($H$4,'Met Data'!$A$2:$F$368,G656,FALSE)</f>
        <v>16.404166666666601</v>
      </c>
      <c r="J656" s="121">
        <f ca="1">HLOOKUP($H$4,'Met Data'!$H$2:$M$368,G656,FALSE)*L656</f>
        <v>1.5833333333333299</v>
      </c>
      <c r="K656" s="100">
        <f ca="1">HLOOKUP($H$4,'Met Data'!$O$2:$T$368,G656,FALSE)</f>
        <v>2.85115032224514</v>
      </c>
      <c r="L656">
        <f t="shared" ca="1" si="101"/>
        <v>1</v>
      </c>
      <c r="N656" t="e">
        <f t="shared" ca="1" si="102"/>
        <v>#N/A</v>
      </c>
      <c r="O656" t="e">
        <f t="shared" ca="1" si="103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4"/>
        <v>0</v>
      </c>
      <c r="AE656">
        <f t="shared" ca="1" si="105"/>
        <v>0</v>
      </c>
      <c r="AG656" s="65" t="e">
        <f t="shared" ca="1" si="106"/>
        <v>#N/A</v>
      </c>
      <c r="AH656" s="65" t="e">
        <f t="shared" ca="1" si="107"/>
        <v>#N/A</v>
      </c>
      <c r="AI656" s="3" t="e">
        <f t="shared" ca="1" si="108"/>
        <v>#N/A</v>
      </c>
    </row>
    <row r="657" spans="7:35" ht="15" thickBot="1" x14ac:dyDescent="0.35">
      <c r="G657" s="3">
        <f t="shared" ca="1" si="100"/>
        <v>73</v>
      </c>
      <c r="H657" s="99">
        <f t="shared" ca="1" si="109"/>
        <v>45729</v>
      </c>
      <c r="I657" s="123">
        <f ca="1">HLOOKUP($H$4,'Met Data'!$A$2:$F$368,G657,FALSE)</f>
        <v>15.324999999999999</v>
      </c>
      <c r="J657" s="121">
        <f ca="1">HLOOKUP($H$4,'Met Data'!$H$2:$M$368,G657,FALSE)*L657</f>
        <v>1.38333333333333</v>
      </c>
      <c r="K657" s="100">
        <f ca="1">HLOOKUP($H$4,'Met Data'!$O$2:$T$368,G657,FALSE)</f>
        <v>2.7545575054438101</v>
      </c>
      <c r="L657">
        <f t="shared" ca="1" si="101"/>
        <v>1</v>
      </c>
      <c r="N657" t="e">
        <f t="shared" ca="1" si="102"/>
        <v>#N/A</v>
      </c>
      <c r="O657" t="e">
        <f t="shared" ca="1" si="103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4"/>
        <v>0</v>
      </c>
      <c r="AE657">
        <f t="shared" ca="1" si="105"/>
        <v>0</v>
      </c>
      <c r="AG657" s="65" t="e">
        <f t="shared" ca="1" si="106"/>
        <v>#N/A</v>
      </c>
      <c r="AH657" s="65" t="e">
        <f t="shared" ca="1" si="107"/>
        <v>#N/A</v>
      </c>
      <c r="AI657" s="3" t="e">
        <f t="shared" ca="1" si="108"/>
        <v>#N/A</v>
      </c>
    </row>
    <row r="658" spans="7:35" ht="15" thickBot="1" x14ac:dyDescent="0.35">
      <c r="G658" s="3">
        <f t="shared" ca="1" si="100"/>
        <v>74</v>
      </c>
      <c r="H658" s="99">
        <f t="shared" ca="1" si="109"/>
        <v>45730</v>
      </c>
      <c r="I658" s="123">
        <f ca="1">HLOOKUP($H$4,'Met Data'!$A$2:$F$368,G658,FALSE)</f>
        <v>15.8333333333333</v>
      </c>
      <c r="J658" s="121">
        <f ca="1">HLOOKUP($H$4,'Met Data'!$H$2:$M$368,G658,FALSE)*L658</f>
        <v>0.483333333333333</v>
      </c>
      <c r="K658" s="100">
        <f ca="1">HLOOKUP($H$4,'Met Data'!$O$2:$T$368,G658,FALSE)</f>
        <v>2.9925841251346701</v>
      </c>
      <c r="L658">
        <f t="shared" ca="1" si="101"/>
        <v>1</v>
      </c>
      <c r="N658" t="e">
        <f t="shared" ca="1" si="102"/>
        <v>#N/A</v>
      </c>
      <c r="O658" t="e">
        <f t="shared" ca="1" si="103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4"/>
        <v>0</v>
      </c>
      <c r="AE658">
        <f t="shared" ca="1" si="105"/>
        <v>0</v>
      </c>
      <c r="AG658" s="65" t="e">
        <f t="shared" ca="1" si="106"/>
        <v>#N/A</v>
      </c>
      <c r="AH658" s="65" t="e">
        <f t="shared" ca="1" si="107"/>
        <v>#N/A</v>
      </c>
      <c r="AI658" s="3" t="e">
        <f t="shared" ca="1" si="108"/>
        <v>#N/A</v>
      </c>
    </row>
    <row r="659" spans="7:35" ht="15" thickBot="1" x14ac:dyDescent="0.35">
      <c r="G659" s="3">
        <f t="shared" ca="1" si="100"/>
        <v>75</v>
      </c>
      <c r="H659" s="99">
        <f t="shared" ca="1" si="109"/>
        <v>45731</v>
      </c>
      <c r="I659" s="123">
        <f ca="1">HLOOKUP($H$4,'Met Data'!$A$2:$F$368,G659,FALSE)</f>
        <v>16.966666666666601</v>
      </c>
      <c r="J659" s="121">
        <f ca="1">HLOOKUP($H$4,'Met Data'!$H$2:$M$368,G659,FALSE)*L659</f>
        <v>0.31666666666666599</v>
      </c>
      <c r="K659" s="100">
        <f ca="1">HLOOKUP($H$4,'Met Data'!$O$2:$T$368,G659,FALSE)</f>
        <v>2.9125814341448</v>
      </c>
      <c r="L659">
        <f t="shared" ca="1" si="101"/>
        <v>1</v>
      </c>
      <c r="N659" t="e">
        <f t="shared" ca="1" si="102"/>
        <v>#N/A</v>
      </c>
      <c r="O659" t="e">
        <f t="shared" ca="1" si="103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4"/>
        <v>0</v>
      </c>
      <c r="AE659">
        <f t="shared" ca="1" si="105"/>
        <v>0</v>
      </c>
      <c r="AG659" s="65" t="e">
        <f t="shared" ca="1" si="106"/>
        <v>#N/A</v>
      </c>
      <c r="AH659" s="65" t="e">
        <f t="shared" ca="1" si="107"/>
        <v>#N/A</v>
      </c>
      <c r="AI659" s="3" t="e">
        <f t="shared" ca="1" si="108"/>
        <v>#N/A</v>
      </c>
    </row>
    <row r="660" spans="7:35" ht="15" thickBot="1" x14ac:dyDescent="0.35">
      <c r="G660" s="3">
        <f t="shared" ca="1" si="100"/>
        <v>76</v>
      </c>
      <c r="H660" s="99">
        <f t="shared" ca="1" si="109"/>
        <v>45732</v>
      </c>
      <c r="I660" s="123">
        <f ca="1">HLOOKUP($H$4,'Met Data'!$A$2:$F$368,G660,FALSE)</f>
        <v>17.766666666666602</v>
      </c>
      <c r="J660" s="121">
        <f ca="1">HLOOKUP($H$4,'Met Data'!$H$2:$M$368,G660,FALSE)*L660</f>
        <v>2.25</v>
      </c>
      <c r="K660" s="100">
        <f ca="1">HLOOKUP($H$4,'Met Data'!$O$2:$T$368,G660,FALSE)</f>
        <v>2.3685635659939601</v>
      </c>
      <c r="L660">
        <f t="shared" ca="1" si="101"/>
        <v>1</v>
      </c>
      <c r="N660" t="e">
        <f t="shared" ca="1" si="102"/>
        <v>#N/A</v>
      </c>
      <c r="O660" t="e">
        <f t="shared" ca="1" si="103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4"/>
        <v>0</v>
      </c>
      <c r="AE660">
        <f t="shared" ca="1" si="105"/>
        <v>0</v>
      </c>
      <c r="AG660" s="65" t="e">
        <f t="shared" ca="1" si="106"/>
        <v>#N/A</v>
      </c>
      <c r="AH660" s="65" t="e">
        <f t="shared" ca="1" si="107"/>
        <v>#N/A</v>
      </c>
      <c r="AI660" s="3" t="e">
        <f t="shared" ca="1" si="108"/>
        <v>#N/A</v>
      </c>
    </row>
    <row r="661" spans="7:35" ht="15" thickBot="1" x14ac:dyDescent="0.35">
      <c r="G661" s="3">
        <f t="shared" ca="1" si="100"/>
        <v>77</v>
      </c>
      <c r="H661" s="99">
        <f t="shared" ca="1" si="109"/>
        <v>45733</v>
      </c>
      <c r="I661" s="123">
        <f ca="1">HLOOKUP($H$4,'Met Data'!$A$2:$F$368,G661,FALSE)</f>
        <v>16.100000000000001</v>
      </c>
      <c r="J661" s="121">
        <f ca="1">HLOOKUP($H$4,'Met Data'!$H$2:$M$368,G661,FALSE)*L661</f>
        <v>1.4</v>
      </c>
      <c r="K661" s="100">
        <f ca="1">HLOOKUP($H$4,'Met Data'!$O$2:$T$368,G661,FALSE)</f>
        <v>2.7759280674014901</v>
      </c>
      <c r="L661">
        <f t="shared" ca="1" si="101"/>
        <v>1</v>
      </c>
      <c r="N661" t="e">
        <f t="shared" ca="1" si="102"/>
        <v>#N/A</v>
      </c>
      <c r="O661" t="e">
        <f t="shared" ca="1" si="103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4"/>
        <v>0</v>
      </c>
      <c r="AE661">
        <f t="shared" ca="1" si="105"/>
        <v>0</v>
      </c>
      <c r="AG661" s="65" t="e">
        <f t="shared" ca="1" si="106"/>
        <v>#N/A</v>
      </c>
      <c r="AH661" s="65" t="e">
        <f t="shared" ca="1" si="107"/>
        <v>#N/A</v>
      </c>
      <c r="AI661" s="3" t="e">
        <f t="shared" ca="1" si="108"/>
        <v>#N/A</v>
      </c>
    </row>
    <row r="662" spans="7:35" ht="15" thickBot="1" x14ac:dyDescent="0.35">
      <c r="G662" s="3">
        <f t="shared" ca="1" si="100"/>
        <v>78</v>
      </c>
      <c r="H662" s="99">
        <f t="shared" ca="1" si="109"/>
        <v>45734</v>
      </c>
      <c r="I662" s="123">
        <f ca="1">HLOOKUP($H$4,'Met Data'!$A$2:$F$368,G662,FALSE)</f>
        <v>15.379166666666601</v>
      </c>
      <c r="J662" s="121">
        <f ca="1">HLOOKUP($H$4,'Met Data'!$H$2:$M$368,G662,FALSE)*L662</f>
        <v>3.68333333333333</v>
      </c>
      <c r="K662" s="100">
        <f ca="1">HLOOKUP($H$4,'Met Data'!$O$2:$T$368,G662,FALSE)</f>
        <v>2.7162290778951999</v>
      </c>
      <c r="L662">
        <f t="shared" ca="1" si="101"/>
        <v>1</v>
      </c>
      <c r="N662" t="e">
        <f t="shared" ca="1" si="102"/>
        <v>#N/A</v>
      </c>
      <c r="O662" t="e">
        <f t="shared" ca="1" si="103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4"/>
        <v>0</v>
      </c>
      <c r="AE662">
        <f t="shared" ca="1" si="105"/>
        <v>0</v>
      </c>
      <c r="AG662" s="65" t="e">
        <f t="shared" ca="1" si="106"/>
        <v>#N/A</v>
      </c>
      <c r="AH662" s="65" t="e">
        <f t="shared" ca="1" si="107"/>
        <v>#N/A</v>
      </c>
      <c r="AI662" s="3" t="e">
        <f t="shared" ca="1" si="108"/>
        <v>#N/A</v>
      </c>
    </row>
    <row r="663" spans="7:35" ht="15" thickBot="1" x14ac:dyDescent="0.35">
      <c r="G663" s="3">
        <f t="shared" ca="1" si="100"/>
        <v>79</v>
      </c>
      <c r="H663" s="99">
        <f t="shared" ca="1" si="109"/>
        <v>45735</v>
      </c>
      <c r="I663" s="123">
        <f ca="1">HLOOKUP($H$4,'Met Data'!$A$2:$F$368,G663,FALSE)</f>
        <v>15.858333333333301</v>
      </c>
      <c r="J663" s="121">
        <f ca="1">HLOOKUP($H$4,'Met Data'!$H$2:$M$368,G663,FALSE)*L663</f>
        <v>0.85</v>
      </c>
      <c r="K663" s="100">
        <f ca="1">HLOOKUP($H$4,'Met Data'!$O$2:$T$368,G663,FALSE)</f>
        <v>2.8216063312721902</v>
      </c>
      <c r="L663">
        <f t="shared" ca="1" si="101"/>
        <v>1</v>
      </c>
      <c r="N663" t="e">
        <f t="shared" ca="1" si="102"/>
        <v>#N/A</v>
      </c>
      <c r="O663" t="e">
        <f t="shared" ca="1" si="103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4"/>
        <v>0</v>
      </c>
      <c r="AE663">
        <f t="shared" ca="1" si="105"/>
        <v>0</v>
      </c>
      <c r="AG663" s="65" t="e">
        <f t="shared" ca="1" si="106"/>
        <v>#N/A</v>
      </c>
      <c r="AH663" s="65" t="e">
        <f t="shared" ca="1" si="107"/>
        <v>#N/A</v>
      </c>
      <c r="AI663" s="3" t="e">
        <f t="shared" ca="1" si="108"/>
        <v>#N/A</v>
      </c>
    </row>
    <row r="664" spans="7:35" ht="15" thickBot="1" x14ac:dyDescent="0.35">
      <c r="G664" s="3">
        <f t="shared" ca="1" si="100"/>
        <v>80</v>
      </c>
      <c r="H664" s="99">
        <f t="shared" ca="1" si="109"/>
        <v>45736</v>
      </c>
      <c r="I664" s="123">
        <f ca="1">HLOOKUP($H$4,'Met Data'!$A$2:$F$368,G664,FALSE)</f>
        <v>16.216666666666601</v>
      </c>
      <c r="J664" s="121">
        <f ca="1">HLOOKUP($H$4,'Met Data'!$H$2:$M$368,G664,FALSE)*L664</f>
        <v>8.3333333333333301E-2</v>
      </c>
      <c r="K664" s="100">
        <f ca="1">HLOOKUP($H$4,'Met Data'!$O$2:$T$368,G664,FALSE)</f>
        <v>2.7500481593686201</v>
      </c>
      <c r="L664">
        <f t="shared" ca="1" si="101"/>
        <v>1</v>
      </c>
      <c r="N664" t="e">
        <f t="shared" ca="1" si="102"/>
        <v>#N/A</v>
      </c>
      <c r="O664" t="e">
        <f t="shared" ca="1" si="103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4"/>
        <v>0</v>
      </c>
      <c r="AE664">
        <f t="shared" ca="1" si="105"/>
        <v>0</v>
      </c>
      <c r="AG664" s="65" t="e">
        <f t="shared" ca="1" si="106"/>
        <v>#N/A</v>
      </c>
      <c r="AH664" s="65" t="e">
        <f t="shared" ca="1" si="107"/>
        <v>#N/A</v>
      </c>
      <c r="AI664" s="3" t="e">
        <f t="shared" ca="1" si="108"/>
        <v>#N/A</v>
      </c>
    </row>
    <row r="665" spans="7:35" ht="15" thickBot="1" x14ac:dyDescent="0.35">
      <c r="G665" s="3">
        <f t="shared" ca="1" si="100"/>
        <v>81</v>
      </c>
      <c r="H665" s="99">
        <f t="shared" ca="1" si="109"/>
        <v>45737</v>
      </c>
      <c r="I665" s="123">
        <f ca="1">HLOOKUP($H$4,'Met Data'!$A$2:$F$368,G665,FALSE)</f>
        <v>16.483333333333299</v>
      </c>
      <c r="J665" s="121">
        <f ca="1">HLOOKUP($H$4,'Met Data'!$H$2:$M$368,G665,FALSE)*L665</f>
        <v>1.11666666666666</v>
      </c>
      <c r="K665" s="100">
        <f ca="1">HLOOKUP($H$4,'Met Data'!$O$2:$T$368,G665,FALSE)</f>
        <v>2.6292753041097501</v>
      </c>
      <c r="L665">
        <f t="shared" ca="1" si="101"/>
        <v>1</v>
      </c>
      <c r="N665" t="e">
        <f t="shared" ca="1" si="102"/>
        <v>#N/A</v>
      </c>
      <c r="O665" t="e">
        <f t="shared" ca="1" si="103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4"/>
        <v>0</v>
      </c>
      <c r="AE665">
        <f t="shared" ca="1" si="105"/>
        <v>0</v>
      </c>
      <c r="AG665" s="65" t="e">
        <f t="shared" ca="1" si="106"/>
        <v>#N/A</v>
      </c>
      <c r="AH665" s="65" t="e">
        <f t="shared" ca="1" si="107"/>
        <v>#N/A</v>
      </c>
      <c r="AI665" s="3" t="e">
        <f t="shared" ca="1" si="108"/>
        <v>#N/A</v>
      </c>
    </row>
    <row r="666" spans="7:35" ht="15" thickBot="1" x14ac:dyDescent="0.35">
      <c r="G666" s="3">
        <f t="shared" ca="1" si="100"/>
        <v>82</v>
      </c>
      <c r="H666" s="99">
        <f t="shared" ca="1" si="109"/>
        <v>45738</v>
      </c>
      <c r="I666" s="123">
        <f ca="1">HLOOKUP($H$4,'Met Data'!$A$2:$F$368,G666,FALSE)</f>
        <v>16.6791666666666</v>
      </c>
      <c r="J666" s="121">
        <f ca="1">HLOOKUP($H$4,'Met Data'!$H$2:$M$368,G666,FALSE)*L666</f>
        <v>1.63333333333333</v>
      </c>
      <c r="K666" s="100">
        <f ca="1">HLOOKUP($H$4,'Met Data'!$O$2:$T$368,G666,FALSE)</f>
        <v>2.3413673129625598</v>
      </c>
      <c r="L666">
        <f t="shared" ca="1" si="101"/>
        <v>1</v>
      </c>
      <c r="N666" t="e">
        <f t="shared" ca="1" si="102"/>
        <v>#N/A</v>
      </c>
      <c r="O666" t="e">
        <f t="shared" ca="1" si="103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4"/>
        <v>0</v>
      </c>
      <c r="AE666">
        <f t="shared" ca="1" si="105"/>
        <v>0</v>
      </c>
      <c r="AG666" s="65" t="e">
        <f t="shared" ca="1" si="106"/>
        <v>#N/A</v>
      </c>
      <c r="AH666" s="65" t="e">
        <f t="shared" ca="1" si="107"/>
        <v>#N/A</v>
      </c>
      <c r="AI666" s="3" t="e">
        <f t="shared" ca="1" si="108"/>
        <v>#N/A</v>
      </c>
    </row>
    <row r="667" spans="7:35" ht="15" thickBot="1" x14ac:dyDescent="0.35">
      <c r="G667" s="3">
        <f t="shared" ca="1" si="100"/>
        <v>83</v>
      </c>
      <c r="H667" s="99">
        <f t="shared" ca="1" si="109"/>
        <v>45739</v>
      </c>
      <c r="I667" s="123">
        <f ca="1">HLOOKUP($H$4,'Met Data'!$A$2:$F$368,G667,FALSE)</f>
        <v>16.8</v>
      </c>
      <c r="J667" s="121">
        <f ca="1">HLOOKUP($H$4,'Met Data'!$H$2:$M$368,G667,FALSE)*L667</f>
        <v>2.2833333333333301</v>
      </c>
      <c r="K667" s="100">
        <f ca="1">HLOOKUP($H$4,'Met Data'!$O$2:$T$368,G667,FALSE)</f>
        <v>2.7038604411954998</v>
      </c>
      <c r="L667">
        <f t="shared" ca="1" si="101"/>
        <v>1</v>
      </c>
      <c r="N667" t="e">
        <f t="shared" ca="1" si="102"/>
        <v>#N/A</v>
      </c>
      <c r="O667" t="e">
        <f t="shared" ca="1" si="103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4"/>
        <v>0</v>
      </c>
      <c r="AE667">
        <f t="shared" ca="1" si="105"/>
        <v>0</v>
      </c>
      <c r="AG667" s="65" t="e">
        <f t="shared" ca="1" si="106"/>
        <v>#N/A</v>
      </c>
      <c r="AH667" s="65" t="e">
        <f t="shared" ca="1" si="107"/>
        <v>#N/A</v>
      </c>
      <c r="AI667" s="3" t="e">
        <f t="shared" ca="1" si="108"/>
        <v>#N/A</v>
      </c>
    </row>
    <row r="668" spans="7:35" ht="15" thickBot="1" x14ac:dyDescent="0.35">
      <c r="G668" s="3">
        <f t="shared" ca="1" si="100"/>
        <v>84</v>
      </c>
      <c r="H668" s="99">
        <f t="shared" ca="1" si="109"/>
        <v>45740</v>
      </c>
      <c r="I668" s="123">
        <f ca="1">HLOOKUP($H$4,'Met Data'!$A$2:$F$368,G668,FALSE)</f>
        <v>16.237500000000001</v>
      </c>
      <c r="J668" s="121">
        <f ca="1">HLOOKUP($H$4,'Met Data'!$H$2:$M$368,G668,FALSE)*L668</f>
        <v>3.7833333333333301</v>
      </c>
      <c r="K668" s="100">
        <f ca="1">HLOOKUP($H$4,'Met Data'!$O$2:$T$368,G668,FALSE)</f>
        <v>2.1387131538714801</v>
      </c>
      <c r="L668">
        <f t="shared" ca="1" si="101"/>
        <v>1</v>
      </c>
      <c r="N668" t="e">
        <f t="shared" ca="1" si="102"/>
        <v>#N/A</v>
      </c>
      <c r="O668" t="e">
        <f t="shared" ca="1" si="103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4"/>
        <v>0</v>
      </c>
      <c r="AE668">
        <f t="shared" ca="1" si="105"/>
        <v>0</v>
      </c>
      <c r="AG668" s="65" t="e">
        <f t="shared" ca="1" si="106"/>
        <v>#N/A</v>
      </c>
      <c r="AH668" s="65" t="e">
        <f t="shared" ca="1" si="107"/>
        <v>#N/A</v>
      </c>
      <c r="AI668" s="3" t="e">
        <f t="shared" ca="1" si="108"/>
        <v>#N/A</v>
      </c>
    </row>
    <row r="669" spans="7:35" ht="15" thickBot="1" x14ac:dyDescent="0.35">
      <c r="G669" s="3">
        <f t="shared" ca="1" si="100"/>
        <v>85</v>
      </c>
      <c r="H669" s="99">
        <f t="shared" ca="1" si="109"/>
        <v>45741</v>
      </c>
      <c r="I669" s="123">
        <f ca="1">HLOOKUP($H$4,'Met Data'!$A$2:$F$368,G669,FALSE)</f>
        <v>16.875</v>
      </c>
      <c r="J669" s="121">
        <f ca="1">HLOOKUP($H$4,'Met Data'!$H$2:$M$368,G669,FALSE)*L669</f>
        <v>2.9</v>
      </c>
      <c r="K669" s="100">
        <f ca="1">HLOOKUP($H$4,'Met Data'!$O$2:$T$368,G669,FALSE)</f>
        <v>2.4308063740099</v>
      </c>
      <c r="L669">
        <f t="shared" ca="1" si="101"/>
        <v>1</v>
      </c>
      <c r="N669" t="e">
        <f t="shared" ca="1" si="102"/>
        <v>#N/A</v>
      </c>
      <c r="O669" t="e">
        <f t="shared" ca="1" si="103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4"/>
        <v>0</v>
      </c>
      <c r="AE669">
        <f t="shared" ca="1" si="105"/>
        <v>0</v>
      </c>
      <c r="AG669" s="65" t="e">
        <f t="shared" ca="1" si="106"/>
        <v>#N/A</v>
      </c>
      <c r="AH669" s="65" t="e">
        <f t="shared" ca="1" si="107"/>
        <v>#N/A</v>
      </c>
      <c r="AI669" s="3" t="e">
        <f t="shared" ca="1" si="108"/>
        <v>#N/A</v>
      </c>
    </row>
    <row r="670" spans="7:35" ht="15" thickBot="1" x14ac:dyDescent="0.35">
      <c r="G670" s="3">
        <f t="shared" ca="1" si="100"/>
        <v>86</v>
      </c>
      <c r="H670" s="99">
        <f t="shared" ca="1" si="109"/>
        <v>45742</v>
      </c>
      <c r="I670" s="123">
        <f ca="1">HLOOKUP($H$4,'Met Data'!$A$2:$F$368,G670,FALSE)</f>
        <v>17.024999999999999</v>
      </c>
      <c r="J670" s="121">
        <f ca="1">HLOOKUP($H$4,'Met Data'!$H$2:$M$368,G670,FALSE)*L670</f>
        <v>3.7333333333333298</v>
      </c>
      <c r="K670" s="100">
        <f ca="1">HLOOKUP($H$4,'Met Data'!$O$2:$T$368,G670,FALSE)</f>
        <v>2.3866525377963699</v>
      </c>
      <c r="L670">
        <f t="shared" ca="1" si="101"/>
        <v>1</v>
      </c>
      <c r="N670" t="e">
        <f t="shared" ca="1" si="102"/>
        <v>#N/A</v>
      </c>
      <c r="O670" t="e">
        <f t="shared" ca="1" si="103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4"/>
        <v>0</v>
      </c>
      <c r="AE670">
        <f t="shared" ca="1" si="105"/>
        <v>0</v>
      </c>
      <c r="AG670" s="65" t="e">
        <f t="shared" ca="1" si="106"/>
        <v>#N/A</v>
      </c>
      <c r="AH670" s="65" t="e">
        <f t="shared" ca="1" si="107"/>
        <v>#N/A</v>
      </c>
      <c r="AI670" s="3" t="e">
        <f t="shared" ca="1" si="108"/>
        <v>#N/A</v>
      </c>
    </row>
    <row r="671" spans="7:35" ht="15" thickBot="1" x14ac:dyDescent="0.35">
      <c r="G671" s="3">
        <f t="shared" ca="1" si="100"/>
        <v>87</v>
      </c>
      <c r="H671" s="99">
        <f t="shared" ca="1" si="109"/>
        <v>45743</v>
      </c>
      <c r="I671" s="123">
        <f ca="1">HLOOKUP($H$4,'Met Data'!$A$2:$F$368,G671,FALSE)</f>
        <v>17.3</v>
      </c>
      <c r="J671" s="121">
        <f ca="1">HLOOKUP($H$4,'Met Data'!$H$2:$M$368,G671,FALSE)*L671</f>
        <v>1.93333333333333</v>
      </c>
      <c r="K671" s="100">
        <f ca="1">HLOOKUP($H$4,'Met Data'!$O$2:$T$368,G671,FALSE)</f>
        <v>2.6501779961824399</v>
      </c>
      <c r="L671">
        <f t="shared" ca="1" si="101"/>
        <v>1</v>
      </c>
      <c r="N671" t="e">
        <f t="shared" ca="1" si="102"/>
        <v>#N/A</v>
      </c>
      <c r="O671" t="e">
        <f t="shared" ca="1" si="103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4"/>
        <v>0</v>
      </c>
      <c r="AE671">
        <f t="shared" ca="1" si="105"/>
        <v>0</v>
      </c>
      <c r="AG671" s="65" t="e">
        <f t="shared" ca="1" si="106"/>
        <v>#N/A</v>
      </c>
      <c r="AH671" s="65" t="e">
        <f t="shared" ca="1" si="107"/>
        <v>#N/A</v>
      </c>
      <c r="AI671" s="3" t="e">
        <f t="shared" ca="1" si="108"/>
        <v>#N/A</v>
      </c>
    </row>
    <row r="672" spans="7:35" ht="15" thickBot="1" x14ac:dyDescent="0.35">
      <c r="G672" s="3">
        <f t="shared" ca="1" si="100"/>
        <v>88</v>
      </c>
      <c r="H672" s="99">
        <f t="shared" ca="1" si="109"/>
        <v>45744</v>
      </c>
      <c r="I672" s="123">
        <f ca="1">HLOOKUP($H$4,'Met Data'!$A$2:$F$368,G672,FALSE)</f>
        <v>15.983333333333301</v>
      </c>
      <c r="J672" s="121">
        <f ca="1">HLOOKUP($H$4,'Met Data'!$H$2:$M$368,G672,FALSE)*L672</f>
        <v>1.2166666666666599</v>
      </c>
      <c r="K672" s="100">
        <f ca="1">HLOOKUP($H$4,'Met Data'!$O$2:$T$368,G672,FALSE)</f>
        <v>2.2352735074469998</v>
      </c>
      <c r="L672">
        <f t="shared" ca="1" si="101"/>
        <v>1</v>
      </c>
      <c r="N672" t="e">
        <f t="shared" ca="1" si="102"/>
        <v>#N/A</v>
      </c>
      <c r="O672" t="e">
        <f t="shared" ca="1" si="103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4"/>
        <v>0</v>
      </c>
      <c r="AE672">
        <f t="shared" ca="1" si="105"/>
        <v>0</v>
      </c>
      <c r="AG672" s="65" t="e">
        <f t="shared" ca="1" si="106"/>
        <v>#N/A</v>
      </c>
      <c r="AH672" s="65" t="e">
        <f t="shared" ca="1" si="107"/>
        <v>#N/A</v>
      </c>
      <c r="AI672" s="3" t="e">
        <f t="shared" ca="1" si="108"/>
        <v>#N/A</v>
      </c>
    </row>
    <row r="673" spans="7:35" ht="15" thickBot="1" x14ac:dyDescent="0.35">
      <c r="G673" s="3">
        <f t="shared" ca="1" si="100"/>
        <v>89</v>
      </c>
      <c r="H673" s="99">
        <f t="shared" ca="1" si="109"/>
        <v>45745</v>
      </c>
      <c r="I673" s="123">
        <f ca="1">HLOOKUP($H$4,'Met Data'!$A$2:$F$368,G673,FALSE)</f>
        <v>16.404166666666601</v>
      </c>
      <c r="J673" s="121">
        <f ca="1">HLOOKUP($H$4,'Met Data'!$H$2:$M$368,G673,FALSE)*L673</f>
        <v>2.3333333333333299</v>
      </c>
      <c r="K673" s="100">
        <f ca="1">HLOOKUP($H$4,'Met Data'!$O$2:$T$368,G673,FALSE)</f>
        <v>2.3461969045698901</v>
      </c>
      <c r="L673">
        <f t="shared" ca="1" si="101"/>
        <v>1</v>
      </c>
      <c r="N673" t="e">
        <f t="shared" ca="1" si="102"/>
        <v>#N/A</v>
      </c>
      <c r="O673" t="e">
        <f t="shared" ca="1" si="103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4"/>
        <v>0</v>
      </c>
      <c r="AE673">
        <f t="shared" ca="1" si="105"/>
        <v>0</v>
      </c>
      <c r="AG673" s="65" t="e">
        <f t="shared" ca="1" si="106"/>
        <v>#N/A</v>
      </c>
      <c r="AH673" s="65" t="e">
        <f t="shared" ca="1" si="107"/>
        <v>#N/A</v>
      </c>
      <c r="AI673" s="3" t="e">
        <f t="shared" ca="1" si="108"/>
        <v>#N/A</v>
      </c>
    </row>
    <row r="674" spans="7:35" ht="15" thickBot="1" x14ac:dyDescent="0.35">
      <c r="G674" s="3">
        <f t="shared" ca="1" si="100"/>
        <v>90</v>
      </c>
      <c r="H674" s="99">
        <f t="shared" ca="1" si="109"/>
        <v>45746</v>
      </c>
      <c r="I674" s="123">
        <f ca="1">HLOOKUP($H$4,'Met Data'!$A$2:$F$368,G674,FALSE)</f>
        <v>16.629166666666599</v>
      </c>
      <c r="J674" s="121">
        <f ca="1">HLOOKUP($H$4,'Met Data'!$H$2:$M$368,G674,FALSE)*L674</f>
        <v>2.2333333333333298</v>
      </c>
      <c r="K674" s="100">
        <f ca="1">HLOOKUP($H$4,'Met Data'!$O$2:$T$368,G674,FALSE)</f>
        <v>2.5330458314755799</v>
      </c>
      <c r="L674">
        <f t="shared" ca="1" si="101"/>
        <v>1</v>
      </c>
      <c r="N674" t="e">
        <f t="shared" ca="1" si="102"/>
        <v>#N/A</v>
      </c>
      <c r="O674" t="e">
        <f t="shared" ca="1" si="103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4"/>
        <v>0</v>
      </c>
      <c r="AE674">
        <f t="shared" ca="1" si="105"/>
        <v>0</v>
      </c>
      <c r="AG674" s="65" t="e">
        <f t="shared" ca="1" si="106"/>
        <v>#N/A</v>
      </c>
      <c r="AH674" s="65" t="e">
        <f t="shared" ca="1" si="107"/>
        <v>#N/A</v>
      </c>
      <c r="AI674" s="3" t="e">
        <f t="shared" ca="1" si="108"/>
        <v>#N/A</v>
      </c>
    </row>
    <row r="675" spans="7:35" ht="15" thickBot="1" x14ac:dyDescent="0.35">
      <c r="G675" s="3">
        <f t="shared" ca="1" si="100"/>
        <v>91</v>
      </c>
      <c r="H675" s="99">
        <f t="shared" ca="1" si="109"/>
        <v>45747</v>
      </c>
      <c r="I675" s="123">
        <f ca="1">HLOOKUP($H$4,'Met Data'!$A$2:$F$368,G675,FALSE)</f>
        <v>16.112499999999901</v>
      </c>
      <c r="J675" s="121">
        <f ca="1">HLOOKUP($H$4,'Met Data'!$H$2:$M$368,G675,FALSE)*L675</f>
        <v>2.0833333333333299</v>
      </c>
      <c r="K675" s="100">
        <f ca="1">HLOOKUP($H$4,'Met Data'!$O$2:$T$368,G675,FALSE)</f>
        <v>2.4661161715906501</v>
      </c>
      <c r="L675">
        <f t="shared" ca="1" si="101"/>
        <v>1</v>
      </c>
      <c r="N675" t="e">
        <f t="shared" ca="1" si="102"/>
        <v>#N/A</v>
      </c>
      <c r="O675" t="e">
        <f t="shared" ca="1" si="103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4"/>
        <v>0</v>
      </c>
      <c r="AE675">
        <f t="shared" ca="1" si="105"/>
        <v>0</v>
      </c>
      <c r="AG675" s="65" t="e">
        <f t="shared" ca="1" si="106"/>
        <v>#N/A</v>
      </c>
      <c r="AH675" s="65" t="e">
        <f t="shared" ca="1" si="107"/>
        <v>#N/A</v>
      </c>
      <c r="AI675" s="3" t="e">
        <f t="shared" ca="1" si="108"/>
        <v>#N/A</v>
      </c>
    </row>
    <row r="676" spans="7:35" ht="15" thickBot="1" x14ac:dyDescent="0.35">
      <c r="G676" s="3">
        <f t="shared" ca="1" si="100"/>
        <v>92</v>
      </c>
      <c r="H676" s="99">
        <f t="shared" ca="1" si="109"/>
        <v>45748</v>
      </c>
      <c r="I676" s="123">
        <f ca="1">HLOOKUP($H$4,'Met Data'!$A$2:$F$368,G676,FALSE)</f>
        <v>15.862500000000001</v>
      </c>
      <c r="J676" s="121">
        <f ca="1">HLOOKUP($H$4,'Met Data'!$H$2:$M$368,G676,FALSE)*L676</f>
        <v>1.3333333333333299</v>
      </c>
      <c r="K676" s="100">
        <f ca="1">HLOOKUP($H$4,'Met Data'!$O$2:$T$368,G676,FALSE)</f>
        <v>2.3173978620084501</v>
      </c>
      <c r="L676">
        <f t="shared" ca="1" si="101"/>
        <v>1</v>
      </c>
      <c r="N676" t="e">
        <f t="shared" ca="1" si="102"/>
        <v>#N/A</v>
      </c>
      <c r="O676" t="e">
        <f t="shared" ca="1" si="103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4"/>
        <v>0</v>
      </c>
      <c r="AE676">
        <f t="shared" ca="1" si="105"/>
        <v>0</v>
      </c>
      <c r="AG676" s="65" t="e">
        <f t="shared" ca="1" si="106"/>
        <v>#N/A</v>
      </c>
      <c r="AH676" s="65" t="e">
        <f t="shared" ca="1" si="107"/>
        <v>#N/A</v>
      </c>
      <c r="AI676" s="3" t="e">
        <f t="shared" ca="1" si="108"/>
        <v>#N/A</v>
      </c>
    </row>
    <row r="677" spans="7:35" ht="15" thickBot="1" x14ac:dyDescent="0.35">
      <c r="G677" s="3">
        <f t="shared" ca="1" si="100"/>
        <v>93</v>
      </c>
      <c r="H677" s="99">
        <f t="shared" ca="1" si="109"/>
        <v>45749</v>
      </c>
      <c r="I677" s="123">
        <f ca="1">HLOOKUP($H$4,'Met Data'!$A$2:$F$368,G677,FALSE)</f>
        <v>15.299999999999899</v>
      </c>
      <c r="J677" s="121">
        <f ca="1">HLOOKUP($H$4,'Met Data'!$H$2:$M$368,G677,FALSE)*L677</f>
        <v>0.36666666666666597</v>
      </c>
      <c r="K677" s="100">
        <f ca="1">HLOOKUP($H$4,'Met Data'!$O$2:$T$368,G677,FALSE)</f>
        <v>2.1311275850035698</v>
      </c>
      <c r="L677">
        <f t="shared" ca="1" si="101"/>
        <v>1</v>
      </c>
      <c r="N677" t="e">
        <f t="shared" ca="1" si="102"/>
        <v>#N/A</v>
      </c>
      <c r="O677" t="e">
        <f t="shared" ca="1" si="103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4"/>
        <v>0</v>
      </c>
      <c r="AE677">
        <f t="shared" ca="1" si="105"/>
        <v>0</v>
      </c>
      <c r="AG677" s="65" t="e">
        <f t="shared" ca="1" si="106"/>
        <v>#N/A</v>
      </c>
      <c r="AH677" s="65" t="e">
        <f t="shared" ca="1" si="107"/>
        <v>#N/A</v>
      </c>
      <c r="AI677" s="3" t="e">
        <f t="shared" ca="1" si="108"/>
        <v>#N/A</v>
      </c>
    </row>
    <row r="678" spans="7:35" ht="15" thickBot="1" x14ac:dyDescent="0.35">
      <c r="G678" s="3">
        <f t="shared" ca="1" si="100"/>
        <v>94</v>
      </c>
      <c r="H678" s="99">
        <f t="shared" ca="1" si="109"/>
        <v>45750</v>
      </c>
      <c r="I678" s="123">
        <f ca="1">HLOOKUP($H$4,'Met Data'!$A$2:$F$368,G678,FALSE)</f>
        <v>16.266666666666602</v>
      </c>
      <c r="J678" s="121">
        <f ca="1">HLOOKUP($H$4,'Met Data'!$H$2:$M$368,G678,FALSE)*L678</f>
        <v>4.36666666666666</v>
      </c>
      <c r="K678" s="100">
        <f ca="1">HLOOKUP($H$4,'Met Data'!$O$2:$T$368,G678,FALSE)</f>
        <v>2.1942415542804201</v>
      </c>
      <c r="L678">
        <f t="shared" ca="1" si="101"/>
        <v>1</v>
      </c>
      <c r="N678" t="e">
        <f t="shared" ca="1" si="102"/>
        <v>#N/A</v>
      </c>
      <c r="O678" t="e">
        <f t="shared" ca="1" si="103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4"/>
        <v>0</v>
      </c>
      <c r="AE678">
        <f t="shared" ca="1" si="105"/>
        <v>0</v>
      </c>
      <c r="AG678" s="65" t="e">
        <f t="shared" ca="1" si="106"/>
        <v>#N/A</v>
      </c>
      <c r="AH678" s="65" t="e">
        <f t="shared" ca="1" si="107"/>
        <v>#N/A</v>
      </c>
      <c r="AI678" s="3" t="e">
        <f t="shared" ca="1" si="108"/>
        <v>#N/A</v>
      </c>
    </row>
    <row r="679" spans="7:35" ht="15" thickBot="1" x14ac:dyDescent="0.35">
      <c r="G679" s="3">
        <f t="shared" ca="1" si="100"/>
        <v>95</v>
      </c>
      <c r="H679" s="99">
        <f t="shared" ca="1" si="109"/>
        <v>45751</v>
      </c>
      <c r="I679" s="123">
        <f ca="1">HLOOKUP($H$4,'Met Data'!$A$2:$F$368,G679,FALSE)</f>
        <v>16.008333333333301</v>
      </c>
      <c r="J679" s="121">
        <f ca="1">HLOOKUP($H$4,'Met Data'!$H$2:$M$368,G679,FALSE)*L679</f>
        <v>5.5833333333333304</v>
      </c>
      <c r="K679" s="100">
        <f ca="1">HLOOKUP($H$4,'Met Data'!$O$2:$T$368,G679,FALSE)</f>
        <v>2.18875214188912</v>
      </c>
      <c r="L679">
        <f t="shared" ca="1" si="101"/>
        <v>1</v>
      </c>
      <c r="N679" t="e">
        <f t="shared" ca="1" si="102"/>
        <v>#N/A</v>
      </c>
      <c r="O679" t="e">
        <f t="shared" ca="1" si="103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4"/>
        <v>0</v>
      </c>
      <c r="AE679">
        <f t="shared" ca="1" si="105"/>
        <v>0</v>
      </c>
      <c r="AG679" s="65" t="e">
        <f t="shared" ca="1" si="106"/>
        <v>#N/A</v>
      </c>
      <c r="AH679" s="65" t="e">
        <f t="shared" ca="1" si="107"/>
        <v>#N/A</v>
      </c>
      <c r="AI679" s="3" t="e">
        <f t="shared" ca="1" si="108"/>
        <v>#N/A</v>
      </c>
    </row>
    <row r="680" spans="7:35" ht="15" thickBot="1" x14ac:dyDescent="0.35">
      <c r="G680" s="3">
        <f t="shared" ca="1" si="100"/>
        <v>96</v>
      </c>
      <c r="H680" s="99">
        <f t="shared" ca="1" si="109"/>
        <v>45752</v>
      </c>
      <c r="I680" s="123">
        <f ca="1">HLOOKUP($H$4,'Met Data'!$A$2:$F$368,G680,FALSE)</f>
        <v>14.8083333333333</v>
      </c>
      <c r="J680" s="121">
        <f ca="1">HLOOKUP($H$4,'Met Data'!$H$2:$M$368,G680,FALSE)*L680</f>
        <v>3.93333333333333</v>
      </c>
      <c r="K680" s="100">
        <f ca="1">HLOOKUP($H$4,'Met Data'!$O$2:$T$368,G680,FALSE)</f>
        <v>2.25899576438928</v>
      </c>
      <c r="L680">
        <f t="shared" ca="1" si="101"/>
        <v>1</v>
      </c>
      <c r="N680" t="e">
        <f t="shared" ca="1" si="102"/>
        <v>#N/A</v>
      </c>
      <c r="O680" t="e">
        <f t="shared" ca="1" si="103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4"/>
        <v>0</v>
      </c>
      <c r="AE680">
        <f t="shared" ca="1" si="105"/>
        <v>0</v>
      </c>
      <c r="AG680" s="65" t="e">
        <f t="shared" ca="1" si="106"/>
        <v>#N/A</v>
      </c>
      <c r="AH680" s="65" t="e">
        <f t="shared" ca="1" si="107"/>
        <v>#N/A</v>
      </c>
      <c r="AI680" s="3" t="e">
        <f t="shared" ca="1" si="108"/>
        <v>#N/A</v>
      </c>
    </row>
    <row r="681" spans="7:35" ht="15" thickBot="1" x14ac:dyDescent="0.35">
      <c r="G681" s="3">
        <f t="shared" ca="1" si="100"/>
        <v>97</v>
      </c>
      <c r="H681" s="99">
        <f t="shared" ca="1" si="109"/>
        <v>45753</v>
      </c>
      <c r="I681" s="123">
        <f ca="1">HLOOKUP($H$4,'Met Data'!$A$2:$F$368,G681,FALSE)</f>
        <v>14.283333333333299</v>
      </c>
      <c r="J681" s="121">
        <f ca="1">HLOOKUP($H$4,'Met Data'!$H$2:$M$368,G681,FALSE)*L681</f>
        <v>1.2666666666666599</v>
      </c>
      <c r="K681" s="100">
        <f ca="1">HLOOKUP($H$4,'Met Data'!$O$2:$T$368,G681,FALSE)</f>
        <v>2.2952223200603901</v>
      </c>
      <c r="L681">
        <f t="shared" ca="1" si="101"/>
        <v>1</v>
      </c>
      <c r="N681" t="e">
        <f t="shared" ca="1" si="102"/>
        <v>#N/A</v>
      </c>
      <c r="O681" t="e">
        <f t="shared" ca="1" si="103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4"/>
        <v>0</v>
      </c>
      <c r="AE681">
        <f t="shared" ca="1" si="105"/>
        <v>0</v>
      </c>
      <c r="AG681" s="65" t="e">
        <f t="shared" ca="1" si="106"/>
        <v>#N/A</v>
      </c>
      <c r="AH681" s="65" t="e">
        <f t="shared" ca="1" si="107"/>
        <v>#N/A</v>
      </c>
      <c r="AI681" s="3" t="e">
        <f t="shared" ca="1" si="108"/>
        <v>#N/A</v>
      </c>
    </row>
    <row r="682" spans="7:35" ht="15" thickBot="1" x14ac:dyDescent="0.35">
      <c r="G682" s="3">
        <f t="shared" ca="1" si="100"/>
        <v>98</v>
      </c>
      <c r="H682" s="99">
        <f t="shared" ca="1" si="109"/>
        <v>45754</v>
      </c>
      <c r="I682" s="123">
        <f ca="1">HLOOKUP($H$4,'Met Data'!$A$2:$F$368,G682,FALSE)</f>
        <v>13.258333333333301</v>
      </c>
      <c r="J682" s="121">
        <f ca="1">HLOOKUP($H$4,'Met Data'!$H$2:$M$368,G682,FALSE)*L682</f>
        <v>1.18333333333333</v>
      </c>
      <c r="K682" s="100">
        <f ca="1">HLOOKUP($H$4,'Met Data'!$O$2:$T$368,G682,FALSE)</f>
        <v>1.94562323949851</v>
      </c>
      <c r="L682">
        <f t="shared" ca="1" si="101"/>
        <v>1</v>
      </c>
      <c r="N682" t="e">
        <f t="shared" ca="1" si="102"/>
        <v>#N/A</v>
      </c>
      <c r="O682" t="e">
        <f t="shared" ca="1" si="103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4"/>
        <v>0</v>
      </c>
      <c r="AE682">
        <f t="shared" ca="1" si="105"/>
        <v>0</v>
      </c>
      <c r="AG682" s="65" t="e">
        <f t="shared" ca="1" si="106"/>
        <v>#N/A</v>
      </c>
      <c r="AH682" s="65" t="e">
        <f t="shared" ca="1" si="107"/>
        <v>#N/A</v>
      </c>
      <c r="AI682" s="3" t="e">
        <f t="shared" ca="1" si="108"/>
        <v>#N/A</v>
      </c>
    </row>
    <row r="683" spans="7:35" ht="15" thickBot="1" x14ac:dyDescent="0.35">
      <c r="G683" s="3">
        <f t="shared" ca="1" si="100"/>
        <v>99</v>
      </c>
      <c r="H683" s="99">
        <f t="shared" ca="1" si="109"/>
        <v>45755</v>
      </c>
      <c r="I683" s="123">
        <f ca="1">HLOOKUP($H$4,'Met Data'!$A$2:$F$368,G683,FALSE)</f>
        <v>13.8666666666666</v>
      </c>
      <c r="J683" s="121">
        <f ca="1">HLOOKUP($H$4,'Met Data'!$H$2:$M$368,G683,FALSE)*L683</f>
        <v>4.7333333333333298</v>
      </c>
      <c r="K683" s="100">
        <f ca="1">HLOOKUP($H$4,'Met Data'!$O$2:$T$368,G683,FALSE)</f>
        <v>1.65226329552866</v>
      </c>
      <c r="L683">
        <f t="shared" ca="1" si="101"/>
        <v>1</v>
      </c>
      <c r="N683" t="e">
        <f t="shared" ca="1" si="102"/>
        <v>#N/A</v>
      </c>
      <c r="O683" t="e">
        <f t="shared" ca="1" si="103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4"/>
        <v>0</v>
      </c>
      <c r="AE683">
        <f t="shared" ca="1" si="105"/>
        <v>0</v>
      </c>
      <c r="AG683" s="65" t="e">
        <f t="shared" ca="1" si="106"/>
        <v>#N/A</v>
      </c>
      <c r="AH683" s="65" t="e">
        <f t="shared" ca="1" si="107"/>
        <v>#N/A</v>
      </c>
      <c r="AI683" s="3" t="e">
        <f t="shared" ca="1" si="108"/>
        <v>#N/A</v>
      </c>
    </row>
    <row r="684" spans="7:35" ht="15" thickBot="1" x14ac:dyDescent="0.35">
      <c r="G684" s="3">
        <f t="shared" ca="1" si="100"/>
        <v>100</v>
      </c>
      <c r="H684" s="99">
        <f t="shared" ca="1" si="109"/>
        <v>45756</v>
      </c>
      <c r="I684" s="123">
        <f ca="1">HLOOKUP($H$4,'Met Data'!$A$2:$F$368,G684,FALSE)</f>
        <v>14.404166666666599</v>
      </c>
      <c r="J684" s="121">
        <f ca="1">HLOOKUP($H$4,'Met Data'!$H$2:$M$368,G684,FALSE)*L684</f>
        <v>4.3166666666666602</v>
      </c>
      <c r="K684" s="100">
        <f ca="1">HLOOKUP($H$4,'Met Data'!$O$2:$T$368,G684,FALSE)</f>
        <v>1.8668252234765801</v>
      </c>
      <c r="L684">
        <f t="shared" ca="1" si="101"/>
        <v>1</v>
      </c>
      <c r="N684" t="e">
        <f t="shared" ca="1" si="102"/>
        <v>#N/A</v>
      </c>
      <c r="O684" t="e">
        <f t="shared" ca="1" si="103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4"/>
        <v>0</v>
      </c>
      <c r="AE684">
        <f t="shared" ca="1" si="105"/>
        <v>0</v>
      </c>
      <c r="AG684" s="65" t="e">
        <f t="shared" ca="1" si="106"/>
        <v>#N/A</v>
      </c>
      <c r="AH684" s="65" t="e">
        <f t="shared" ca="1" si="107"/>
        <v>#N/A</v>
      </c>
      <c r="AI684" s="3" t="e">
        <f t="shared" ca="1" si="108"/>
        <v>#N/A</v>
      </c>
    </row>
    <row r="685" spans="7:35" ht="15" thickBot="1" x14ac:dyDescent="0.35">
      <c r="G685" s="3">
        <f t="shared" ca="1" si="100"/>
        <v>101</v>
      </c>
      <c r="H685" s="99">
        <f t="shared" ca="1" si="109"/>
        <v>45757</v>
      </c>
      <c r="I685" s="123">
        <f ca="1">HLOOKUP($H$4,'Met Data'!$A$2:$F$368,G685,FALSE)</f>
        <v>14.5416666666666</v>
      </c>
      <c r="J685" s="121">
        <f ca="1">HLOOKUP($H$4,'Met Data'!$H$2:$M$368,G685,FALSE)*L685</f>
        <v>4.43333333333333</v>
      </c>
      <c r="K685" s="100">
        <f ca="1">HLOOKUP($H$4,'Met Data'!$O$2:$T$368,G685,FALSE)</f>
        <v>1.97301093095216</v>
      </c>
      <c r="L685">
        <f t="shared" ca="1" si="101"/>
        <v>1</v>
      </c>
      <c r="N685" t="e">
        <f t="shared" ca="1" si="102"/>
        <v>#N/A</v>
      </c>
      <c r="O685" t="e">
        <f t="shared" ca="1" si="103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4"/>
        <v>0</v>
      </c>
      <c r="AE685">
        <f t="shared" ca="1" si="105"/>
        <v>0</v>
      </c>
      <c r="AG685" s="65" t="e">
        <f t="shared" ca="1" si="106"/>
        <v>#N/A</v>
      </c>
      <c r="AH685" s="65" t="e">
        <f t="shared" ca="1" si="107"/>
        <v>#N/A</v>
      </c>
      <c r="AI685" s="3" t="e">
        <f t="shared" ca="1" si="108"/>
        <v>#N/A</v>
      </c>
    </row>
    <row r="686" spans="7:35" ht="15" thickBot="1" x14ac:dyDescent="0.35">
      <c r="G686" s="3">
        <f t="shared" ca="1" si="100"/>
        <v>102</v>
      </c>
      <c r="H686" s="99">
        <f t="shared" ca="1" si="109"/>
        <v>45758</v>
      </c>
      <c r="I686" s="123">
        <f ca="1">HLOOKUP($H$4,'Met Data'!$A$2:$F$368,G686,FALSE)</f>
        <v>14.279166666666599</v>
      </c>
      <c r="J686" s="121">
        <f ca="1">HLOOKUP($H$4,'Met Data'!$H$2:$M$368,G686,FALSE)*L686</f>
        <v>1.3333333333333299</v>
      </c>
      <c r="K686" s="100">
        <f ca="1">HLOOKUP($H$4,'Met Data'!$O$2:$T$368,G686,FALSE)</f>
        <v>1.63836682585681</v>
      </c>
      <c r="L686">
        <f t="shared" ca="1" si="101"/>
        <v>1</v>
      </c>
      <c r="N686" t="e">
        <f t="shared" ca="1" si="102"/>
        <v>#N/A</v>
      </c>
      <c r="O686" t="e">
        <f t="shared" ca="1" si="103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4"/>
        <v>0</v>
      </c>
      <c r="AE686">
        <f t="shared" ca="1" si="105"/>
        <v>0</v>
      </c>
      <c r="AG686" s="65" t="e">
        <f t="shared" ca="1" si="106"/>
        <v>#N/A</v>
      </c>
      <c r="AH686" s="65" t="e">
        <f t="shared" ca="1" si="107"/>
        <v>#N/A</v>
      </c>
      <c r="AI686" s="3" t="e">
        <f t="shared" ca="1" si="108"/>
        <v>#N/A</v>
      </c>
    </row>
    <row r="687" spans="7:35" ht="15" thickBot="1" x14ac:dyDescent="0.35">
      <c r="G687" s="3">
        <f t="shared" ca="1" si="100"/>
        <v>103</v>
      </c>
      <c r="H687" s="99">
        <f t="shared" ca="1" si="109"/>
        <v>45759</v>
      </c>
      <c r="I687" s="123">
        <f ca="1">HLOOKUP($H$4,'Met Data'!$A$2:$F$368,G687,FALSE)</f>
        <v>15.1666666666666</v>
      </c>
      <c r="J687" s="121">
        <f ca="1">HLOOKUP($H$4,'Met Data'!$H$2:$M$368,G687,FALSE)*L687</f>
        <v>3.7833333333333301</v>
      </c>
      <c r="K687" s="100">
        <f ca="1">HLOOKUP($H$4,'Met Data'!$O$2:$T$368,G687,FALSE)</f>
        <v>1.8936832301932101</v>
      </c>
      <c r="L687">
        <f t="shared" ca="1" si="101"/>
        <v>1</v>
      </c>
      <c r="N687" t="e">
        <f t="shared" ca="1" si="102"/>
        <v>#N/A</v>
      </c>
      <c r="O687" t="e">
        <f t="shared" ca="1" si="103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4"/>
        <v>0</v>
      </c>
      <c r="AE687">
        <f t="shared" ca="1" si="105"/>
        <v>0</v>
      </c>
      <c r="AG687" s="65" t="e">
        <f t="shared" ca="1" si="106"/>
        <v>#N/A</v>
      </c>
      <c r="AH687" s="65" t="e">
        <f t="shared" ca="1" si="107"/>
        <v>#N/A</v>
      </c>
      <c r="AI687" s="3" t="e">
        <f t="shared" ca="1" si="108"/>
        <v>#N/A</v>
      </c>
    </row>
    <row r="688" spans="7:35" ht="15" thickBot="1" x14ac:dyDescent="0.35">
      <c r="G688" s="3">
        <f t="shared" ref="G688:G751" ca="1" si="110">H688-DATE(YEAR(H688),1,0)+1</f>
        <v>104</v>
      </c>
      <c r="H688" s="99">
        <f t="shared" ca="1" si="109"/>
        <v>45760</v>
      </c>
      <c r="I688" s="123">
        <f ca="1">HLOOKUP($H$4,'Met Data'!$A$2:$F$368,G688,FALSE)</f>
        <v>14.675000000000001</v>
      </c>
      <c r="J688" s="121">
        <f ca="1">HLOOKUP($H$4,'Met Data'!$H$2:$M$368,G688,FALSE)*L688</f>
        <v>4.5166666666666604</v>
      </c>
      <c r="K688" s="100">
        <f ca="1">HLOOKUP($H$4,'Met Data'!$O$2:$T$368,G688,FALSE)</f>
        <v>1.6971366028359001</v>
      </c>
      <c r="L688">
        <f t="shared" ref="L688:L751" ca="1" si="111">IF(H688&lt;$B$31,$J$3,$J$4)</f>
        <v>1</v>
      </c>
      <c r="N688" t="e">
        <f t="shared" ref="N688:N751" ca="1" si="112">IF(P688&lt;$P$3,TRUE,FALSE)</f>
        <v>#N/A</v>
      </c>
      <c r="O688" t="e">
        <f t="shared" ref="O688:O751" ca="1" si="113">AND(IF(P688&gt;($P$2-1),TRUE,FALSE),IF(P688&lt;($P$3+1),TRUE,FALSE))</f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ref="AD688:AD751" ca="1" si="114">IFERROR(P688,$AD$4)</f>
        <v>0</v>
      </c>
      <c r="AE688">
        <f t="shared" ref="AE688:AE751" ca="1" si="115">IFERROR(U688,0)</f>
        <v>0</v>
      </c>
      <c r="AG688" s="65" t="e">
        <f t="shared" ref="AG688:AG751" ca="1" si="116">Q687+S688+T688+U688</f>
        <v>#N/A</v>
      </c>
      <c r="AH688" s="65" t="e">
        <f t="shared" ref="AH688:AH751" ca="1" si="117">Q688+R688+X688</f>
        <v>#N/A</v>
      </c>
      <c r="AI688" s="3" t="e">
        <f t="shared" ref="AI688:AI751" ca="1" si="118">AH688-AG688</f>
        <v>#N/A</v>
      </c>
    </row>
    <row r="689" spans="7:35" ht="15" thickBot="1" x14ac:dyDescent="0.35">
      <c r="G689" s="3">
        <f t="shared" ca="1" si="110"/>
        <v>105</v>
      </c>
      <c r="H689" s="99">
        <f t="shared" ca="1" si="109"/>
        <v>45761</v>
      </c>
      <c r="I689" s="123">
        <f ca="1">HLOOKUP($H$4,'Met Data'!$A$2:$F$368,G689,FALSE)</f>
        <v>13.504166666666601</v>
      </c>
      <c r="J689" s="121">
        <f ca="1">HLOOKUP($H$4,'Met Data'!$H$2:$M$368,G689,FALSE)*L689</f>
        <v>4.5</v>
      </c>
      <c r="K689" s="100">
        <f ca="1">HLOOKUP($H$4,'Met Data'!$O$2:$T$368,G689,FALSE)</f>
        <v>1.6970685904410301</v>
      </c>
      <c r="L689">
        <f t="shared" ca="1" si="111"/>
        <v>1</v>
      </c>
      <c r="N689" t="e">
        <f t="shared" ca="1" si="112"/>
        <v>#N/A</v>
      </c>
      <c r="O689" t="e">
        <f t="shared" ca="1" si="113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ca="1" si="114"/>
        <v>0</v>
      </c>
      <c r="AE689">
        <f t="shared" ca="1" si="115"/>
        <v>0</v>
      </c>
      <c r="AG689" s="65" t="e">
        <f t="shared" ca="1" si="116"/>
        <v>#N/A</v>
      </c>
      <c r="AH689" s="65" t="e">
        <f t="shared" ca="1" si="117"/>
        <v>#N/A</v>
      </c>
      <c r="AI689" s="3" t="e">
        <f t="shared" ca="1" si="118"/>
        <v>#N/A</v>
      </c>
    </row>
    <row r="690" spans="7:35" ht="15" thickBot="1" x14ac:dyDescent="0.35">
      <c r="G690" s="3">
        <f t="shared" ca="1" si="110"/>
        <v>106</v>
      </c>
      <c r="H690" s="99">
        <f t="shared" ca="1" si="109"/>
        <v>45762</v>
      </c>
      <c r="I690" s="123">
        <f ca="1">HLOOKUP($H$4,'Met Data'!$A$2:$F$368,G690,FALSE)</f>
        <v>13.779166666666599</v>
      </c>
      <c r="J690" s="121">
        <f ca="1">HLOOKUP($H$4,'Met Data'!$H$2:$M$368,G690,FALSE)*L690</f>
        <v>0.9</v>
      </c>
      <c r="K690" s="100">
        <f ca="1">HLOOKUP($H$4,'Met Data'!$O$2:$T$368,G690,FALSE)</f>
        <v>2.0649391337631702</v>
      </c>
      <c r="L690">
        <f t="shared" ca="1" si="111"/>
        <v>1</v>
      </c>
      <c r="N690" t="e">
        <f t="shared" ca="1" si="112"/>
        <v>#N/A</v>
      </c>
      <c r="O690" t="e">
        <f t="shared" ca="1" si="113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4"/>
        <v>0</v>
      </c>
      <c r="AE690">
        <f t="shared" ca="1" si="115"/>
        <v>0</v>
      </c>
      <c r="AG690" s="65" t="e">
        <f t="shared" ca="1" si="116"/>
        <v>#N/A</v>
      </c>
      <c r="AH690" s="65" t="e">
        <f t="shared" ca="1" si="117"/>
        <v>#N/A</v>
      </c>
      <c r="AI690" s="3" t="e">
        <f t="shared" ca="1" si="118"/>
        <v>#N/A</v>
      </c>
    </row>
    <row r="691" spans="7:35" ht="15" thickBot="1" x14ac:dyDescent="0.35">
      <c r="G691" s="3">
        <f t="shared" ca="1" si="110"/>
        <v>107</v>
      </c>
      <c r="H691" s="99">
        <f t="shared" ca="1" si="109"/>
        <v>45763</v>
      </c>
      <c r="I691" s="123">
        <f ca="1">HLOOKUP($H$4,'Met Data'!$A$2:$F$368,G691,FALSE)</f>
        <v>13.920833333333301</v>
      </c>
      <c r="J691" s="121">
        <f ca="1">HLOOKUP($H$4,'Met Data'!$H$2:$M$368,G691,FALSE)*L691</f>
        <v>7.6</v>
      </c>
      <c r="K691" s="100">
        <f ca="1">HLOOKUP($H$4,'Met Data'!$O$2:$T$368,G691,FALSE)</f>
        <v>1.7084212444020199</v>
      </c>
      <c r="L691">
        <f t="shared" ca="1" si="111"/>
        <v>1</v>
      </c>
      <c r="N691" t="e">
        <f t="shared" ca="1" si="112"/>
        <v>#N/A</v>
      </c>
      <c r="O691" t="e">
        <f t="shared" ca="1" si="113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4"/>
        <v>0</v>
      </c>
      <c r="AE691">
        <f t="shared" ca="1" si="115"/>
        <v>0</v>
      </c>
      <c r="AG691" s="65" t="e">
        <f t="shared" ca="1" si="116"/>
        <v>#N/A</v>
      </c>
      <c r="AH691" s="65" t="e">
        <f t="shared" ca="1" si="117"/>
        <v>#N/A</v>
      </c>
      <c r="AI691" s="3" t="e">
        <f t="shared" ca="1" si="118"/>
        <v>#N/A</v>
      </c>
    </row>
    <row r="692" spans="7:35" ht="15" thickBot="1" x14ac:dyDescent="0.35">
      <c r="G692" s="3">
        <f t="shared" ca="1" si="110"/>
        <v>108</v>
      </c>
      <c r="H692" s="99">
        <f t="shared" ca="1" si="109"/>
        <v>45764</v>
      </c>
      <c r="I692" s="123">
        <f ca="1">HLOOKUP($H$4,'Met Data'!$A$2:$F$368,G692,FALSE)</f>
        <v>13.6416666666666</v>
      </c>
      <c r="J692" s="121">
        <f ca="1">HLOOKUP($H$4,'Met Data'!$H$2:$M$368,G692,FALSE)*L692</f>
        <v>3.44999999999999</v>
      </c>
      <c r="K692" s="100">
        <f ca="1">HLOOKUP($H$4,'Met Data'!$O$2:$T$368,G692,FALSE)</f>
        <v>1.46996077972592</v>
      </c>
      <c r="L692">
        <f t="shared" ca="1" si="111"/>
        <v>1</v>
      </c>
      <c r="N692" t="e">
        <f t="shared" ca="1" si="112"/>
        <v>#N/A</v>
      </c>
      <c r="O692" t="e">
        <f t="shared" ca="1" si="113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4"/>
        <v>0</v>
      </c>
      <c r="AE692">
        <f t="shared" ca="1" si="115"/>
        <v>0</v>
      </c>
      <c r="AG692" s="65" t="e">
        <f t="shared" ca="1" si="116"/>
        <v>#N/A</v>
      </c>
      <c r="AH692" s="65" t="e">
        <f t="shared" ca="1" si="117"/>
        <v>#N/A</v>
      </c>
      <c r="AI692" s="3" t="e">
        <f t="shared" ca="1" si="118"/>
        <v>#N/A</v>
      </c>
    </row>
    <row r="693" spans="7:35" ht="15" thickBot="1" x14ac:dyDescent="0.35">
      <c r="G693" s="3">
        <f t="shared" ca="1" si="110"/>
        <v>109</v>
      </c>
      <c r="H693" s="99">
        <f t="shared" ca="1" si="109"/>
        <v>45765</v>
      </c>
      <c r="I693" s="123">
        <f ca="1">HLOOKUP($H$4,'Met Data'!$A$2:$F$368,G693,FALSE)</f>
        <v>13.6833333333333</v>
      </c>
      <c r="J693" s="121">
        <f ca="1">HLOOKUP($H$4,'Met Data'!$H$2:$M$368,G693,FALSE)*L693</f>
        <v>2.4166666666666599</v>
      </c>
      <c r="K693" s="100">
        <f ca="1">HLOOKUP($H$4,'Met Data'!$O$2:$T$368,G693,FALSE)</f>
        <v>1.64274717869015</v>
      </c>
      <c r="L693">
        <f t="shared" ca="1" si="111"/>
        <v>1</v>
      </c>
      <c r="N693" t="e">
        <f t="shared" ca="1" si="112"/>
        <v>#N/A</v>
      </c>
      <c r="O693" t="e">
        <f t="shared" ca="1" si="113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4"/>
        <v>0</v>
      </c>
      <c r="AE693">
        <f t="shared" ca="1" si="115"/>
        <v>0</v>
      </c>
      <c r="AG693" s="65" t="e">
        <f t="shared" ca="1" si="116"/>
        <v>#N/A</v>
      </c>
      <c r="AH693" s="65" t="e">
        <f t="shared" ca="1" si="117"/>
        <v>#N/A</v>
      </c>
      <c r="AI693" s="3" t="e">
        <f t="shared" ca="1" si="118"/>
        <v>#N/A</v>
      </c>
    </row>
    <row r="694" spans="7:35" ht="15" thickBot="1" x14ac:dyDescent="0.35">
      <c r="G694" s="3">
        <f t="shared" ca="1" si="110"/>
        <v>110</v>
      </c>
      <c r="H694" s="99">
        <f t="shared" ca="1" si="109"/>
        <v>45766</v>
      </c>
      <c r="I694" s="123">
        <f ca="1">HLOOKUP($H$4,'Met Data'!$A$2:$F$368,G694,FALSE)</f>
        <v>12.945833333333301</v>
      </c>
      <c r="J694" s="121">
        <f ca="1">HLOOKUP($H$4,'Met Data'!$H$2:$M$368,G694,FALSE)*L694</f>
        <v>1.5999999999999901</v>
      </c>
      <c r="K694" s="100">
        <f ca="1">HLOOKUP($H$4,'Met Data'!$O$2:$T$368,G694,FALSE)</f>
        <v>1.70342846945819</v>
      </c>
      <c r="L694">
        <f t="shared" ca="1" si="111"/>
        <v>1</v>
      </c>
      <c r="N694" t="e">
        <f t="shared" ca="1" si="112"/>
        <v>#N/A</v>
      </c>
      <c r="O694" t="e">
        <f t="shared" ca="1" si="113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4"/>
        <v>0</v>
      </c>
      <c r="AE694">
        <f t="shared" ca="1" si="115"/>
        <v>0</v>
      </c>
      <c r="AG694" s="65" t="e">
        <f t="shared" ca="1" si="116"/>
        <v>#N/A</v>
      </c>
      <c r="AH694" s="65" t="e">
        <f t="shared" ca="1" si="117"/>
        <v>#N/A</v>
      </c>
      <c r="AI694" s="3" t="e">
        <f t="shared" ca="1" si="118"/>
        <v>#N/A</v>
      </c>
    </row>
    <row r="695" spans="7:35" ht="15" thickBot="1" x14ac:dyDescent="0.35">
      <c r="G695" s="3">
        <f t="shared" ca="1" si="110"/>
        <v>111</v>
      </c>
      <c r="H695" s="99">
        <f t="shared" ca="1" si="109"/>
        <v>45767</v>
      </c>
      <c r="I695" s="123">
        <f ca="1">HLOOKUP($H$4,'Met Data'!$A$2:$F$368,G695,FALSE)</f>
        <v>14.2875</v>
      </c>
      <c r="J695" s="121">
        <f ca="1">HLOOKUP($H$4,'Met Data'!$H$2:$M$368,G695,FALSE)*L695</f>
        <v>1.1499999999999999</v>
      </c>
      <c r="K695" s="100">
        <f ca="1">HLOOKUP($H$4,'Met Data'!$O$2:$T$368,G695,FALSE)</f>
        <v>1.68674688590323</v>
      </c>
      <c r="L695">
        <f t="shared" ca="1" si="111"/>
        <v>1</v>
      </c>
      <c r="N695" t="e">
        <f t="shared" ca="1" si="112"/>
        <v>#N/A</v>
      </c>
      <c r="O695" t="e">
        <f t="shared" ca="1" si="113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4"/>
        <v>0</v>
      </c>
      <c r="AE695">
        <f t="shared" ca="1" si="115"/>
        <v>0</v>
      </c>
      <c r="AG695" s="65" t="e">
        <f t="shared" ca="1" si="116"/>
        <v>#N/A</v>
      </c>
      <c r="AH695" s="65" t="e">
        <f t="shared" ca="1" si="117"/>
        <v>#N/A</v>
      </c>
      <c r="AI695" s="3" t="e">
        <f t="shared" ca="1" si="118"/>
        <v>#N/A</v>
      </c>
    </row>
    <row r="696" spans="7:35" ht="15" thickBot="1" x14ac:dyDescent="0.35">
      <c r="G696" s="3">
        <f t="shared" ca="1" si="110"/>
        <v>112</v>
      </c>
      <c r="H696" s="99">
        <f t="shared" ca="1" si="109"/>
        <v>45768</v>
      </c>
      <c r="I696" s="123">
        <f ca="1">HLOOKUP($H$4,'Met Data'!$A$2:$F$368,G696,FALSE)</f>
        <v>14.275</v>
      </c>
      <c r="J696" s="121">
        <f ca="1">HLOOKUP($H$4,'Met Data'!$H$2:$M$368,G696,FALSE)*L696</f>
        <v>2.0833333333333299</v>
      </c>
      <c r="K696" s="100">
        <f ca="1">HLOOKUP($H$4,'Met Data'!$O$2:$T$368,G696,FALSE)</f>
        <v>1.5152419322458901</v>
      </c>
      <c r="L696">
        <f t="shared" ca="1" si="111"/>
        <v>1</v>
      </c>
      <c r="N696" t="e">
        <f t="shared" ca="1" si="112"/>
        <v>#N/A</v>
      </c>
      <c r="O696" t="e">
        <f t="shared" ca="1" si="113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4"/>
        <v>0</v>
      </c>
      <c r="AE696">
        <f t="shared" ca="1" si="115"/>
        <v>0</v>
      </c>
      <c r="AG696" s="65" t="e">
        <f t="shared" ca="1" si="116"/>
        <v>#N/A</v>
      </c>
      <c r="AH696" s="65" t="e">
        <f t="shared" ca="1" si="117"/>
        <v>#N/A</v>
      </c>
      <c r="AI696" s="3" t="e">
        <f t="shared" ca="1" si="118"/>
        <v>#N/A</v>
      </c>
    </row>
    <row r="697" spans="7:35" ht="15" thickBot="1" x14ac:dyDescent="0.35">
      <c r="G697" s="3">
        <f t="shared" ca="1" si="110"/>
        <v>113</v>
      </c>
      <c r="H697" s="99">
        <f t="shared" ca="1" si="109"/>
        <v>45769</v>
      </c>
      <c r="I697" s="123">
        <f ca="1">HLOOKUP($H$4,'Met Data'!$A$2:$F$368,G697,FALSE)</f>
        <v>13.595833333333299</v>
      </c>
      <c r="J697" s="121">
        <f ca="1">HLOOKUP($H$4,'Met Data'!$H$2:$M$368,G697,FALSE)*L697</f>
        <v>0.76666666666666605</v>
      </c>
      <c r="K697" s="100">
        <f ca="1">HLOOKUP($H$4,'Met Data'!$O$2:$T$368,G697,FALSE)</f>
        <v>1.65518894118648</v>
      </c>
      <c r="L697">
        <f t="shared" ca="1" si="111"/>
        <v>1</v>
      </c>
      <c r="N697" t="e">
        <f t="shared" ca="1" si="112"/>
        <v>#N/A</v>
      </c>
      <c r="O697" t="e">
        <f t="shared" ca="1" si="113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4"/>
        <v>0</v>
      </c>
      <c r="AE697">
        <f t="shared" ca="1" si="115"/>
        <v>0</v>
      </c>
      <c r="AG697" s="65" t="e">
        <f t="shared" ca="1" si="116"/>
        <v>#N/A</v>
      </c>
      <c r="AH697" s="65" t="e">
        <f t="shared" ca="1" si="117"/>
        <v>#N/A</v>
      </c>
      <c r="AI697" s="3" t="e">
        <f t="shared" ca="1" si="118"/>
        <v>#N/A</v>
      </c>
    </row>
    <row r="698" spans="7:35" ht="15" thickBot="1" x14ac:dyDescent="0.35">
      <c r="G698" s="3">
        <f t="shared" ca="1" si="110"/>
        <v>114</v>
      </c>
      <c r="H698" s="99">
        <f t="shared" ca="1" si="109"/>
        <v>45770</v>
      </c>
      <c r="I698" s="123">
        <f ca="1">HLOOKUP($H$4,'Met Data'!$A$2:$F$368,G698,FALSE)</f>
        <v>13.9125</v>
      </c>
      <c r="J698" s="121">
        <f ca="1">HLOOKUP($H$4,'Met Data'!$H$2:$M$368,G698,FALSE)*L698</f>
        <v>0.3</v>
      </c>
      <c r="K698" s="100">
        <f ca="1">HLOOKUP($H$4,'Met Data'!$O$2:$T$368,G698,FALSE)</f>
        <v>1.66585763602601</v>
      </c>
      <c r="L698">
        <f t="shared" ca="1" si="111"/>
        <v>1</v>
      </c>
      <c r="N698" t="e">
        <f t="shared" ca="1" si="112"/>
        <v>#N/A</v>
      </c>
      <c r="O698" t="e">
        <f t="shared" ca="1" si="113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4"/>
        <v>0</v>
      </c>
      <c r="AE698">
        <f t="shared" ca="1" si="115"/>
        <v>0</v>
      </c>
      <c r="AG698" s="65" t="e">
        <f t="shared" ca="1" si="116"/>
        <v>#N/A</v>
      </c>
      <c r="AH698" s="65" t="e">
        <f t="shared" ca="1" si="117"/>
        <v>#N/A</v>
      </c>
      <c r="AI698" s="3" t="e">
        <f t="shared" ca="1" si="118"/>
        <v>#N/A</v>
      </c>
    </row>
    <row r="699" spans="7:35" ht="15" thickBot="1" x14ac:dyDescent="0.35">
      <c r="G699" s="3">
        <f t="shared" ca="1" si="110"/>
        <v>115</v>
      </c>
      <c r="H699" s="99">
        <f t="shared" ca="1" si="109"/>
        <v>45771</v>
      </c>
      <c r="I699" s="123">
        <f ca="1">HLOOKUP($H$4,'Met Data'!$A$2:$F$368,G699,FALSE)</f>
        <v>14.820833333333301</v>
      </c>
      <c r="J699" s="121">
        <f ca="1">HLOOKUP($H$4,'Met Data'!$H$2:$M$368,G699,FALSE)*L699</f>
        <v>2.5333333333333301</v>
      </c>
      <c r="K699" s="100">
        <f ca="1">HLOOKUP($H$4,'Met Data'!$O$2:$T$368,G699,FALSE)</f>
        <v>1.5754379638326901</v>
      </c>
      <c r="L699">
        <f t="shared" ca="1" si="111"/>
        <v>1</v>
      </c>
      <c r="N699" t="e">
        <f t="shared" ca="1" si="112"/>
        <v>#N/A</v>
      </c>
      <c r="O699" t="e">
        <f t="shared" ca="1" si="113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4"/>
        <v>0</v>
      </c>
      <c r="AE699">
        <f t="shared" ca="1" si="115"/>
        <v>0</v>
      </c>
      <c r="AG699" s="65" t="e">
        <f t="shared" ca="1" si="116"/>
        <v>#N/A</v>
      </c>
      <c r="AH699" s="65" t="e">
        <f t="shared" ca="1" si="117"/>
        <v>#N/A</v>
      </c>
      <c r="AI699" s="3" t="e">
        <f t="shared" ca="1" si="118"/>
        <v>#N/A</v>
      </c>
    </row>
    <row r="700" spans="7:35" ht="15" thickBot="1" x14ac:dyDescent="0.35">
      <c r="G700" s="3">
        <f t="shared" ca="1" si="110"/>
        <v>116</v>
      </c>
      <c r="H700" s="99">
        <f t="shared" ca="1" si="109"/>
        <v>45772</v>
      </c>
      <c r="I700" s="123">
        <f ca="1">HLOOKUP($H$4,'Met Data'!$A$2:$F$368,G700,FALSE)</f>
        <v>14.4166666666666</v>
      </c>
      <c r="J700" s="121">
        <f ca="1">HLOOKUP($H$4,'Met Data'!$H$2:$M$368,G700,FALSE)*L700</f>
        <v>7.3833333333333302</v>
      </c>
      <c r="K700" s="100">
        <f ca="1">HLOOKUP($H$4,'Met Data'!$O$2:$T$368,G700,FALSE)</f>
        <v>1.4622003711311999</v>
      </c>
      <c r="L700">
        <f t="shared" ca="1" si="111"/>
        <v>1</v>
      </c>
      <c r="N700" t="e">
        <f t="shared" ca="1" si="112"/>
        <v>#N/A</v>
      </c>
      <c r="O700" t="e">
        <f t="shared" ca="1" si="113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4"/>
        <v>0</v>
      </c>
      <c r="AE700">
        <f t="shared" ca="1" si="115"/>
        <v>0</v>
      </c>
      <c r="AG700" s="65" t="e">
        <f t="shared" ca="1" si="116"/>
        <v>#N/A</v>
      </c>
      <c r="AH700" s="65" t="e">
        <f t="shared" ca="1" si="117"/>
        <v>#N/A</v>
      </c>
      <c r="AI700" s="3" t="e">
        <f t="shared" ca="1" si="118"/>
        <v>#N/A</v>
      </c>
    </row>
    <row r="701" spans="7:35" ht="15" thickBot="1" x14ac:dyDescent="0.35">
      <c r="G701" s="3">
        <f t="shared" ca="1" si="110"/>
        <v>117</v>
      </c>
      <c r="H701" s="99">
        <f t="shared" ca="1" si="109"/>
        <v>45773</v>
      </c>
      <c r="I701" s="123">
        <f ca="1">HLOOKUP($H$4,'Met Data'!$A$2:$F$368,G701,FALSE)</f>
        <v>13.9375</v>
      </c>
      <c r="J701" s="121">
        <f ca="1">HLOOKUP($H$4,'Met Data'!$H$2:$M$368,G701,FALSE)*L701</f>
        <v>0.7</v>
      </c>
      <c r="K701" s="100">
        <f ca="1">HLOOKUP($H$4,'Met Data'!$O$2:$T$368,G701,FALSE)</f>
        <v>1.4965322621758601</v>
      </c>
      <c r="L701">
        <f t="shared" ca="1" si="111"/>
        <v>1</v>
      </c>
      <c r="N701" t="e">
        <f t="shared" ca="1" si="112"/>
        <v>#N/A</v>
      </c>
      <c r="O701" t="e">
        <f t="shared" ca="1" si="113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4"/>
        <v>0</v>
      </c>
      <c r="AE701">
        <f t="shared" ca="1" si="115"/>
        <v>0</v>
      </c>
      <c r="AG701" s="65" t="e">
        <f t="shared" ca="1" si="116"/>
        <v>#N/A</v>
      </c>
      <c r="AH701" s="65" t="e">
        <f t="shared" ca="1" si="117"/>
        <v>#N/A</v>
      </c>
      <c r="AI701" s="3" t="e">
        <f t="shared" ca="1" si="118"/>
        <v>#N/A</v>
      </c>
    </row>
    <row r="702" spans="7:35" ht="15" thickBot="1" x14ac:dyDescent="0.35">
      <c r="G702" s="3">
        <f t="shared" ca="1" si="110"/>
        <v>118</v>
      </c>
      <c r="H702" s="99">
        <f t="shared" ca="1" si="109"/>
        <v>45774</v>
      </c>
      <c r="I702" s="123">
        <f ca="1">HLOOKUP($H$4,'Met Data'!$A$2:$F$368,G702,FALSE)</f>
        <v>14.8045454545454</v>
      </c>
      <c r="J702" s="121">
        <f ca="1">HLOOKUP($H$4,'Met Data'!$H$2:$M$368,G702,FALSE)*L702</f>
        <v>4.5818181818181802</v>
      </c>
      <c r="K702" s="100">
        <f ca="1">HLOOKUP($H$4,'Met Data'!$O$2:$T$368,G702,FALSE)</f>
        <v>1.5702581753512701</v>
      </c>
      <c r="L702">
        <f t="shared" ca="1" si="111"/>
        <v>1</v>
      </c>
      <c r="N702" t="e">
        <f t="shared" ca="1" si="112"/>
        <v>#N/A</v>
      </c>
      <c r="O702" t="e">
        <f t="shared" ca="1" si="113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4"/>
        <v>0</v>
      </c>
      <c r="AE702">
        <f t="shared" ca="1" si="115"/>
        <v>0</v>
      </c>
      <c r="AG702" s="65" t="e">
        <f t="shared" ca="1" si="116"/>
        <v>#N/A</v>
      </c>
      <c r="AH702" s="65" t="e">
        <f t="shared" ca="1" si="117"/>
        <v>#N/A</v>
      </c>
      <c r="AI702" s="3" t="e">
        <f t="shared" ca="1" si="118"/>
        <v>#N/A</v>
      </c>
    </row>
    <row r="703" spans="7:35" ht="15" thickBot="1" x14ac:dyDescent="0.35">
      <c r="G703" s="3">
        <f t="shared" ca="1" si="110"/>
        <v>119</v>
      </c>
      <c r="H703" s="99">
        <f t="shared" ca="1" si="109"/>
        <v>45775</v>
      </c>
      <c r="I703" s="123">
        <f ca="1">HLOOKUP($H$4,'Met Data'!$A$2:$F$368,G703,FALSE)</f>
        <v>14.1090909090909</v>
      </c>
      <c r="J703" s="121">
        <f ca="1">HLOOKUP($H$4,'Met Data'!$H$2:$M$368,G703,FALSE)*L703</f>
        <v>5.5454545454545396</v>
      </c>
      <c r="K703" s="100">
        <f ca="1">HLOOKUP($H$4,'Met Data'!$O$2:$T$368,G703,FALSE)</f>
        <v>1.27231342308323</v>
      </c>
      <c r="L703">
        <f t="shared" ca="1" si="111"/>
        <v>1</v>
      </c>
      <c r="N703" t="e">
        <f t="shared" ca="1" si="112"/>
        <v>#N/A</v>
      </c>
      <c r="O703" t="e">
        <f t="shared" ca="1" si="113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4"/>
        <v>0</v>
      </c>
      <c r="AE703">
        <f t="shared" ca="1" si="115"/>
        <v>0</v>
      </c>
      <c r="AG703" s="65" t="e">
        <f t="shared" ca="1" si="116"/>
        <v>#N/A</v>
      </c>
      <c r="AH703" s="65" t="e">
        <f t="shared" ca="1" si="117"/>
        <v>#N/A</v>
      </c>
      <c r="AI703" s="3" t="e">
        <f t="shared" ca="1" si="118"/>
        <v>#N/A</v>
      </c>
    </row>
    <row r="704" spans="7:35" ht="15" thickBot="1" x14ac:dyDescent="0.35">
      <c r="G704" s="3">
        <f t="shared" ca="1" si="110"/>
        <v>120</v>
      </c>
      <c r="H704" s="99">
        <f t="shared" ca="1" si="109"/>
        <v>45776</v>
      </c>
      <c r="I704" s="123">
        <f ca="1">HLOOKUP($H$4,'Met Data'!$A$2:$F$368,G704,FALSE)</f>
        <v>13.8375</v>
      </c>
      <c r="J704" s="121">
        <f ca="1">HLOOKUP($H$4,'Met Data'!$H$2:$M$368,G704,FALSE)*L704</f>
        <v>4.68333333333333</v>
      </c>
      <c r="K704" s="100">
        <f ca="1">HLOOKUP($H$4,'Met Data'!$O$2:$T$368,G704,FALSE)</f>
        <v>1.5077932055652401</v>
      </c>
      <c r="L704">
        <f t="shared" ca="1" si="111"/>
        <v>1</v>
      </c>
      <c r="N704" t="e">
        <f t="shared" ca="1" si="112"/>
        <v>#N/A</v>
      </c>
      <c r="O704" t="e">
        <f t="shared" ca="1" si="113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4"/>
        <v>0</v>
      </c>
      <c r="AE704">
        <f t="shared" ca="1" si="115"/>
        <v>0</v>
      </c>
      <c r="AG704" s="65" t="e">
        <f t="shared" ca="1" si="116"/>
        <v>#N/A</v>
      </c>
      <c r="AH704" s="65" t="e">
        <f t="shared" ca="1" si="117"/>
        <v>#N/A</v>
      </c>
      <c r="AI704" s="3" t="e">
        <f t="shared" ca="1" si="118"/>
        <v>#N/A</v>
      </c>
    </row>
    <row r="705" spans="7:35" ht="15" thickBot="1" x14ac:dyDescent="0.35">
      <c r="G705" s="3">
        <f t="shared" ca="1" si="110"/>
        <v>121</v>
      </c>
      <c r="H705" s="99">
        <f t="shared" ca="1" si="109"/>
        <v>45777</v>
      </c>
      <c r="I705" s="123">
        <f ca="1">HLOOKUP($H$4,'Met Data'!$A$2:$F$368,G705,FALSE)</f>
        <v>13.6458333333333</v>
      </c>
      <c r="J705" s="121">
        <f ca="1">HLOOKUP($H$4,'Met Data'!$H$2:$M$368,G705,FALSE)*L705</f>
        <v>5.3999999999999897</v>
      </c>
      <c r="K705" s="100">
        <f ca="1">HLOOKUP($H$4,'Met Data'!$O$2:$T$368,G705,FALSE)</f>
        <v>1.60300410285803</v>
      </c>
      <c r="L705">
        <f t="shared" ca="1" si="111"/>
        <v>1</v>
      </c>
      <c r="N705" t="e">
        <f t="shared" ca="1" si="112"/>
        <v>#N/A</v>
      </c>
      <c r="O705" t="e">
        <f t="shared" ca="1" si="113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4"/>
        <v>0</v>
      </c>
      <c r="AE705">
        <f t="shared" ca="1" si="115"/>
        <v>0</v>
      </c>
      <c r="AG705" s="65" t="e">
        <f t="shared" ca="1" si="116"/>
        <v>#N/A</v>
      </c>
      <c r="AH705" s="65" t="e">
        <f t="shared" ca="1" si="117"/>
        <v>#N/A</v>
      </c>
      <c r="AI705" s="3" t="e">
        <f t="shared" ca="1" si="118"/>
        <v>#N/A</v>
      </c>
    </row>
    <row r="706" spans="7:35" ht="15" thickBot="1" x14ac:dyDescent="0.35">
      <c r="G706" s="3">
        <f t="shared" ca="1" si="110"/>
        <v>122</v>
      </c>
      <c r="H706" s="99">
        <f t="shared" ca="1" si="109"/>
        <v>45778</v>
      </c>
      <c r="I706" s="123">
        <f ca="1">HLOOKUP($H$4,'Met Data'!$A$2:$F$368,G706,FALSE)</f>
        <v>11.883333333333301</v>
      </c>
      <c r="J706" s="121">
        <f ca="1">HLOOKUP($H$4,'Met Data'!$H$2:$M$368,G706,FALSE)*L706</f>
        <v>0.25</v>
      </c>
      <c r="K706" s="100">
        <f ca="1">HLOOKUP($H$4,'Met Data'!$O$2:$T$368,G706,FALSE)</f>
        <v>1.67837953393642</v>
      </c>
      <c r="L706">
        <f t="shared" ca="1" si="111"/>
        <v>1</v>
      </c>
      <c r="N706" t="e">
        <f t="shared" ca="1" si="112"/>
        <v>#N/A</v>
      </c>
      <c r="O706" t="e">
        <f t="shared" ca="1" si="113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4"/>
        <v>0</v>
      </c>
      <c r="AE706">
        <f t="shared" ca="1" si="115"/>
        <v>0</v>
      </c>
      <c r="AG706" s="65" t="e">
        <f t="shared" ca="1" si="116"/>
        <v>#N/A</v>
      </c>
      <c r="AH706" s="65" t="e">
        <f t="shared" ca="1" si="117"/>
        <v>#N/A</v>
      </c>
      <c r="AI706" s="3" t="e">
        <f t="shared" ca="1" si="118"/>
        <v>#N/A</v>
      </c>
    </row>
    <row r="707" spans="7:35" ht="15" thickBot="1" x14ac:dyDescent="0.35">
      <c r="G707" s="3">
        <f t="shared" ca="1" si="110"/>
        <v>123</v>
      </c>
      <c r="H707" s="99">
        <f t="shared" ca="1" si="109"/>
        <v>45779</v>
      </c>
      <c r="I707" s="123">
        <f ca="1">HLOOKUP($H$4,'Met Data'!$A$2:$F$368,G707,FALSE)</f>
        <v>11.8541666666666</v>
      </c>
      <c r="J707" s="121">
        <f ca="1">HLOOKUP($H$4,'Met Data'!$H$2:$M$368,G707,FALSE)*L707</f>
        <v>0.133333333333333</v>
      </c>
      <c r="K707" s="100">
        <f ca="1">HLOOKUP($H$4,'Met Data'!$O$2:$T$368,G707,FALSE)</f>
        <v>1.44561782365903</v>
      </c>
      <c r="L707">
        <f t="shared" ca="1" si="111"/>
        <v>1</v>
      </c>
      <c r="N707" t="e">
        <f t="shared" ca="1" si="112"/>
        <v>#N/A</v>
      </c>
      <c r="O707" t="e">
        <f t="shared" ca="1" si="113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4"/>
        <v>0</v>
      </c>
      <c r="AE707">
        <f t="shared" ca="1" si="115"/>
        <v>0</v>
      </c>
      <c r="AG707" s="65" t="e">
        <f t="shared" ca="1" si="116"/>
        <v>#N/A</v>
      </c>
      <c r="AH707" s="65" t="e">
        <f t="shared" ca="1" si="117"/>
        <v>#N/A</v>
      </c>
      <c r="AI707" s="3" t="e">
        <f t="shared" ca="1" si="118"/>
        <v>#N/A</v>
      </c>
    </row>
    <row r="708" spans="7:35" ht="15" thickBot="1" x14ac:dyDescent="0.35">
      <c r="G708" s="3">
        <f t="shared" ca="1" si="110"/>
        <v>124</v>
      </c>
      <c r="H708" s="99">
        <f t="shared" ca="1" si="109"/>
        <v>45780</v>
      </c>
      <c r="I708" s="123">
        <f ca="1">HLOOKUP($H$4,'Met Data'!$A$2:$F$368,G708,FALSE)</f>
        <v>13.0875</v>
      </c>
      <c r="J708" s="121">
        <f ca="1">HLOOKUP($H$4,'Met Data'!$H$2:$M$368,G708,FALSE)*L708</f>
        <v>2.1333333333333302</v>
      </c>
      <c r="K708" s="100">
        <f ca="1">HLOOKUP($H$4,'Met Data'!$O$2:$T$368,G708,FALSE)</f>
        <v>1.4319782957140901</v>
      </c>
      <c r="L708">
        <f t="shared" ca="1" si="111"/>
        <v>1</v>
      </c>
      <c r="N708" t="e">
        <f t="shared" ca="1" si="112"/>
        <v>#N/A</v>
      </c>
      <c r="O708" t="e">
        <f t="shared" ca="1" si="113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4"/>
        <v>0</v>
      </c>
      <c r="AE708">
        <f t="shared" ca="1" si="115"/>
        <v>0</v>
      </c>
      <c r="AG708" s="65" t="e">
        <f t="shared" ca="1" si="116"/>
        <v>#N/A</v>
      </c>
      <c r="AH708" s="65" t="e">
        <f t="shared" ca="1" si="117"/>
        <v>#N/A</v>
      </c>
      <c r="AI708" s="3" t="e">
        <f t="shared" ca="1" si="118"/>
        <v>#N/A</v>
      </c>
    </row>
    <row r="709" spans="7:35" ht="15" thickBot="1" x14ac:dyDescent="0.35">
      <c r="G709" s="3">
        <f t="shared" ca="1" si="110"/>
        <v>125</v>
      </c>
      <c r="H709" s="99">
        <f t="shared" ca="1" si="109"/>
        <v>45781</v>
      </c>
      <c r="I709" s="123">
        <f ca="1">HLOOKUP($H$4,'Met Data'!$A$2:$F$368,G709,FALSE)</f>
        <v>13.137499999999999</v>
      </c>
      <c r="J709" s="121">
        <f ca="1">HLOOKUP($H$4,'Met Data'!$H$2:$M$368,G709,FALSE)*L709</f>
        <v>3</v>
      </c>
      <c r="K709" s="100">
        <f ca="1">HLOOKUP($H$4,'Met Data'!$O$2:$T$368,G709,FALSE)</f>
        <v>1.16413167388704</v>
      </c>
      <c r="L709">
        <f t="shared" ca="1" si="111"/>
        <v>1</v>
      </c>
      <c r="N709" t="e">
        <f t="shared" ca="1" si="112"/>
        <v>#N/A</v>
      </c>
      <c r="O709" t="e">
        <f t="shared" ca="1" si="113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4"/>
        <v>0</v>
      </c>
      <c r="AE709">
        <f t="shared" ca="1" si="115"/>
        <v>0</v>
      </c>
      <c r="AG709" s="65" t="e">
        <f t="shared" ca="1" si="116"/>
        <v>#N/A</v>
      </c>
      <c r="AH709" s="65" t="e">
        <f t="shared" ca="1" si="117"/>
        <v>#N/A</v>
      </c>
      <c r="AI709" s="3" t="e">
        <f t="shared" ca="1" si="118"/>
        <v>#N/A</v>
      </c>
    </row>
    <row r="710" spans="7:35" ht="15" thickBot="1" x14ac:dyDescent="0.35">
      <c r="G710" s="3">
        <f t="shared" ca="1" si="110"/>
        <v>126</v>
      </c>
      <c r="H710" s="99">
        <f t="shared" ca="1" si="109"/>
        <v>45782</v>
      </c>
      <c r="I710" s="123">
        <f ca="1">HLOOKUP($H$4,'Met Data'!$A$2:$F$368,G710,FALSE)</f>
        <v>13.591666666666599</v>
      </c>
      <c r="J710" s="121">
        <f ca="1">HLOOKUP($H$4,'Met Data'!$H$2:$M$368,G710,FALSE)*L710</f>
        <v>4.8499999999999996</v>
      </c>
      <c r="K710" s="100">
        <f ca="1">HLOOKUP($H$4,'Met Data'!$O$2:$T$368,G710,FALSE)</f>
        <v>1.3049016144750001</v>
      </c>
      <c r="L710">
        <f t="shared" ca="1" si="111"/>
        <v>1</v>
      </c>
      <c r="N710" t="e">
        <f t="shared" ca="1" si="112"/>
        <v>#N/A</v>
      </c>
      <c r="O710" t="e">
        <f t="shared" ca="1" si="113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4"/>
        <v>0</v>
      </c>
      <c r="AE710">
        <f t="shared" ca="1" si="115"/>
        <v>0</v>
      </c>
      <c r="AG710" s="65" t="e">
        <f t="shared" ca="1" si="116"/>
        <v>#N/A</v>
      </c>
      <c r="AH710" s="65" t="e">
        <f t="shared" ca="1" si="117"/>
        <v>#N/A</v>
      </c>
      <c r="AI710" s="3" t="e">
        <f t="shared" ca="1" si="118"/>
        <v>#N/A</v>
      </c>
    </row>
    <row r="711" spans="7:35" ht="15" thickBot="1" x14ac:dyDescent="0.35">
      <c r="G711" s="3">
        <f t="shared" ca="1" si="110"/>
        <v>127</v>
      </c>
      <c r="H711" s="99">
        <f t="shared" ca="1" si="109"/>
        <v>45783</v>
      </c>
      <c r="I711" s="123">
        <f ca="1">HLOOKUP($H$4,'Met Data'!$A$2:$F$368,G711,FALSE)</f>
        <v>13.2708333333333</v>
      </c>
      <c r="J711" s="121">
        <f ca="1">HLOOKUP($H$4,'Met Data'!$H$2:$M$368,G711,FALSE)*L711</f>
        <v>2.36666666666666</v>
      </c>
      <c r="K711" s="100">
        <f ca="1">HLOOKUP($H$4,'Met Data'!$O$2:$T$368,G711,FALSE)</f>
        <v>1.29751787384439</v>
      </c>
      <c r="L711">
        <f t="shared" ca="1" si="111"/>
        <v>1</v>
      </c>
      <c r="N711" t="e">
        <f t="shared" ca="1" si="112"/>
        <v>#N/A</v>
      </c>
      <c r="O711" t="e">
        <f t="shared" ca="1" si="113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4"/>
        <v>0</v>
      </c>
      <c r="AE711">
        <f t="shared" ca="1" si="115"/>
        <v>0</v>
      </c>
      <c r="AG711" s="65" t="e">
        <f t="shared" ca="1" si="116"/>
        <v>#N/A</v>
      </c>
      <c r="AH711" s="65" t="e">
        <f t="shared" ca="1" si="117"/>
        <v>#N/A</v>
      </c>
      <c r="AI711" s="3" t="e">
        <f t="shared" ca="1" si="118"/>
        <v>#N/A</v>
      </c>
    </row>
    <row r="712" spans="7:35" ht="15" thickBot="1" x14ac:dyDescent="0.35">
      <c r="G712" s="3">
        <f t="shared" ca="1" si="110"/>
        <v>128</v>
      </c>
      <c r="H712" s="99">
        <f t="shared" ref="H712:H775" ca="1" si="119">H711+1</f>
        <v>45784</v>
      </c>
      <c r="I712" s="123">
        <f ca="1">HLOOKUP($H$4,'Met Data'!$A$2:$F$368,G712,FALSE)</f>
        <v>12.6791666666666</v>
      </c>
      <c r="J712" s="121">
        <f ca="1">HLOOKUP($H$4,'Met Data'!$H$2:$M$368,G712,FALSE)*L712</f>
        <v>5.4166666666666599</v>
      </c>
      <c r="K712" s="100">
        <f ca="1">HLOOKUP($H$4,'Met Data'!$O$2:$T$368,G712,FALSE)</f>
        <v>1.3071916611718599</v>
      </c>
      <c r="L712">
        <f t="shared" ca="1" si="111"/>
        <v>1</v>
      </c>
      <c r="N712" t="e">
        <f t="shared" ca="1" si="112"/>
        <v>#N/A</v>
      </c>
      <c r="O712" t="e">
        <f t="shared" ca="1" si="113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4"/>
        <v>0</v>
      </c>
      <c r="AE712">
        <f t="shared" ca="1" si="115"/>
        <v>0</v>
      </c>
      <c r="AG712" s="65" t="e">
        <f t="shared" ca="1" si="116"/>
        <v>#N/A</v>
      </c>
      <c r="AH712" s="65" t="e">
        <f t="shared" ca="1" si="117"/>
        <v>#N/A</v>
      </c>
      <c r="AI712" s="3" t="e">
        <f t="shared" ca="1" si="118"/>
        <v>#N/A</v>
      </c>
    </row>
    <row r="713" spans="7:35" ht="15" thickBot="1" x14ac:dyDescent="0.35">
      <c r="G713" s="3">
        <f t="shared" ca="1" si="110"/>
        <v>129</v>
      </c>
      <c r="H713" s="99">
        <f t="shared" ca="1" si="119"/>
        <v>45785</v>
      </c>
      <c r="I713" s="123">
        <f ca="1">HLOOKUP($H$4,'Met Data'!$A$2:$F$368,G713,FALSE)</f>
        <v>12.799999999999899</v>
      </c>
      <c r="J713" s="121">
        <f ca="1">HLOOKUP($H$4,'Met Data'!$H$2:$M$368,G713,FALSE)*L713</f>
        <v>2.1666666666666599</v>
      </c>
      <c r="K713" s="100">
        <f ca="1">HLOOKUP($H$4,'Met Data'!$O$2:$T$368,G713,FALSE)</f>
        <v>1.27112414081248</v>
      </c>
      <c r="L713">
        <f t="shared" ca="1" si="111"/>
        <v>1</v>
      </c>
      <c r="N713" t="e">
        <f t="shared" ca="1" si="112"/>
        <v>#N/A</v>
      </c>
      <c r="O713" t="e">
        <f t="shared" ca="1" si="113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4"/>
        <v>0</v>
      </c>
      <c r="AE713">
        <f t="shared" ca="1" si="115"/>
        <v>0</v>
      </c>
      <c r="AG713" s="65" t="e">
        <f t="shared" ca="1" si="116"/>
        <v>#N/A</v>
      </c>
      <c r="AH713" s="65" t="e">
        <f t="shared" ca="1" si="117"/>
        <v>#N/A</v>
      </c>
      <c r="AI713" s="3" t="e">
        <f t="shared" ca="1" si="118"/>
        <v>#N/A</v>
      </c>
    </row>
    <row r="714" spans="7:35" ht="15" thickBot="1" x14ac:dyDescent="0.35">
      <c r="G714" s="3">
        <f t="shared" ca="1" si="110"/>
        <v>130</v>
      </c>
      <c r="H714" s="99">
        <f t="shared" ca="1" si="119"/>
        <v>45786</v>
      </c>
      <c r="I714" s="123">
        <f ca="1">HLOOKUP($H$4,'Met Data'!$A$2:$F$368,G714,FALSE)</f>
        <v>14.1</v>
      </c>
      <c r="J714" s="121">
        <f ca="1">HLOOKUP($H$4,'Met Data'!$H$2:$M$368,G714,FALSE)*L714</f>
        <v>1.2333333333333301</v>
      </c>
      <c r="K714" s="100">
        <f ca="1">HLOOKUP($H$4,'Met Data'!$O$2:$T$368,G714,FALSE)</f>
        <v>1.3593529897032299</v>
      </c>
      <c r="L714">
        <f t="shared" ca="1" si="111"/>
        <v>1</v>
      </c>
      <c r="N714" t="e">
        <f t="shared" ca="1" si="112"/>
        <v>#N/A</v>
      </c>
      <c r="O714" t="e">
        <f t="shared" ca="1" si="113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4"/>
        <v>0</v>
      </c>
      <c r="AE714">
        <f t="shared" ca="1" si="115"/>
        <v>0</v>
      </c>
      <c r="AG714" s="65" t="e">
        <f t="shared" ca="1" si="116"/>
        <v>#N/A</v>
      </c>
      <c r="AH714" s="65" t="e">
        <f t="shared" ca="1" si="117"/>
        <v>#N/A</v>
      </c>
      <c r="AI714" s="3" t="e">
        <f t="shared" ca="1" si="118"/>
        <v>#N/A</v>
      </c>
    </row>
    <row r="715" spans="7:35" ht="15" thickBot="1" x14ac:dyDescent="0.35">
      <c r="G715" s="3">
        <f t="shared" ca="1" si="110"/>
        <v>131</v>
      </c>
      <c r="H715" s="99">
        <f t="shared" ca="1" si="119"/>
        <v>45787</v>
      </c>
      <c r="I715" s="123">
        <f ca="1">HLOOKUP($H$4,'Met Data'!$A$2:$F$368,G715,FALSE)</f>
        <v>13.7416666666666</v>
      </c>
      <c r="J715" s="121">
        <f ca="1">HLOOKUP($H$4,'Met Data'!$H$2:$M$368,G715,FALSE)*L715</f>
        <v>1.56666666666666</v>
      </c>
      <c r="K715" s="100">
        <f ca="1">HLOOKUP($H$4,'Met Data'!$O$2:$T$368,G715,FALSE)</f>
        <v>1.1980493949464299</v>
      </c>
      <c r="L715">
        <f t="shared" ca="1" si="111"/>
        <v>1</v>
      </c>
      <c r="N715" t="e">
        <f t="shared" ca="1" si="112"/>
        <v>#N/A</v>
      </c>
      <c r="O715" t="e">
        <f t="shared" ca="1" si="113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4"/>
        <v>0</v>
      </c>
      <c r="AE715">
        <f t="shared" ca="1" si="115"/>
        <v>0</v>
      </c>
      <c r="AG715" s="65" t="e">
        <f t="shared" ca="1" si="116"/>
        <v>#N/A</v>
      </c>
      <c r="AH715" s="65" t="e">
        <f t="shared" ca="1" si="117"/>
        <v>#N/A</v>
      </c>
      <c r="AI715" s="3" t="e">
        <f t="shared" ca="1" si="118"/>
        <v>#N/A</v>
      </c>
    </row>
    <row r="716" spans="7:35" ht="15" thickBot="1" x14ac:dyDescent="0.35">
      <c r="G716" s="3">
        <f t="shared" ca="1" si="110"/>
        <v>132</v>
      </c>
      <c r="H716" s="99">
        <f t="shared" ca="1" si="119"/>
        <v>45788</v>
      </c>
      <c r="I716" s="123">
        <f ca="1">HLOOKUP($H$4,'Met Data'!$A$2:$F$368,G716,FALSE)</f>
        <v>13.1</v>
      </c>
      <c r="J716" s="121">
        <f ca="1">HLOOKUP($H$4,'Met Data'!$H$2:$M$368,G716,FALSE)*L716</f>
        <v>3.7166666666666601</v>
      </c>
      <c r="K716" s="100">
        <f ca="1">HLOOKUP($H$4,'Met Data'!$O$2:$T$368,G716,FALSE)</f>
        <v>1.0818629782871001</v>
      </c>
      <c r="L716">
        <f t="shared" ca="1" si="111"/>
        <v>1</v>
      </c>
      <c r="N716" t="e">
        <f t="shared" ca="1" si="112"/>
        <v>#N/A</v>
      </c>
      <c r="O716" t="e">
        <f t="shared" ca="1" si="113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4"/>
        <v>0</v>
      </c>
      <c r="AE716">
        <f t="shared" ca="1" si="115"/>
        <v>0</v>
      </c>
      <c r="AG716" s="65" t="e">
        <f t="shared" ca="1" si="116"/>
        <v>#N/A</v>
      </c>
      <c r="AH716" s="65" t="e">
        <f t="shared" ca="1" si="117"/>
        <v>#N/A</v>
      </c>
      <c r="AI716" s="3" t="e">
        <f t="shared" ca="1" si="118"/>
        <v>#N/A</v>
      </c>
    </row>
    <row r="717" spans="7:35" ht="15" thickBot="1" x14ac:dyDescent="0.35">
      <c r="G717" s="3">
        <f t="shared" ca="1" si="110"/>
        <v>133</v>
      </c>
      <c r="H717" s="99">
        <f t="shared" ca="1" si="119"/>
        <v>45789</v>
      </c>
      <c r="I717" s="123">
        <f ca="1">HLOOKUP($H$4,'Met Data'!$A$2:$F$368,G717,FALSE)</f>
        <v>13.566666666666601</v>
      </c>
      <c r="J717" s="121">
        <f ca="1">HLOOKUP($H$4,'Met Data'!$H$2:$M$368,G717,FALSE)*L717</f>
        <v>5.86666666666666</v>
      </c>
      <c r="K717" s="100">
        <f ca="1">HLOOKUP($H$4,'Met Data'!$O$2:$T$368,G717,FALSE)</f>
        <v>0.93360919947406795</v>
      </c>
      <c r="L717">
        <f t="shared" ca="1" si="111"/>
        <v>1</v>
      </c>
      <c r="N717" t="e">
        <f t="shared" ca="1" si="112"/>
        <v>#N/A</v>
      </c>
      <c r="O717" t="e">
        <f t="shared" ca="1" si="113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4"/>
        <v>0</v>
      </c>
      <c r="AE717">
        <f t="shared" ca="1" si="115"/>
        <v>0</v>
      </c>
      <c r="AG717" s="65" t="e">
        <f t="shared" ca="1" si="116"/>
        <v>#N/A</v>
      </c>
      <c r="AH717" s="65" t="e">
        <f t="shared" ca="1" si="117"/>
        <v>#N/A</v>
      </c>
      <c r="AI717" s="3" t="e">
        <f t="shared" ca="1" si="118"/>
        <v>#N/A</v>
      </c>
    </row>
    <row r="718" spans="7:35" ht="15" thickBot="1" x14ac:dyDescent="0.35">
      <c r="G718" s="3">
        <f t="shared" ca="1" si="110"/>
        <v>134</v>
      </c>
      <c r="H718" s="99">
        <f t="shared" ca="1" si="119"/>
        <v>45790</v>
      </c>
      <c r="I718" s="123">
        <f ca="1">HLOOKUP($H$4,'Met Data'!$A$2:$F$368,G718,FALSE)</f>
        <v>12.887499999999999</v>
      </c>
      <c r="J718" s="121">
        <f ca="1">HLOOKUP($H$4,'Met Data'!$H$2:$M$368,G718,FALSE)*L718</f>
        <v>5.1666666666666599</v>
      </c>
      <c r="K718" s="100">
        <f ca="1">HLOOKUP($H$4,'Met Data'!$O$2:$T$368,G718,FALSE)</f>
        <v>1.3361527471355901</v>
      </c>
      <c r="L718">
        <f t="shared" ca="1" si="111"/>
        <v>1</v>
      </c>
      <c r="N718" t="e">
        <f t="shared" ca="1" si="112"/>
        <v>#N/A</v>
      </c>
      <c r="O718" t="e">
        <f t="shared" ca="1" si="113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4"/>
        <v>0</v>
      </c>
      <c r="AE718">
        <f t="shared" ca="1" si="115"/>
        <v>0</v>
      </c>
      <c r="AG718" s="65" t="e">
        <f t="shared" ca="1" si="116"/>
        <v>#N/A</v>
      </c>
      <c r="AH718" s="65" t="e">
        <f t="shared" ca="1" si="117"/>
        <v>#N/A</v>
      </c>
      <c r="AI718" s="3" t="e">
        <f t="shared" ca="1" si="118"/>
        <v>#N/A</v>
      </c>
    </row>
    <row r="719" spans="7:35" ht="15" thickBot="1" x14ac:dyDescent="0.35">
      <c r="G719" s="3">
        <f t="shared" ca="1" si="110"/>
        <v>135</v>
      </c>
      <c r="H719" s="99">
        <f t="shared" ca="1" si="119"/>
        <v>45791</v>
      </c>
      <c r="I719" s="123">
        <f ca="1">HLOOKUP($H$4,'Met Data'!$A$2:$F$368,G719,FALSE)</f>
        <v>13</v>
      </c>
      <c r="J719" s="121">
        <f ca="1">HLOOKUP($H$4,'Met Data'!$H$2:$M$368,G719,FALSE)*L719</f>
        <v>4.86666666666666</v>
      </c>
      <c r="K719" s="100">
        <f ca="1">HLOOKUP($H$4,'Met Data'!$O$2:$T$368,G719,FALSE)</f>
        <v>1.1907632624443201</v>
      </c>
      <c r="L719">
        <f t="shared" ca="1" si="111"/>
        <v>1</v>
      </c>
      <c r="N719" t="e">
        <f t="shared" ca="1" si="112"/>
        <v>#N/A</v>
      </c>
      <c r="O719" t="e">
        <f t="shared" ca="1" si="113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4"/>
        <v>0</v>
      </c>
      <c r="AE719">
        <f t="shared" ca="1" si="115"/>
        <v>0</v>
      </c>
      <c r="AG719" s="65" t="e">
        <f t="shared" ca="1" si="116"/>
        <v>#N/A</v>
      </c>
      <c r="AH719" s="65" t="e">
        <f t="shared" ca="1" si="117"/>
        <v>#N/A</v>
      </c>
      <c r="AI719" s="3" t="e">
        <f t="shared" ca="1" si="118"/>
        <v>#N/A</v>
      </c>
    </row>
    <row r="720" spans="7:35" ht="15" thickBot="1" x14ac:dyDescent="0.35">
      <c r="G720" s="3">
        <f t="shared" ca="1" si="110"/>
        <v>136</v>
      </c>
      <c r="H720" s="99">
        <f t="shared" ca="1" si="119"/>
        <v>45792</v>
      </c>
      <c r="I720" s="123">
        <f ca="1">HLOOKUP($H$4,'Met Data'!$A$2:$F$368,G720,FALSE)</f>
        <v>13.470833333333299</v>
      </c>
      <c r="J720" s="121">
        <f ca="1">HLOOKUP($H$4,'Met Data'!$H$2:$M$368,G720,FALSE)*L720</f>
        <v>8.7833333333333297</v>
      </c>
      <c r="K720" s="100">
        <f ca="1">HLOOKUP($H$4,'Met Data'!$O$2:$T$368,G720,FALSE)</f>
        <v>1.16840876605303</v>
      </c>
      <c r="L720">
        <f t="shared" ca="1" si="111"/>
        <v>1</v>
      </c>
      <c r="N720" t="e">
        <f t="shared" ca="1" si="112"/>
        <v>#N/A</v>
      </c>
      <c r="O720" t="e">
        <f t="shared" ca="1" si="113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4"/>
        <v>0</v>
      </c>
      <c r="AE720">
        <f t="shared" ca="1" si="115"/>
        <v>0</v>
      </c>
      <c r="AG720" s="65" t="e">
        <f t="shared" ca="1" si="116"/>
        <v>#N/A</v>
      </c>
      <c r="AH720" s="65" t="e">
        <f t="shared" ca="1" si="117"/>
        <v>#N/A</v>
      </c>
      <c r="AI720" s="3" t="e">
        <f t="shared" ca="1" si="118"/>
        <v>#N/A</v>
      </c>
    </row>
    <row r="721" spans="7:35" ht="15" thickBot="1" x14ac:dyDescent="0.35">
      <c r="G721" s="3">
        <f t="shared" ca="1" si="110"/>
        <v>137</v>
      </c>
      <c r="H721" s="99">
        <f t="shared" ca="1" si="119"/>
        <v>45793</v>
      </c>
      <c r="I721" s="123">
        <f ca="1">HLOOKUP($H$4,'Met Data'!$A$2:$F$368,G721,FALSE)</f>
        <v>12.8666666666666</v>
      </c>
      <c r="J721" s="121">
        <f ca="1">HLOOKUP($H$4,'Met Data'!$H$2:$M$368,G721,FALSE)*L721</f>
        <v>4.86666666666666</v>
      </c>
      <c r="K721" s="100">
        <f ca="1">HLOOKUP($H$4,'Met Data'!$O$2:$T$368,G721,FALSE)</f>
        <v>1.23845839693481</v>
      </c>
      <c r="L721">
        <f t="shared" ca="1" si="111"/>
        <v>1</v>
      </c>
      <c r="N721" t="e">
        <f t="shared" ca="1" si="112"/>
        <v>#N/A</v>
      </c>
      <c r="O721" t="e">
        <f t="shared" ca="1" si="113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4"/>
        <v>0</v>
      </c>
      <c r="AE721">
        <f t="shared" ca="1" si="115"/>
        <v>0</v>
      </c>
      <c r="AG721" s="65" t="e">
        <f t="shared" ca="1" si="116"/>
        <v>#N/A</v>
      </c>
      <c r="AH721" s="65" t="e">
        <f t="shared" ca="1" si="117"/>
        <v>#N/A</v>
      </c>
      <c r="AI721" s="3" t="e">
        <f t="shared" ca="1" si="118"/>
        <v>#N/A</v>
      </c>
    </row>
    <row r="722" spans="7:35" ht="15" thickBot="1" x14ac:dyDescent="0.35">
      <c r="G722" s="3">
        <f t="shared" ca="1" si="110"/>
        <v>138</v>
      </c>
      <c r="H722" s="99">
        <f t="shared" ca="1" si="119"/>
        <v>45794</v>
      </c>
      <c r="I722" s="123">
        <f ca="1">HLOOKUP($H$4,'Met Data'!$A$2:$F$368,G722,FALSE)</f>
        <v>12.237499999999899</v>
      </c>
      <c r="J722" s="121">
        <f ca="1">HLOOKUP($H$4,'Met Data'!$H$2:$M$368,G722,FALSE)*L722</f>
        <v>3.7166666666666601</v>
      </c>
      <c r="K722" s="100">
        <f ca="1">HLOOKUP($H$4,'Met Data'!$O$2:$T$368,G722,FALSE)</f>
        <v>1.3074898165915401</v>
      </c>
      <c r="L722">
        <f t="shared" ca="1" si="111"/>
        <v>1</v>
      </c>
      <c r="N722" t="e">
        <f t="shared" ca="1" si="112"/>
        <v>#N/A</v>
      </c>
      <c r="O722" t="e">
        <f t="shared" ca="1" si="113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4"/>
        <v>0</v>
      </c>
      <c r="AE722">
        <f t="shared" ca="1" si="115"/>
        <v>0</v>
      </c>
      <c r="AG722" s="65" t="e">
        <f t="shared" ca="1" si="116"/>
        <v>#N/A</v>
      </c>
      <c r="AH722" s="65" t="e">
        <f t="shared" ca="1" si="117"/>
        <v>#N/A</v>
      </c>
      <c r="AI722" s="3" t="e">
        <f t="shared" ca="1" si="118"/>
        <v>#N/A</v>
      </c>
    </row>
    <row r="723" spans="7:35" ht="15" thickBot="1" x14ac:dyDescent="0.35">
      <c r="G723" s="3">
        <f t="shared" ca="1" si="110"/>
        <v>139</v>
      </c>
      <c r="H723" s="99">
        <f t="shared" ca="1" si="119"/>
        <v>45795</v>
      </c>
      <c r="I723" s="123">
        <f ca="1">HLOOKUP($H$4,'Met Data'!$A$2:$F$368,G723,FALSE)</f>
        <v>11.595833333333299</v>
      </c>
      <c r="J723" s="121">
        <f ca="1">HLOOKUP($H$4,'Met Data'!$H$2:$M$368,G723,FALSE)*L723</f>
        <v>2.61666666666666</v>
      </c>
      <c r="K723" s="100">
        <f ca="1">HLOOKUP($H$4,'Met Data'!$O$2:$T$368,G723,FALSE)</f>
        <v>1.3321153360432201</v>
      </c>
      <c r="L723">
        <f t="shared" ca="1" si="111"/>
        <v>1</v>
      </c>
      <c r="N723" t="e">
        <f t="shared" ca="1" si="112"/>
        <v>#N/A</v>
      </c>
      <c r="O723" t="e">
        <f t="shared" ca="1" si="113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4"/>
        <v>0</v>
      </c>
      <c r="AE723">
        <f t="shared" ca="1" si="115"/>
        <v>0</v>
      </c>
      <c r="AG723" s="65" t="e">
        <f t="shared" ca="1" si="116"/>
        <v>#N/A</v>
      </c>
      <c r="AH723" s="65" t="e">
        <f t="shared" ca="1" si="117"/>
        <v>#N/A</v>
      </c>
      <c r="AI723" s="3" t="e">
        <f t="shared" ca="1" si="118"/>
        <v>#N/A</v>
      </c>
    </row>
    <row r="724" spans="7:35" ht="15" thickBot="1" x14ac:dyDescent="0.35">
      <c r="G724" s="3">
        <f t="shared" ca="1" si="110"/>
        <v>140</v>
      </c>
      <c r="H724" s="99">
        <f t="shared" ca="1" si="119"/>
        <v>45796</v>
      </c>
      <c r="I724" s="123">
        <f ca="1">HLOOKUP($H$4,'Met Data'!$A$2:$F$368,G724,FALSE)</f>
        <v>11.904166666666599</v>
      </c>
      <c r="J724" s="121">
        <f ca="1">HLOOKUP($H$4,'Met Data'!$H$2:$M$368,G724,FALSE)*L724</f>
        <v>2.35</v>
      </c>
      <c r="K724" s="100">
        <f ca="1">HLOOKUP($H$4,'Met Data'!$O$2:$T$368,G724,FALSE)</f>
        <v>1.2961776408629699</v>
      </c>
      <c r="L724">
        <f t="shared" ca="1" si="111"/>
        <v>1</v>
      </c>
      <c r="N724" t="e">
        <f t="shared" ca="1" si="112"/>
        <v>#N/A</v>
      </c>
      <c r="O724" t="e">
        <f t="shared" ca="1" si="113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4"/>
        <v>0</v>
      </c>
      <c r="AE724">
        <f t="shared" ca="1" si="115"/>
        <v>0</v>
      </c>
      <c r="AG724" s="65" t="e">
        <f t="shared" ca="1" si="116"/>
        <v>#N/A</v>
      </c>
      <c r="AH724" s="65" t="e">
        <f t="shared" ca="1" si="117"/>
        <v>#N/A</v>
      </c>
      <c r="AI724" s="3" t="e">
        <f t="shared" ca="1" si="118"/>
        <v>#N/A</v>
      </c>
    </row>
    <row r="725" spans="7:35" ht="15" thickBot="1" x14ac:dyDescent="0.35">
      <c r="G725" s="3">
        <f t="shared" ca="1" si="110"/>
        <v>141</v>
      </c>
      <c r="H725" s="99">
        <f t="shared" ca="1" si="119"/>
        <v>45797</v>
      </c>
      <c r="I725" s="123">
        <f ca="1">HLOOKUP($H$4,'Met Data'!$A$2:$F$368,G725,FALSE)</f>
        <v>11.762499999999999</v>
      </c>
      <c r="J725" s="121">
        <f ca="1">HLOOKUP($H$4,'Met Data'!$H$2:$M$368,G725,FALSE)*L725</f>
        <v>0.31666666666666599</v>
      </c>
      <c r="K725" s="100">
        <f ca="1">HLOOKUP($H$4,'Met Data'!$O$2:$T$368,G725,FALSE)</f>
        <v>1.26598619456247</v>
      </c>
      <c r="L725">
        <f t="shared" ca="1" si="111"/>
        <v>1</v>
      </c>
      <c r="N725" t="e">
        <f t="shared" ca="1" si="112"/>
        <v>#N/A</v>
      </c>
      <c r="O725" t="e">
        <f t="shared" ca="1" si="113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4"/>
        <v>0</v>
      </c>
      <c r="AE725">
        <f t="shared" ca="1" si="115"/>
        <v>0</v>
      </c>
      <c r="AG725" s="65" t="e">
        <f t="shared" ca="1" si="116"/>
        <v>#N/A</v>
      </c>
      <c r="AH725" s="65" t="e">
        <f t="shared" ca="1" si="117"/>
        <v>#N/A</v>
      </c>
      <c r="AI725" s="3" t="e">
        <f t="shared" ca="1" si="118"/>
        <v>#N/A</v>
      </c>
    </row>
    <row r="726" spans="7:35" ht="15" thickBot="1" x14ac:dyDescent="0.35">
      <c r="G726" s="3">
        <f t="shared" ca="1" si="110"/>
        <v>142</v>
      </c>
      <c r="H726" s="99">
        <f t="shared" ca="1" si="119"/>
        <v>45798</v>
      </c>
      <c r="I726" s="123">
        <f ca="1">HLOOKUP($H$4,'Met Data'!$A$2:$F$368,G726,FALSE)</f>
        <v>11.612500000000001</v>
      </c>
      <c r="J726" s="121">
        <f ca="1">HLOOKUP($H$4,'Met Data'!$H$2:$M$368,G726,FALSE)*L726</f>
        <v>2</v>
      </c>
      <c r="K726" s="100">
        <f ca="1">HLOOKUP($H$4,'Met Data'!$O$2:$T$368,G726,FALSE)</f>
        <v>1.0607063970516699</v>
      </c>
      <c r="L726">
        <f t="shared" ca="1" si="111"/>
        <v>1</v>
      </c>
      <c r="N726" t="e">
        <f t="shared" ca="1" si="112"/>
        <v>#N/A</v>
      </c>
      <c r="O726" t="e">
        <f t="shared" ca="1" si="113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4"/>
        <v>0</v>
      </c>
      <c r="AE726">
        <f t="shared" ca="1" si="115"/>
        <v>0</v>
      </c>
      <c r="AG726" s="65" t="e">
        <f t="shared" ca="1" si="116"/>
        <v>#N/A</v>
      </c>
      <c r="AH726" s="65" t="e">
        <f t="shared" ca="1" si="117"/>
        <v>#N/A</v>
      </c>
      <c r="AI726" s="3" t="e">
        <f t="shared" ca="1" si="118"/>
        <v>#N/A</v>
      </c>
    </row>
    <row r="727" spans="7:35" ht="15" thickBot="1" x14ac:dyDescent="0.35">
      <c r="G727" s="3">
        <f t="shared" ca="1" si="110"/>
        <v>143</v>
      </c>
      <c r="H727" s="99">
        <f t="shared" ca="1" si="119"/>
        <v>45799</v>
      </c>
      <c r="I727" s="123">
        <f ca="1">HLOOKUP($H$4,'Met Data'!$A$2:$F$368,G727,FALSE)</f>
        <v>10.174999999999899</v>
      </c>
      <c r="J727" s="121">
        <f ca="1">HLOOKUP($H$4,'Met Data'!$H$2:$M$368,G727,FALSE)*L727</f>
        <v>2.93333333333333</v>
      </c>
      <c r="K727" s="100">
        <f ca="1">HLOOKUP($H$4,'Met Data'!$O$2:$T$368,G727,FALSE)</f>
        <v>1.10734547072848</v>
      </c>
      <c r="L727">
        <f t="shared" ca="1" si="111"/>
        <v>1</v>
      </c>
      <c r="N727" t="e">
        <f t="shared" ca="1" si="112"/>
        <v>#N/A</v>
      </c>
      <c r="O727" t="e">
        <f t="shared" ca="1" si="113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4"/>
        <v>0</v>
      </c>
      <c r="AE727">
        <f t="shared" ca="1" si="115"/>
        <v>0</v>
      </c>
      <c r="AG727" s="65" t="e">
        <f t="shared" ca="1" si="116"/>
        <v>#N/A</v>
      </c>
      <c r="AH727" s="65" t="e">
        <f t="shared" ca="1" si="117"/>
        <v>#N/A</v>
      </c>
      <c r="AI727" s="3" t="e">
        <f t="shared" ca="1" si="118"/>
        <v>#N/A</v>
      </c>
    </row>
    <row r="728" spans="7:35" ht="15" thickBot="1" x14ac:dyDescent="0.35">
      <c r="G728" s="3">
        <f t="shared" ca="1" si="110"/>
        <v>144</v>
      </c>
      <c r="H728" s="99">
        <f t="shared" ca="1" si="119"/>
        <v>45800</v>
      </c>
      <c r="I728" s="123">
        <f ca="1">HLOOKUP($H$4,'Met Data'!$A$2:$F$368,G728,FALSE)</f>
        <v>10.7416666666666</v>
      </c>
      <c r="J728" s="121">
        <f ca="1">HLOOKUP($H$4,'Met Data'!$H$2:$M$368,G728,FALSE)*L728</f>
        <v>2.8</v>
      </c>
      <c r="K728" s="100">
        <f ca="1">HLOOKUP($H$4,'Met Data'!$O$2:$T$368,G728,FALSE)</f>
        <v>0.94921082080766905</v>
      </c>
      <c r="L728">
        <f t="shared" ca="1" si="111"/>
        <v>1</v>
      </c>
      <c r="N728" t="e">
        <f t="shared" ca="1" si="112"/>
        <v>#N/A</v>
      </c>
      <c r="O728" t="e">
        <f t="shared" ca="1" si="113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4"/>
        <v>0</v>
      </c>
      <c r="AE728">
        <f t="shared" ca="1" si="115"/>
        <v>0</v>
      </c>
      <c r="AG728" s="65" t="e">
        <f t="shared" ca="1" si="116"/>
        <v>#N/A</v>
      </c>
      <c r="AH728" s="65" t="e">
        <f t="shared" ca="1" si="117"/>
        <v>#N/A</v>
      </c>
      <c r="AI728" s="3" t="e">
        <f t="shared" ca="1" si="118"/>
        <v>#N/A</v>
      </c>
    </row>
    <row r="729" spans="7:35" ht="15" thickBot="1" x14ac:dyDescent="0.35">
      <c r="G729" s="3">
        <f t="shared" ca="1" si="110"/>
        <v>145</v>
      </c>
      <c r="H729" s="99">
        <f t="shared" ca="1" si="119"/>
        <v>45801</v>
      </c>
      <c r="I729" s="123">
        <f ca="1">HLOOKUP($H$4,'Met Data'!$A$2:$F$368,G729,FALSE)</f>
        <v>10.983333333333301</v>
      </c>
      <c r="J729" s="121">
        <f ca="1">HLOOKUP($H$4,'Met Data'!$H$2:$M$368,G729,FALSE)*L729</f>
        <v>5.61666666666666</v>
      </c>
      <c r="K729" s="100">
        <f ca="1">HLOOKUP($H$4,'Met Data'!$O$2:$T$368,G729,FALSE)</f>
        <v>0.95593712910075901</v>
      </c>
      <c r="L729">
        <f t="shared" ca="1" si="111"/>
        <v>1</v>
      </c>
      <c r="N729" t="e">
        <f t="shared" ca="1" si="112"/>
        <v>#N/A</v>
      </c>
      <c r="O729" t="e">
        <f t="shared" ca="1" si="113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4"/>
        <v>0</v>
      </c>
      <c r="AE729">
        <f t="shared" ca="1" si="115"/>
        <v>0</v>
      </c>
      <c r="AG729" s="65" t="e">
        <f t="shared" ca="1" si="116"/>
        <v>#N/A</v>
      </c>
      <c r="AH729" s="65" t="e">
        <f t="shared" ca="1" si="117"/>
        <v>#N/A</v>
      </c>
      <c r="AI729" s="3" t="e">
        <f t="shared" ca="1" si="118"/>
        <v>#N/A</v>
      </c>
    </row>
    <row r="730" spans="7:35" ht="15" thickBot="1" x14ac:dyDescent="0.35">
      <c r="G730" s="3">
        <f t="shared" ca="1" si="110"/>
        <v>146</v>
      </c>
      <c r="H730" s="99">
        <f t="shared" ca="1" si="119"/>
        <v>45802</v>
      </c>
      <c r="I730" s="123">
        <f ca="1">HLOOKUP($H$4,'Met Data'!$A$2:$F$368,G730,FALSE)</f>
        <v>10.7666666666666</v>
      </c>
      <c r="J730" s="121">
        <f ca="1">HLOOKUP($H$4,'Met Data'!$H$2:$M$368,G730,FALSE)*L730</f>
        <v>3.1666666666666599</v>
      </c>
      <c r="K730" s="100">
        <f ca="1">HLOOKUP($H$4,'Met Data'!$O$2:$T$368,G730,FALSE)</f>
        <v>0.98597820560947502</v>
      </c>
      <c r="L730">
        <f t="shared" ca="1" si="111"/>
        <v>1</v>
      </c>
      <c r="N730" t="e">
        <f t="shared" ca="1" si="112"/>
        <v>#N/A</v>
      </c>
      <c r="O730" t="e">
        <f t="shared" ca="1" si="113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4"/>
        <v>0</v>
      </c>
      <c r="AE730">
        <f t="shared" ca="1" si="115"/>
        <v>0</v>
      </c>
      <c r="AG730" s="65" t="e">
        <f t="shared" ca="1" si="116"/>
        <v>#N/A</v>
      </c>
      <c r="AH730" s="65" t="e">
        <f t="shared" ca="1" si="117"/>
        <v>#N/A</v>
      </c>
      <c r="AI730" s="3" t="e">
        <f t="shared" ca="1" si="118"/>
        <v>#N/A</v>
      </c>
    </row>
    <row r="731" spans="7:35" ht="15" thickBot="1" x14ac:dyDescent="0.35">
      <c r="G731" s="3">
        <f t="shared" ca="1" si="110"/>
        <v>147</v>
      </c>
      <c r="H731" s="99">
        <f t="shared" ca="1" si="119"/>
        <v>45803</v>
      </c>
      <c r="I731" s="123">
        <f ca="1">HLOOKUP($H$4,'Met Data'!$A$2:$F$368,G731,FALSE)</f>
        <v>11.1833333333333</v>
      </c>
      <c r="J731" s="121">
        <f ca="1">HLOOKUP($H$4,'Met Data'!$H$2:$M$368,G731,FALSE)*L731</f>
        <v>6.1499999999999897</v>
      </c>
      <c r="K731" s="100">
        <f ca="1">HLOOKUP($H$4,'Met Data'!$O$2:$T$368,G731,FALSE)</f>
        <v>1.02530679052105</v>
      </c>
      <c r="L731">
        <f t="shared" ca="1" si="111"/>
        <v>1</v>
      </c>
      <c r="N731" t="e">
        <f t="shared" ca="1" si="112"/>
        <v>#N/A</v>
      </c>
      <c r="O731" t="e">
        <f t="shared" ca="1" si="113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4"/>
        <v>0</v>
      </c>
      <c r="AE731">
        <f t="shared" ca="1" si="115"/>
        <v>0</v>
      </c>
      <c r="AG731" s="65" t="e">
        <f t="shared" ca="1" si="116"/>
        <v>#N/A</v>
      </c>
      <c r="AH731" s="65" t="e">
        <f t="shared" ca="1" si="117"/>
        <v>#N/A</v>
      </c>
      <c r="AI731" s="3" t="e">
        <f t="shared" ca="1" si="118"/>
        <v>#N/A</v>
      </c>
    </row>
    <row r="732" spans="7:35" ht="15" thickBot="1" x14ac:dyDescent="0.35">
      <c r="G732" s="3">
        <f t="shared" ca="1" si="110"/>
        <v>148</v>
      </c>
      <c r="H732" s="99">
        <f t="shared" ca="1" si="119"/>
        <v>45804</v>
      </c>
      <c r="I732" s="123">
        <f ca="1">HLOOKUP($H$4,'Met Data'!$A$2:$F$368,G732,FALSE)</f>
        <v>10.566666666666601</v>
      </c>
      <c r="J732" s="121">
        <f ca="1">HLOOKUP($H$4,'Met Data'!$H$2:$M$368,G732,FALSE)*L732</f>
        <v>2.7666666666666599</v>
      </c>
      <c r="K732" s="100">
        <f ca="1">HLOOKUP($H$4,'Met Data'!$O$2:$T$368,G732,FALSE)</f>
        <v>1.05508542906727</v>
      </c>
      <c r="L732">
        <f t="shared" ca="1" si="111"/>
        <v>1</v>
      </c>
      <c r="N732" t="e">
        <f t="shared" ca="1" si="112"/>
        <v>#N/A</v>
      </c>
      <c r="O732" t="e">
        <f t="shared" ca="1" si="113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4"/>
        <v>0</v>
      </c>
      <c r="AE732">
        <f t="shared" ca="1" si="115"/>
        <v>0</v>
      </c>
      <c r="AG732" s="65" t="e">
        <f t="shared" ca="1" si="116"/>
        <v>#N/A</v>
      </c>
      <c r="AH732" s="65" t="e">
        <f t="shared" ca="1" si="117"/>
        <v>#N/A</v>
      </c>
      <c r="AI732" s="3" t="e">
        <f t="shared" ca="1" si="118"/>
        <v>#N/A</v>
      </c>
    </row>
    <row r="733" spans="7:35" ht="15" thickBot="1" x14ac:dyDescent="0.35">
      <c r="G733" s="3">
        <f t="shared" ca="1" si="110"/>
        <v>149</v>
      </c>
      <c r="H733" s="99">
        <f t="shared" ca="1" si="119"/>
        <v>45805</v>
      </c>
      <c r="I733" s="123">
        <f ca="1">HLOOKUP($H$4,'Met Data'!$A$2:$F$368,G733,FALSE)</f>
        <v>10.283333333333299</v>
      </c>
      <c r="J733" s="121">
        <f ca="1">HLOOKUP($H$4,'Met Data'!$H$2:$M$368,G733,FALSE)*L733</f>
        <v>2.7333333333333298</v>
      </c>
      <c r="K733" s="100">
        <f ca="1">HLOOKUP($H$4,'Met Data'!$O$2:$T$368,G733,FALSE)</f>
        <v>0.96273544691676505</v>
      </c>
      <c r="L733">
        <f t="shared" ca="1" si="111"/>
        <v>1</v>
      </c>
      <c r="N733" t="e">
        <f t="shared" ca="1" si="112"/>
        <v>#N/A</v>
      </c>
      <c r="O733" t="e">
        <f t="shared" ca="1" si="113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4"/>
        <v>0</v>
      </c>
      <c r="AE733">
        <f t="shared" ca="1" si="115"/>
        <v>0</v>
      </c>
      <c r="AG733" s="65" t="e">
        <f t="shared" ca="1" si="116"/>
        <v>#N/A</v>
      </c>
      <c r="AH733" s="65" t="e">
        <f t="shared" ca="1" si="117"/>
        <v>#N/A</v>
      </c>
      <c r="AI733" s="3" t="e">
        <f t="shared" ca="1" si="118"/>
        <v>#N/A</v>
      </c>
    </row>
    <row r="734" spans="7:35" ht="15" thickBot="1" x14ac:dyDescent="0.35">
      <c r="G734" s="3">
        <f t="shared" ca="1" si="110"/>
        <v>150</v>
      </c>
      <c r="H734" s="99">
        <f t="shared" ca="1" si="119"/>
        <v>45806</v>
      </c>
      <c r="I734" s="123">
        <f ca="1">HLOOKUP($H$4,'Met Data'!$A$2:$F$368,G734,FALSE)</f>
        <v>10.8</v>
      </c>
      <c r="J734" s="121">
        <f ca="1">HLOOKUP($H$4,'Met Data'!$H$2:$M$368,G734,FALSE)*L734</f>
        <v>3.2333333333333298</v>
      </c>
      <c r="K734" s="100">
        <f ca="1">HLOOKUP($H$4,'Met Data'!$O$2:$T$368,G734,FALSE)</f>
        <v>1.08816831727148</v>
      </c>
      <c r="L734">
        <f t="shared" ca="1" si="111"/>
        <v>1</v>
      </c>
      <c r="N734" t="e">
        <f t="shared" ca="1" si="112"/>
        <v>#N/A</v>
      </c>
      <c r="O734" t="e">
        <f t="shared" ca="1" si="113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4"/>
        <v>0</v>
      </c>
      <c r="AE734">
        <f t="shared" ca="1" si="115"/>
        <v>0</v>
      </c>
      <c r="AG734" s="65" t="e">
        <f t="shared" ca="1" si="116"/>
        <v>#N/A</v>
      </c>
      <c r="AH734" s="65" t="e">
        <f t="shared" ca="1" si="117"/>
        <v>#N/A</v>
      </c>
      <c r="AI734" s="3" t="e">
        <f t="shared" ca="1" si="118"/>
        <v>#N/A</v>
      </c>
    </row>
    <row r="735" spans="7:35" ht="15" thickBot="1" x14ac:dyDescent="0.35">
      <c r="G735" s="3">
        <f t="shared" ca="1" si="110"/>
        <v>151</v>
      </c>
      <c r="H735" s="99">
        <f t="shared" ca="1" si="119"/>
        <v>45807</v>
      </c>
      <c r="I735" s="123">
        <f ca="1">HLOOKUP($H$4,'Met Data'!$A$2:$F$368,G735,FALSE)</f>
        <v>9.6624999999999996</v>
      </c>
      <c r="J735" s="121">
        <f ca="1">HLOOKUP($H$4,'Met Data'!$H$2:$M$368,G735,FALSE)*L735</f>
        <v>1.88333333333333</v>
      </c>
      <c r="K735" s="100">
        <f ca="1">HLOOKUP($H$4,'Met Data'!$O$2:$T$368,G735,FALSE)</f>
        <v>1.0187040175234601</v>
      </c>
      <c r="L735">
        <f t="shared" ca="1" si="111"/>
        <v>1</v>
      </c>
      <c r="N735" t="e">
        <f t="shared" ca="1" si="112"/>
        <v>#N/A</v>
      </c>
      <c r="O735" t="e">
        <f t="shared" ca="1" si="113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4"/>
        <v>0</v>
      </c>
      <c r="AE735">
        <f t="shared" ca="1" si="115"/>
        <v>0</v>
      </c>
      <c r="AG735" s="65" t="e">
        <f t="shared" ca="1" si="116"/>
        <v>#N/A</v>
      </c>
      <c r="AH735" s="65" t="e">
        <f t="shared" ca="1" si="117"/>
        <v>#N/A</v>
      </c>
      <c r="AI735" s="3" t="e">
        <f t="shared" ca="1" si="118"/>
        <v>#N/A</v>
      </c>
    </row>
    <row r="736" spans="7:35" ht="15" thickBot="1" x14ac:dyDescent="0.35">
      <c r="G736" s="3">
        <f t="shared" ca="1" si="110"/>
        <v>152</v>
      </c>
      <c r="H736" s="99">
        <f t="shared" ca="1" si="119"/>
        <v>45808</v>
      </c>
      <c r="I736" s="123">
        <f ca="1">HLOOKUP($H$4,'Met Data'!$A$2:$F$368,G736,FALSE)</f>
        <v>9.7166666666666597</v>
      </c>
      <c r="J736" s="121">
        <f ca="1">HLOOKUP($H$4,'Met Data'!$H$2:$M$368,G736,FALSE)*L736</f>
        <v>4.7</v>
      </c>
      <c r="K736" s="100">
        <f ca="1">HLOOKUP($H$4,'Met Data'!$O$2:$T$368,G736,FALSE)</f>
        <v>1.10197006718848</v>
      </c>
      <c r="L736">
        <f t="shared" ca="1" si="111"/>
        <v>1</v>
      </c>
      <c r="N736" t="e">
        <f t="shared" ca="1" si="112"/>
        <v>#N/A</v>
      </c>
      <c r="O736" t="e">
        <f t="shared" ca="1" si="113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4"/>
        <v>0</v>
      </c>
      <c r="AE736">
        <f t="shared" ca="1" si="115"/>
        <v>0</v>
      </c>
      <c r="AG736" s="65" t="e">
        <f t="shared" ca="1" si="116"/>
        <v>#N/A</v>
      </c>
      <c r="AH736" s="65" t="e">
        <f t="shared" ca="1" si="117"/>
        <v>#N/A</v>
      </c>
      <c r="AI736" s="3" t="e">
        <f t="shared" ca="1" si="118"/>
        <v>#N/A</v>
      </c>
    </row>
    <row r="737" spans="7:35" ht="15" thickBot="1" x14ac:dyDescent="0.35">
      <c r="G737" s="3">
        <f t="shared" ca="1" si="110"/>
        <v>153</v>
      </c>
      <c r="H737" s="99">
        <f t="shared" ca="1" si="119"/>
        <v>45809</v>
      </c>
      <c r="I737" s="123">
        <f ca="1">HLOOKUP($H$4,'Met Data'!$A$2:$F$368,G737,FALSE)</f>
        <v>10.004166666666601</v>
      </c>
      <c r="J737" s="121">
        <f ca="1">HLOOKUP($H$4,'Met Data'!$H$2:$M$368,G737,FALSE)*L737</f>
        <v>2.5</v>
      </c>
      <c r="K737" s="100">
        <f ca="1">HLOOKUP($H$4,'Met Data'!$O$2:$T$368,G737,FALSE)</f>
        <v>1.1690097853574</v>
      </c>
      <c r="L737">
        <f t="shared" ca="1" si="111"/>
        <v>1</v>
      </c>
      <c r="N737" t="e">
        <f t="shared" ca="1" si="112"/>
        <v>#N/A</v>
      </c>
      <c r="O737" t="e">
        <f t="shared" ca="1" si="113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4"/>
        <v>0</v>
      </c>
      <c r="AE737">
        <f t="shared" ca="1" si="115"/>
        <v>0</v>
      </c>
      <c r="AG737" s="65" t="e">
        <f t="shared" ca="1" si="116"/>
        <v>#N/A</v>
      </c>
      <c r="AH737" s="65" t="e">
        <f t="shared" ca="1" si="117"/>
        <v>#N/A</v>
      </c>
      <c r="AI737" s="3" t="e">
        <f t="shared" ca="1" si="118"/>
        <v>#N/A</v>
      </c>
    </row>
    <row r="738" spans="7:35" ht="15" thickBot="1" x14ac:dyDescent="0.35">
      <c r="G738" s="3">
        <f t="shared" ca="1" si="110"/>
        <v>154</v>
      </c>
      <c r="H738" s="99">
        <f t="shared" ca="1" si="119"/>
        <v>45810</v>
      </c>
      <c r="I738" s="123">
        <f ca="1">HLOOKUP($H$4,'Met Data'!$A$2:$F$368,G738,FALSE)</f>
        <v>9.99583333333333</v>
      </c>
      <c r="J738" s="121">
        <f ca="1">HLOOKUP($H$4,'Met Data'!$H$2:$M$368,G738,FALSE)*L738</f>
        <v>2.7833333333333301</v>
      </c>
      <c r="K738" s="100">
        <f ca="1">HLOOKUP($H$4,'Met Data'!$O$2:$T$368,G738,FALSE)</f>
        <v>1.0280895768516001</v>
      </c>
      <c r="L738">
        <f t="shared" ca="1" si="111"/>
        <v>1</v>
      </c>
      <c r="N738" t="e">
        <f t="shared" ca="1" si="112"/>
        <v>#N/A</v>
      </c>
      <c r="O738" t="e">
        <f t="shared" ca="1" si="113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4"/>
        <v>0</v>
      </c>
      <c r="AE738">
        <f t="shared" ca="1" si="115"/>
        <v>0</v>
      </c>
      <c r="AG738" s="65" t="e">
        <f t="shared" ca="1" si="116"/>
        <v>#N/A</v>
      </c>
      <c r="AH738" s="65" t="e">
        <f t="shared" ca="1" si="117"/>
        <v>#N/A</v>
      </c>
      <c r="AI738" s="3" t="e">
        <f t="shared" ca="1" si="118"/>
        <v>#N/A</v>
      </c>
    </row>
    <row r="739" spans="7:35" ht="15" thickBot="1" x14ac:dyDescent="0.35">
      <c r="G739" s="3">
        <f t="shared" ca="1" si="110"/>
        <v>155</v>
      </c>
      <c r="H739" s="99">
        <f t="shared" ca="1" si="119"/>
        <v>45811</v>
      </c>
      <c r="I739" s="123">
        <f ca="1">HLOOKUP($H$4,'Met Data'!$A$2:$F$368,G739,FALSE)</f>
        <v>9.8999999999999897</v>
      </c>
      <c r="J739" s="121">
        <f ca="1">HLOOKUP($H$4,'Met Data'!$H$2:$M$368,G739,FALSE)*L739</f>
        <v>1.7833333333333301</v>
      </c>
      <c r="K739" s="100">
        <f ca="1">HLOOKUP($H$4,'Met Data'!$O$2:$T$368,G739,FALSE)</f>
        <v>0.97110296937720297</v>
      </c>
      <c r="L739">
        <f t="shared" ca="1" si="111"/>
        <v>1</v>
      </c>
      <c r="N739" t="e">
        <f t="shared" ca="1" si="112"/>
        <v>#N/A</v>
      </c>
      <c r="O739" t="e">
        <f t="shared" ca="1" si="113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4"/>
        <v>0</v>
      </c>
      <c r="AE739">
        <f t="shared" ca="1" si="115"/>
        <v>0</v>
      </c>
      <c r="AG739" s="65" t="e">
        <f t="shared" ca="1" si="116"/>
        <v>#N/A</v>
      </c>
      <c r="AH739" s="65" t="e">
        <f t="shared" ca="1" si="117"/>
        <v>#N/A</v>
      </c>
      <c r="AI739" s="3" t="e">
        <f t="shared" ca="1" si="118"/>
        <v>#N/A</v>
      </c>
    </row>
    <row r="740" spans="7:35" ht="15" thickBot="1" x14ac:dyDescent="0.35">
      <c r="G740" s="3">
        <f t="shared" ca="1" si="110"/>
        <v>156</v>
      </c>
      <c r="H740" s="99">
        <f t="shared" ca="1" si="119"/>
        <v>45812</v>
      </c>
      <c r="I740" s="123">
        <f ca="1">HLOOKUP($H$4,'Met Data'!$A$2:$F$368,G740,FALSE)</f>
        <v>10.95</v>
      </c>
      <c r="J740" s="121">
        <f ca="1">HLOOKUP($H$4,'Met Data'!$H$2:$M$368,G740,FALSE)*L740</f>
        <v>2.44999999999999</v>
      </c>
      <c r="K740" s="100">
        <f ca="1">HLOOKUP($H$4,'Met Data'!$O$2:$T$368,G740,FALSE)</f>
        <v>0.960770877493487</v>
      </c>
      <c r="L740">
        <f t="shared" ca="1" si="111"/>
        <v>1</v>
      </c>
      <c r="N740" t="e">
        <f t="shared" ca="1" si="112"/>
        <v>#N/A</v>
      </c>
      <c r="O740" t="e">
        <f t="shared" ca="1" si="113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4"/>
        <v>0</v>
      </c>
      <c r="AE740">
        <f t="shared" ca="1" si="115"/>
        <v>0</v>
      </c>
      <c r="AG740" s="65" t="e">
        <f t="shared" ca="1" si="116"/>
        <v>#N/A</v>
      </c>
      <c r="AH740" s="65" t="e">
        <f t="shared" ca="1" si="117"/>
        <v>#N/A</v>
      </c>
      <c r="AI740" s="3" t="e">
        <f t="shared" ca="1" si="118"/>
        <v>#N/A</v>
      </c>
    </row>
    <row r="741" spans="7:35" ht="15" thickBot="1" x14ac:dyDescent="0.35">
      <c r="G741" s="3">
        <f t="shared" ca="1" si="110"/>
        <v>157</v>
      </c>
      <c r="H741" s="99">
        <f t="shared" ca="1" si="119"/>
        <v>45813</v>
      </c>
      <c r="I741" s="123">
        <f ca="1">HLOOKUP($H$4,'Met Data'!$A$2:$F$368,G741,FALSE)</f>
        <v>10.6875</v>
      </c>
      <c r="J741" s="121">
        <f ca="1">HLOOKUP($H$4,'Met Data'!$H$2:$M$368,G741,FALSE)*L741</f>
        <v>4.1333333333333302</v>
      </c>
      <c r="K741" s="100">
        <f ca="1">HLOOKUP($H$4,'Met Data'!$O$2:$T$368,G741,FALSE)</f>
        <v>0.84332690198160198</v>
      </c>
      <c r="L741">
        <f t="shared" ca="1" si="111"/>
        <v>1</v>
      </c>
      <c r="N741" t="e">
        <f t="shared" ca="1" si="112"/>
        <v>#N/A</v>
      </c>
      <c r="O741" t="e">
        <f t="shared" ca="1" si="113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4"/>
        <v>0</v>
      </c>
      <c r="AE741">
        <f t="shared" ca="1" si="115"/>
        <v>0</v>
      </c>
      <c r="AG741" s="65" t="e">
        <f t="shared" ca="1" si="116"/>
        <v>#N/A</v>
      </c>
      <c r="AH741" s="65" t="e">
        <f t="shared" ca="1" si="117"/>
        <v>#N/A</v>
      </c>
      <c r="AI741" s="3" t="e">
        <f t="shared" ca="1" si="118"/>
        <v>#N/A</v>
      </c>
    </row>
    <row r="742" spans="7:35" ht="15" thickBot="1" x14ac:dyDescent="0.35">
      <c r="G742" s="3">
        <f t="shared" ca="1" si="110"/>
        <v>158</v>
      </c>
      <c r="H742" s="99">
        <f t="shared" ca="1" si="119"/>
        <v>45814</v>
      </c>
      <c r="I742" s="123">
        <f ca="1">HLOOKUP($H$4,'Met Data'!$A$2:$F$368,G742,FALSE)</f>
        <v>10.5625</v>
      </c>
      <c r="J742" s="121">
        <f ca="1">HLOOKUP($H$4,'Met Data'!$H$2:$M$368,G742,FALSE)*L742</f>
        <v>5.3</v>
      </c>
      <c r="K742" s="100">
        <f ca="1">HLOOKUP($H$4,'Met Data'!$O$2:$T$368,G742,FALSE)</f>
        <v>0.93242759876210701</v>
      </c>
      <c r="L742">
        <f t="shared" ca="1" si="111"/>
        <v>1</v>
      </c>
      <c r="N742" t="e">
        <f t="shared" ca="1" si="112"/>
        <v>#N/A</v>
      </c>
      <c r="O742" t="e">
        <f t="shared" ca="1" si="113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4"/>
        <v>0</v>
      </c>
      <c r="AE742">
        <f t="shared" ca="1" si="115"/>
        <v>0</v>
      </c>
      <c r="AG742" s="65" t="e">
        <f t="shared" ca="1" si="116"/>
        <v>#N/A</v>
      </c>
      <c r="AH742" s="65" t="e">
        <f t="shared" ca="1" si="117"/>
        <v>#N/A</v>
      </c>
      <c r="AI742" s="3" t="e">
        <f t="shared" ca="1" si="118"/>
        <v>#N/A</v>
      </c>
    </row>
    <row r="743" spans="7:35" ht="15" thickBot="1" x14ac:dyDescent="0.35">
      <c r="G743" s="3">
        <f t="shared" ca="1" si="110"/>
        <v>159</v>
      </c>
      <c r="H743" s="99">
        <f t="shared" ca="1" si="119"/>
        <v>45815</v>
      </c>
      <c r="I743" s="123">
        <f ca="1">HLOOKUP($H$4,'Met Data'!$A$2:$F$368,G743,FALSE)</f>
        <v>10.4625</v>
      </c>
      <c r="J743" s="121">
        <f ca="1">HLOOKUP($H$4,'Met Data'!$H$2:$M$368,G743,FALSE)*L743</f>
        <v>2.44999999999999</v>
      </c>
      <c r="K743" s="100">
        <f ca="1">HLOOKUP($H$4,'Met Data'!$O$2:$T$368,G743,FALSE)</f>
        <v>0.99912564942381998</v>
      </c>
      <c r="L743">
        <f t="shared" ca="1" si="111"/>
        <v>1</v>
      </c>
      <c r="N743" t="e">
        <f t="shared" ca="1" si="112"/>
        <v>#N/A</v>
      </c>
      <c r="O743" t="e">
        <f t="shared" ca="1" si="113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4"/>
        <v>0</v>
      </c>
      <c r="AE743">
        <f t="shared" ca="1" si="115"/>
        <v>0</v>
      </c>
      <c r="AG743" s="65" t="e">
        <f t="shared" ca="1" si="116"/>
        <v>#N/A</v>
      </c>
      <c r="AH743" s="65" t="e">
        <f t="shared" ca="1" si="117"/>
        <v>#N/A</v>
      </c>
      <c r="AI743" s="3" t="e">
        <f t="shared" ca="1" si="118"/>
        <v>#N/A</v>
      </c>
    </row>
    <row r="744" spans="7:35" ht="15" thickBot="1" x14ac:dyDescent="0.35">
      <c r="G744" s="3">
        <f t="shared" ca="1" si="110"/>
        <v>160</v>
      </c>
      <c r="H744" s="99">
        <f t="shared" ca="1" si="119"/>
        <v>45816</v>
      </c>
      <c r="I744" s="123">
        <f ca="1">HLOOKUP($H$4,'Met Data'!$A$2:$F$368,G744,FALSE)</f>
        <v>9.5875000000000004</v>
      </c>
      <c r="J744" s="121">
        <f ca="1">HLOOKUP($H$4,'Met Data'!$H$2:$M$368,G744,FALSE)*L744</f>
        <v>1.7333333333333301</v>
      </c>
      <c r="K744" s="100">
        <f ca="1">HLOOKUP($H$4,'Met Data'!$O$2:$T$368,G744,FALSE)</f>
        <v>1.0839051549829499</v>
      </c>
      <c r="L744">
        <f t="shared" ca="1" si="111"/>
        <v>1</v>
      </c>
      <c r="N744" t="e">
        <f t="shared" ca="1" si="112"/>
        <v>#N/A</v>
      </c>
      <c r="O744" t="e">
        <f t="shared" ca="1" si="113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4"/>
        <v>0</v>
      </c>
      <c r="AE744">
        <f t="shared" ca="1" si="115"/>
        <v>0</v>
      </c>
      <c r="AG744" s="65" t="e">
        <f t="shared" ca="1" si="116"/>
        <v>#N/A</v>
      </c>
      <c r="AH744" s="65" t="e">
        <f t="shared" ca="1" si="117"/>
        <v>#N/A</v>
      </c>
      <c r="AI744" s="3" t="e">
        <f t="shared" ca="1" si="118"/>
        <v>#N/A</v>
      </c>
    </row>
    <row r="745" spans="7:35" ht="15" thickBot="1" x14ac:dyDescent="0.35">
      <c r="G745" s="3">
        <f t="shared" ca="1" si="110"/>
        <v>161</v>
      </c>
      <c r="H745" s="99">
        <f t="shared" ca="1" si="119"/>
        <v>45817</v>
      </c>
      <c r="I745" s="123">
        <f ca="1">HLOOKUP($H$4,'Met Data'!$A$2:$F$368,G745,FALSE)</f>
        <v>9.4875000000000007</v>
      </c>
      <c r="J745" s="121">
        <f ca="1">HLOOKUP($H$4,'Met Data'!$H$2:$M$368,G745,FALSE)*L745</f>
        <v>1.55</v>
      </c>
      <c r="K745" s="100">
        <f ca="1">HLOOKUP($H$4,'Met Data'!$O$2:$T$368,G745,FALSE)</f>
        <v>0.94567596592895498</v>
      </c>
      <c r="L745">
        <f t="shared" ca="1" si="111"/>
        <v>1</v>
      </c>
      <c r="N745" t="e">
        <f t="shared" ca="1" si="112"/>
        <v>#N/A</v>
      </c>
      <c r="O745" t="e">
        <f t="shared" ca="1" si="113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4"/>
        <v>0</v>
      </c>
      <c r="AE745">
        <f t="shared" ca="1" si="115"/>
        <v>0</v>
      </c>
      <c r="AG745" s="65" t="e">
        <f t="shared" ca="1" si="116"/>
        <v>#N/A</v>
      </c>
      <c r="AH745" s="65" t="e">
        <f t="shared" ca="1" si="117"/>
        <v>#N/A</v>
      </c>
      <c r="AI745" s="3" t="e">
        <f t="shared" ca="1" si="118"/>
        <v>#N/A</v>
      </c>
    </row>
    <row r="746" spans="7:35" ht="15" thickBot="1" x14ac:dyDescent="0.35">
      <c r="G746" s="3">
        <f t="shared" ca="1" si="110"/>
        <v>162</v>
      </c>
      <c r="H746" s="99">
        <f t="shared" ca="1" si="119"/>
        <v>45818</v>
      </c>
      <c r="I746" s="123">
        <f ca="1">HLOOKUP($H$4,'Met Data'!$A$2:$F$368,G746,FALSE)</f>
        <v>10.9</v>
      </c>
      <c r="J746" s="121">
        <f ca="1">HLOOKUP($H$4,'Met Data'!$H$2:$M$368,G746,FALSE)*L746</f>
        <v>4.8363636363636298</v>
      </c>
      <c r="K746" s="100">
        <f ca="1">HLOOKUP($H$4,'Met Data'!$O$2:$T$368,G746,FALSE)</f>
        <v>0.77149259834587403</v>
      </c>
      <c r="L746">
        <f t="shared" ca="1" si="111"/>
        <v>1</v>
      </c>
      <c r="N746" t="e">
        <f t="shared" ca="1" si="112"/>
        <v>#N/A</v>
      </c>
      <c r="O746" t="e">
        <f t="shared" ca="1" si="113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4"/>
        <v>0</v>
      </c>
      <c r="AE746">
        <f t="shared" ca="1" si="115"/>
        <v>0</v>
      </c>
      <c r="AG746" s="65" t="e">
        <f t="shared" ca="1" si="116"/>
        <v>#N/A</v>
      </c>
      <c r="AH746" s="65" t="e">
        <f t="shared" ca="1" si="117"/>
        <v>#N/A</v>
      </c>
      <c r="AI746" s="3" t="e">
        <f t="shared" ca="1" si="118"/>
        <v>#N/A</v>
      </c>
    </row>
    <row r="747" spans="7:35" ht="15" thickBot="1" x14ac:dyDescent="0.35">
      <c r="G747" s="3">
        <f t="shared" ca="1" si="110"/>
        <v>163</v>
      </c>
      <c r="H747" s="99">
        <f t="shared" ca="1" si="119"/>
        <v>45819</v>
      </c>
      <c r="I747" s="123">
        <f ca="1">HLOOKUP($H$4,'Met Data'!$A$2:$F$368,G747,FALSE)</f>
        <v>10.8954545454545</v>
      </c>
      <c r="J747" s="121">
        <f ca="1">HLOOKUP($H$4,'Met Data'!$H$2:$M$368,G747,FALSE)*L747</f>
        <v>7.1454545454545402</v>
      </c>
      <c r="K747" s="100">
        <f ca="1">HLOOKUP($H$4,'Met Data'!$O$2:$T$368,G747,FALSE)</f>
        <v>0.76887644299908198</v>
      </c>
      <c r="L747">
        <f t="shared" ca="1" si="111"/>
        <v>1</v>
      </c>
      <c r="N747" t="e">
        <f t="shared" ca="1" si="112"/>
        <v>#N/A</v>
      </c>
      <c r="O747" t="e">
        <f t="shared" ca="1" si="113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4"/>
        <v>0</v>
      </c>
      <c r="AE747">
        <f t="shared" ca="1" si="115"/>
        <v>0</v>
      </c>
      <c r="AG747" s="65" t="e">
        <f t="shared" ca="1" si="116"/>
        <v>#N/A</v>
      </c>
      <c r="AH747" s="65" t="e">
        <f t="shared" ca="1" si="117"/>
        <v>#N/A</v>
      </c>
      <c r="AI747" s="3" t="e">
        <f t="shared" ca="1" si="118"/>
        <v>#N/A</v>
      </c>
    </row>
    <row r="748" spans="7:35" ht="15" thickBot="1" x14ac:dyDescent="0.35">
      <c r="G748" s="3">
        <f t="shared" ca="1" si="110"/>
        <v>164</v>
      </c>
      <c r="H748" s="99">
        <f t="shared" ca="1" si="119"/>
        <v>45820</v>
      </c>
      <c r="I748" s="123">
        <f ca="1">HLOOKUP($H$4,'Met Data'!$A$2:$F$368,G748,FALSE)</f>
        <v>11.8375</v>
      </c>
      <c r="J748" s="121">
        <f ca="1">HLOOKUP($H$4,'Met Data'!$H$2:$M$368,G748,FALSE)*L748</f>
        <v>0.88333333333333297</v>
      </c>
      <c r="K748" s="100">
        <f ca="1">HLOOKUP($H$4,'Met Data'!$O$2:$T$368,G748,FALSE)</f>
        <v>0.886573255907814</v>
      </c>
      <c r="L748">
        <f t="shared" ca="1" si="111"/>
        <v>1</v>
      </c>
      <c r="N748" t="e">
        <f t="shared" ca="1" si="112"/>
        <v>#N/A</v>
      </c>
      <c r="O748" t="e">
        <f t="shared" ca="1" si="113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4"/>
        <v>0</v>
      </c>
      <c r="AE748">
        <f t="shared" ca="1" si="115"/>
        <v>0</v>
      </c>
      <c r="AG748" s="65" t="e">
        <f t="shared" ca="1" si="116"/>
        <v>#N/A</v>
      </c>
      <c r="AH748" s="65" t="e">
        <f t="shared" ca="1" si="117"/>
        <v>#N/A</v>
      </c>
      <c r="AI748" s="3" t="e">
        <f t="shared" ca="1" si="118"/>
        <v>#N/A</v>
      </c>
    </row>
    <row r="749" spans="7:35" ht="15" thickBot="1" x14ac:dyDescent="0.35">
      <c r="G749" s="3">
        <f t="shared" ca="1" si="110"/>
        <v>165</v>
      </c>
      <c r="H749" s="99">
        <f t="shared" ca="1" si="119"/>
        <v>45821</v>
      </c>
      <c r="I749" s="123">
        <f ca="1">HLOOKUP($H$4,'Met Data'!$A$2:$F$368,G749,FALSE)</f>
        <v>10.4916666666666</v>
      </c>
      <c r="J749" s="121">
        <f ca="1">HLOOKUP($H$4,'Met Data'!$H$2:$M$368,G749,FALSE)*L749</f>
        <v>5.3166666666666602</v>
      </c>
      <c r="K749" s="100">
        <f ca="1">HLOOKUP($H$4,'Met Data'!$O$2:$T$368,G749,FALSE)</f>
        <v>0.75300621765048603</v>
      </c>
      <c r="L749">
        <f t="shared" ca="1" si="111"/>
        <v>1</v>
      </c>
      <c r="N749" t="e">
        <f t="shared" ca="1" si="112"/>
        <v>#N/A</v>
      </c>
      <c r="O749" t="e">
        <f t="shared" ca="1" si="113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4"/>
        <v>0</v>
      </c>
      <c r="AE749">
        <f t="shared" ca="1" si="115"/>
        <v>0</v>
      </c>
      <c r="AG749" s="65" t="e">
        <f t="shared" ca="1" si="116"/>
        <v>#N/A</v>
      </c>
      <c r="AH749" s="65" t="e">
        <f t="shared" ca="1" si="117"/>
        <v>#N/A</v>
      </c>
      <c r="AI749" s="3" t="e">
        <f t="shared" ca="1" si="118"/>
        <v>#N/A</v>
      </c>
    </row>
    <row r="750" spans="7:35" ht="15" thickBot="1" x14ac:dyDescent="0.35">
      <c r="G750" s="3">
        <f t="shared" ca="1" si="110"/>
        <v>166</v>
      </c>
      <c r="H750" s="99">
        <f t="shared" ca="1" si="119"/>
        <v>45822</v>
      </c>
      <c r="I750" s="123">
        <f ca="1">HLOOKUP($H$4,'Met Data'!$A$2:$F$368,G750,FALSE)</f>
        <v>10.133333333333301</v>
      </c>
      <c r="J750" s="121">
        <f ca="1">HLOOKUP($H$4,'Met Data'!$H$2:$M$368,G750,FALSE)*L750</f>
        <v>1.2</v>
      </c>
      <c r="K750" s="100">
        <f ca="1">HLOOKUP($H$4,'Met Data'!$O$2:$T$368,G750,FALSE)</f>
        <v>1.0949815777606999</v>
      </c>
      <c r="L750">
        <f t="shared" ca="1" si="111"/>
        <v>1</v>
      </c>
      <c r="N750" t="e">
        <f t="shared" ca="1" si="112"/>
        <v>#N/A</v>
      </c>
      <c r="O750" t="e">
        <f t="shared" ca="1" si="113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4"/>
        <v>0</v>
      </c>
      <c r="AE750">
        <f t="shared" ca="1" si="115"/>
        <v>0</v>
      </c>
      <c r="AG750" s="65" t="e">
        <f t="shared" ca="1" si="116"/>
        <v>#N/A</v>
      </c>
      <c r="AH750" s="65" t="e">
        <f t="shared" ca="1" si="117"/>
        <v>#N/A</v>
      </c>
      <c r="AI750" s="3" t="e">
        <f t="shared" ca="1" si="118"/>
        <v>#N/A</v>
      </c>
    </row>
    <row r="751" spans="7:35" ht="15" thickBot="1" x14ac:dyDescent="0.35">
      <c r="G751" s="3">
        <f t="shared" ca="1" si="110"/>
        <v>167</v>
      </c>
      <c r="H751" s="99">
        <f t="shared" ca="1" si="119"/>
        <v>45823</v>
      </c>
      <c r="I751" s="123">
        <f ca="1">HLOOKUP($H$4,'Met Data'!$A$2:$F$368,G751,FALSE)</f>
        <v>9.0291666666666597</v>
      </c>
      <c r="J751" s="121">
        <f ca="1">HLOOKUP($H$4,'Met Data'!$H$2:$M$368,G751,FALSE)*L751</f>
        <v>2.0499999999999998</v>
      </c>
      <c r="K751" s="100">
        <f ca="1">HLOOKUP($H$4,'Met Data'!$O$2:$T$368,G751,FALSE)</f>
        <v>0.76363291076582096</v>
      </c>
      <c r="L751">
        <f t="shared" ca="1" si="111"/>
        <v>1</v>
      </c>
      <c r="N751" t="e">
        <f t="shared" ca="1" si="112"/>
        <v>#N/A</v>
      </c>
      <c r="O751" t="e">
        <f t="shared" ca="1" si="113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4"/>
        <v>0</v>
      </c>
      <c r="AE751">
        <f t="shared" ca="1" si="115"/>
        <v>0</v>
      </c>
      <c r="AG751" s="65" t="e">
        <f t="shared" ca="1" si="116"/>
        <v>#N/A</v>
      </c>
      <c r="AH751" s="65" t="e">
        <f t="shared" ca="1" si="117"/>
        <v>#N/A</v>
      </c>
      <c r="AI751" s="3" t="e">
        <f t="shared" ca="1" si="118"/>
        <v>#N/A</v>
      </c>
    </row>
    <row r="752" spans="7:35" ht="15" thickBot="1" x14ac:dyDescent="0.35">
      <c r="G752" s="3">
        <f t="shared" ref="G752:G815" ca="1" si="120">H752-DATE(YEAR(H752),1,0)+1</f>
        <v>168</v>
      </c>
      <c r="H752" s="99">
        <f t="shared" ca="1" si="119"/>
        <v>45824</v>
      </c>
      <c r="I752" s="123">
        <f ca="1">HLOOKUP($H$4,'Met Data'!$A$2:$F$368,G752,FALSE)</f>
        <v>10.125</v>
      </c>
      <c r="J752" s="121">
        <f ca="1">HLOOKUP($H$4,'Met Data'!$H$2:$M$368,G752,FALSE)*L752</f>
        <v>2.68333333333333</v>
      </c>
      <c r="K752" s="100">
        <f ca="1">HLOOKUP($H$4,'Met Data'!$O$2:$T$368,G752,FALSE)</f>
        <v>0.84633721178312304</v>
      </c>
      <c r="L752">
        <f t="shared" ref="L752:L815" ca="1" si="121">IF(H752&lt;$B$31,$J$3,$J$4)</f>
        <v>1</v>
      </c>
      <c r="N752" t="e">
        <f t="shared" ref="N752:N815" ca="1" si="122">IF(P752&lt;$P$3,TRUE,FALSE)</f>
        <v>#N/A</v>
      </c>
      <c r="O752" t="e">
        <f t="shared" ref="O752:O815" ca="1" si="123">AND(IF(P752&gt;($P$2-1),TRUE,FALSE),IF(P752&lt;($P$3+1),TRUE,FALSE))</f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ref="AD752:AD815" ca="1" si="124">IFERROR(P752,$AD$4)</f>
        <v>0</v>
      </c>
      <c r="AE752">
        <f t="shared" ref="AE752:AE815" ca="1" si="125">IFERROR(U752,0)</f>
        <v>0</v>
      </c>
      <c r="AG752" s="65" t="e">
        <f t="shared" ref="AG752:AG815" ca="1" si="126">Q751+S752+T752+U752</f>
        <v>#N/A</v>
      </c>
      <c r="AH752" s="65" t="e">
        <f t="shared" ref="AH752:AH815" ca="1" si="127">Q752+R752+X752</f>
        <v>#N/A</v>
      </c>
      <c r="AI752" s="3" t="e">
        <f t="shared" ref="AI752:AI815" ca="1" si="128">AH752-AG752</f>
        <v>#N/A</v>
      </c>
    </row>
    <row r="753" spans="7:35" ht="15" thickBot="1" x14ac:dyDescent="0.35">
      <c r="G753" s="3">
        <f t="shared" ca="1" si="120"/>
        <v>169</v>
      </c>
      <c r="H753" s="99">
        <f t="shared" ca="1" si="119"/>
        <v>45825</v>
      </c>
      <c r="I753" s="123">
        <f ca="1">HLOOKUP($H$4,'Met Data'!$A$2:$F$368,G753,FALSE)</f>
        <v>10.2291666666666</v>
      </c>
      <c r="J753" s="121">
        <f ca="1">HLOOKUP($H$4,'Met Data'!$H$2:$M$368,G753,FALSE)*L753</f>
        <v>2.5333333333333301</v>
      </c>
      <c r="K753" s="100">
        <f ca="1">HLOOKUP($H$4,'Met Data'!$O$2:$T$368,G753,FALSE)</f>
        <v>0.91611783655738799</v>
      </c>
      <c r="L753">
        <f t="shared" ca="1" si="121"/>
        <v>1</v>
      </c>
      <c r="N753" t="e">
        <f t="shared" ca="1" si="122"/>
        <v>#N/A</v>
      </c>
      <c r="O753" t="e">
        <f t="shared" ca="1" si="123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ca="1" si="124"/>
        <v>0</v>
      </c>
      <c r="AE753">
        <f t="shared" ca="1" si="125"/>
        <v>0</v>
      </c>
      <c r="AG753" s="65" t="e">
        <f t="shared" ca="1" si="126"/>
        <v>#N/A</v>
      </c>
      <c r="AH753" s="65" t="e">
        <f t="shared" ca="1" si="127"/>
        <v>#N/A</v>
      </c>
      <c r="AI753" s="3" t="e">
        <f t="shared" ca="1" si="128"/>
        <v>#N/A</v>
      </c>
    </row>
    <row r="754" spans="7:35" ht="15" thickBot="1" x14ac:dyDescent="0.35">
      <c r="G754" s="3">
        <f t="shared" ca="1" si="120"/>
        <v>170</v>
      </c>
      <c r="H754" s="99">
        <f t="shared" ca="1" si="119"/>
        <v>45826</v>
      </c>
      <c r="I754" s="123">
        <f ca="1">HLOOKUP($H$4,'Met Data'!$A$2:$F$368,G754,FALSE)</f>
        <v>10.316666666666601</v>
      </c>
      <c r="J754" s="121">
        <f ca="1">HLOOKUP($H$4,'Met Data'!$H$2:$M$368,G754,FALSE)*L754</f>
        <v>5.5</v>
      </c>
      <c r="K754" s="100">
        <f ca="1">HLOOKUP($H$4,'Met Data'!$O$2:$T$368,G754,FALSE)</f>
        <v>0.749895043982166</v>
      </c>
      <c r="L754">
        <f t="shared" ca="1" si="121"/>
        <v>1</v>
      </c>
      <c r="N754" t="e">
        <f t="shared" ca="1" si="122"/>
        <v>#N/A</v>
      </c>
      <c r="O754" t="e">
        <f t="shared" ca="1" si="123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4"/>
        <v>0</v>
      </c>
      <c r="AE754">
        <f t="shared" ca="1" si="125"/>
        <v>0</v>
      </c>
      <c r="AG754" s="65" t="e">
        <f t="shared" ca="1" si="126"/>
        <v>#N/A</v>
      </c>
      <c r="AH754" s="65" t="e">
        <f t="shared" ca="1" si="127"/>
        <v>#N/A</v>
      </c>
      <c r="AI754" s="3" t="e">
        <f t="shared" ca="1" si="128"/>
        <v>#N/A</v>
      </c>
    </row>
    <row r="755" spans="7:35" ht="15" thickBot="1" x14ac:dyDescent="0.35">
      <c r="G755" s="3">
        <f t="shared" ca="1" si="120"/>
        <v>171</v>
      </c>
      <c r="H755" s="99">
        <f t="shared" ca="1" si="119"/>
        <v>45827</v>
      </c>
      <c r="I755" s="123">
        <f ca="1">HLOOKUP($H$4,'Met Data'!$A$2:$F$368,G755,FALSE)</f>
        <v>10.6666666666666</v>
      </c>
      <c r="J755" s="121">
        <f ca="1">HLOOKUP($H$4,'Met Data'!$H$2:$M$368,G755,FALSE)*L755</f>
        <v>11.883333333333301</v>
      </c>
      <c r="K755" s="100">
        <f ca="1">HLOOKUP($H$4,'Met Data'!$O$2:$T$368,G755,FALSE)</f>
        <v>0.72031723210574305</v>
      </c>
      <c r="L755">
        <f t="shared" ca="1" si="121"/>
        <v>1</v>
      </c>
      <c r="N755" t="e">
        <f t="shared" ca="1" si="122"/>
        <v>#N/A</v>
      </c>
      <c r="O755" t="e">
        <f t="shared" ca="1" si="123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4"/>
        <v>0</v>
      </c>
      <c r="AE755">
        <f t="shared" ca="1" si="125"/>
        <v>0</v>
      </c>
      <c r="AG755" s="65" t="e">
        <f t="shared" ca="1" si="126"/>
        <v>#N/A</v>
      </c>
      <c r="AH755" s="65" t="e">
        <f t="shared" ca="1" si="127"/>
        <v>#N/A</v>
      </c>
      <c r="AI755" s="3" t="e">
        <f t="shared" ca="1" si="128"/>
        <v>#N/A</v>
      </c>
    </row>
    <row r="756" spans="7:35" ht="15" thickBot="1" x14ac:dyDescent="0.35">
      <c r="G756" s="3">
        <f t="shared" ca="1" si="120"/>
        <v>172</v>
      </c>
      <c r="H756" s="99">
        <f t="shared" ca="1" si="119"/>
        <v>45828</v>
      </c>
      <c r="I756" s="123">
        <f ca="1">HLOOKUP($H$4,'Met Data'!$A$2:$F$368,G756,FALSE)</f>
        <v>10.6181818181818</v>
      </c>
      <c r="J756" s="121">
        <f ca="1">HLOOKUP($H$4,'Met Data'!$H$2:$M$368,G756,FALSE)*L756</f>
        <v>9.0181818181818105</v>
      </c>
      <c r="K756" s="100">
        <f ca="1">HLOOKUP($H$4,'Met Data'!$O$2:$T$368,G756,FALSE)</f>
        <v>0.829345309973199</v>
      </c>
      <c r="L756">
        <f t="shared" ca="1" si="121"/>
        <v>1</v>
      </c>
      <c r="N756" t="e">
        <f t="shared" ca="1" si="122"/>
        <v>#N/A</v>
      </c>
      <c r="O756" t="e">
        <f t="shared" ca="1" si="123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4"/>
        <v>0</v>
      </c>
      <c r="AE756">
        <f t="shared" ca="1" si="125"/>
        <v>0</v>
      </c>
      <c r="AG756" s="65" t="e">
        <f t="shared" ca="1" si="126"/>
        <v>#N/A</v>
      </c>
      <c r="AH756" s="65" t="e">
        <f t="shared" ca="1" si="127"/>
        <v>#N/A</v>
      </c>
      <c r="AI756" s="3" t="e">
        <f t="shared" ca="1" si="128"/>
        <v>#N/A</v>
      </c>
    </row>
    <row r="757" spans="7:35" ht="15" thickBot="1" x14ac:dyDescent="0.35">
      <c r="G757" s="3">
        <f t="shared" ca="1" si="120"/>
        <v>173</v>
      </c>
      <c r="H757" s="99">
        <f t="shared" ca="1" si="119"/>
        <v>45829</v>
      </c>
      <c r="I757" s="123">
        <f ca="1">HLOOKUP($H$4,'Met Data'!$A$2:$F$368,G757,FALSE)</f>
        <v>10.0318181818181</v>
      </c>
      <c r="J757" s="121">
        <f ca="1">HLOOKUP($H$4,'Met Data'!$H$2:$M$368,G757,FALSE)*L757</f>
        <v>1.9090909090909001</v>
      </c>
      <c r="K757" s="100">
        <f ca="1">HLOOKUP($H$4,'Met Data'!$O$2:$T$368,G757,FALSE)</f>
        <v>0.90574236110997597</v>
      </c>
      <c r="L757">
        <f t="shared" ca="1" si="121"/>
        <v>1</v>
      </c>
      <c r="N757" t="e">
        <f t="shared" ca="1" si="122"/>
        <v>#N/A</v>
      </c>
      <c r="O757" t="e">
        <f t="shared" ca="1" si="123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4"/>
        <v>0</v>
      </c>
      <c r="AE757">
        <f t="shared" ca="1" si="125"/>
        <v>0</v>
      </c>
      <c r="AG757" s="65" t="e">
        <f t="shared" ca="1" si="126"/>
        <v>#N/A</v>
      </c>
      <c r="AH757" s="65" t="e">
        <f t="shared" ca="1" si="127"/>
        <v>#N/A</v>
      </c>
      <c r="AI757" s="3" t="e">
        <f t="shared" ca="1" si="128"/>
        <v>#N/A</v>
      </c>
    </row>
    <row r="758" spans="7:35" ht="15" thickBot="1" x14ac:dyDescent="0.35">
      <c r="G758" s="3">
        <f t="shared" ca="1" si="120"/>
        <v>174</v>
      </c>
      <c r="H758" s="99">
        <f t="shared" ca="1" si="119"/>
        <v>45830</v>
      </c>
      <c r="I758" s="123">
        <f ca="1">HLOOKUP($H$4,'Met Data'!$A$2:$F$368,G758,FALSE)</f>
        <v>8.9727272727272709</v>
      </c>
      <c r="J758" s="121">
        <f ca="1">HLOOKUP($H$4,'Met Data'!$H$2:$M$368,G758,FALSE)*L758</f>
        <v>1.9636363636363601</v>
      </c>
      <c r="K758" s="100">
        <f ca="1">HLOOKUP($H$4,'Met Data'!$O$2:$T$368,G758,FALSE)</f>
        <v>0.89904843691310898</v>
      </c>
      <c r="L758">
        <f t="shared" ca="1" si="121"/>
        <v>1</v>
      </c>
      <c r="N758" t="e">
        <f t="shared" ca="1" si="122"/>
        <v>#N/A</v>
      </c>
      <c r="O758" t="e">
        <f t="shared" ca="1" si="123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4"/>
        <v>0</v>
      </c>
      <c r="AE758">
        <f t="shared" ca="1" si="125"/>
        <v>0</v>
      </c>
      <c r="AG758" s="65" t="e">
        <f t="shared" ca="1" si="126"/>
        <v>#N/A</v>
      </c>
      <c r="AH758" s="65" t="e">
        <f t="shared" ca="1" si="127"/>
        <v>#N/A</v>
      </c>
      <c r="AI758" s="3" t="e">
        <f t="shared" ca="1" si="128"/>
        <v>#N/A</v>
      </c>
    </row>
    <row r="759" spans="7:35" ht="15" thickBot="1" x14ac:dyDescent="0.35">
      <c r="G759" s="3">
        <f t="shared" ca="1" si="120"/>
        <v>175</v>
      </c>
      <c r="H759" s="99">
        <f t="shared" ca="1" si="119"/>
        <v>45831</v>
      </c>
      <c r="I759" s="123">
        <f ca="1">HLOOKUP($H$4,'Met Data'!$A$2:$F$368,G759,FALSE)</f>
        <v>9.0227272727272698</v>
      </c>
      <c r="J759" s="121">
        <f ca="1">HLOOKUP($H$4,'Met Data'!$H$2:$M$368,G759,FALSE)*L759</f>
        <v>3.0181818181818101</v>
      </c>
      <c r="K759" s="100">
        <f ca="1">HLOOKUP($H$4,'Met Data'!$O$2:$T$368,G759,FALSE)</f>
        <v>0.82913615112138495</v>
      </c>
      <c r="L759">
        <f t="shared" ca="1" si="121"/>
        <v>1</v>
      </c>
      <c r="N759" t="e">
        <f t="shared" ca="1" si="122"/>
        <v>#N/A</v>
      </c>
      <c r="O759" t="e">
        <f t="shared" ca="1" si="123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4"/>
        <v>0</v>
      </c>
      <c r="AE759">
        <f t="shared" ca="1" si="125"/>
        <v>0</v>
      </c>
      <c r="AG759" s="65" t="e">
        <f t="shared" ca="1" si="126"/>
        <v>#N/A</v>
      </c>
      <c r="AH759" s="65" t="e">
        <f t="shared" ca="1" si="127"/>
        <v>#N/A</v>
      </c>
      <c r="AI759" s="3" t="e">
        <f t="shared" ca="1" si="128"/>
        <v>#N/A</v>
      </c>
    </row>
    <row r="760" spans="7:35" ht="15" thickBot="1" x14ac:dyDescent="0.35">
      <c r="G760" s="3">
        <f t="shared" ca="1" si="120"/>
        <v>176</v>
      </c>
      <c r="H760" s="99">
        <f t="shared" ca="1" si="119"/>
        <v>45832</v>
      </c>
      <c r="I760" s="123">
        <f ca="1">HLOOKUP($H$4,'Met Data'!$A$2:$F$368,G760,FALSE)</f>
        <v>10.3590909090909</v>
      </c>
      <c r="J760" s="121">
        <f ca="1">HLOOKUP($H$4,'Met Data'!$H$2:$M$368,G760,FALSE)*L760</f>
        <v>3.7454545454545398</v>
      </c>
      <c r="K760" s="100">
        <f ca="1">HLOOKUP($H$4,'Met Data'!$O$2:$T$368,G760,FALSE)</f>
        <v>0.88746237543267503</v>
      </c>
      <c r="L760">
        <f t="shared" ca="1" si="121"/>
        <v>1</v>
      </c>
      <c r="N760" t="e">
        <f t="shared" ca="1" si="122"/>
        <v>#N/A</v>
      </c>
      <c r="O760" t="e">
        <f t="shared" ca="1" si="123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4"/>
        <v>0</v>
      </c>
      <c r="AE760">
        <f t="shared" ca="1" si="125"/>
        <v>0</v>
      </c>
      <c r="AG760" s="65" t="e">
        <f t="shared" ca="1" si="126"/>
        <v>#N/A</v>
      </c>
      <c r="AH760" s="65" t="e">
        <f t="shared" ca="1" si="127"/>
        <v>#N/A</v>
      </c>
      <c r="AI760" s="3" t="e">
        <f t="shared" ca="1" si="128"/>
        <v>#N/A</v>
      </c>
    </row>
    <row r="761" spans="7:35" ht="15" thickBot="1" x14ac:dyDescent="0.35">
      <c r="G761" s="3">
        <f t="shared" ca="1" si="120"/>
        <v>177</v>
      </c>
      <c r="H761" s="99">
        <f t="shared" ca="1" si="119"/>
        <v>45833</v>
      </c>
      <c r="I761" s="123">
        <f ca="1">HLOOKUP($H$4,'Met Data'!$A$2:$F$368,G761,FALSE)</f>
        <v>9.5090909090909097</v>
      </c>
      <c r="J761" s="121">
        <f ca="1">HLOOKUP($H$4,'Met Data'!$H$2:$M$368,G761,FALSE)*L761</f>
        <v>3.1090909090909</v>
      </c>
      <c r="K761" s="100">
        <f ca="1">HLOOKUP($H$4,'Met Data'!$O$2:$T$368,G761,FALSE)</f>
        <v>0.97866599470650895</v>
      </c>
      <c r="L761">
        <f t="shared" ca="1" si="121"/>
        <v>1</v>
      </c>
      <c r="N761" t="e">
        <f t="shared" ca="1" si="122"/>
        <v>#N/A</v>
      </c>
      <c r="O761" t="e">
        <f t="shared" ca="1" si="123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4"/>
        <v>0</v>
      </c>
      <c r="AE761">
        <f t="shared" ca="1" si="125"/>
        <v>0</v>
      </c>
      <c r="AG761" s="65" t="e">
        <f t="shared" ca="1" si="126"/>
        <v>#N/A</v>
      </c>
      <c r="AH761" s="65" t="e">
        <f t="shared" ca="1" si="127"/>
        <v>#N/A</v>
      </c>
      <c r="AI761" s="3" t="e">
        <f t="shared" ca="1" si="128"/>
        <v>#N/A</v>
      </c>
    </row>
    <row r="762" spans="7:35" ht="15" thickBot="1" x14ac:dyDescent="0.35">
      <c r="G762" s="3">
        <f t="shared" ca="1" si="120"/>
        <v>178</v>
      </c>
      <c r="H762" s="99">
        <f t="shared" ca="1" si="119"/>
        <v>45834</v>
      </c>
      <c r="I762" s="123">
        <f ca="1">HLOOKUP($H$4,'Met Data'!$A$2:$F$368,G762,FALSE)</f>
        <v>9.1272727272727199</v>
      </c>
      <c r="J762" s="121">
        <f ca="1">HLOOKUP($H$4,'Met Data'!$H$2:$M$368,G762,FALSE)*L762</f>
        <v>1.25454545454545</v>
      </c>
      <c r="K762" s="100">
        <f ca="1">HLOOKUP($H$4,'Met Data'!$O$2:$T$368,G762,FALSE)</f>
        <v>1.0040569739087299</v>
      </c>
      <c r="L762">
        <f t="shared" ca="1" si="121"/>
        <v>1</v>
      </c>
      <c r="N762" t="e">
        <f t="shared" ca="1" si="122"/>
        <v>#N/A</v>
      </c>
      <c r="O762" t="e">
        <f t="shared" ca="1" si="123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4"/>
        <v>0</v>
      </c>
      <c r="AE762">
        <f t="shared" ca="1" si="125"/>
        <v>0</v>
      </c>
      <c r="AG762" s="65" t="e">
        <f t="shared" ca="1" si="126"/>
        <v>#N/A</v>
      </c>
      <c r="AH762" s="65" t="e">
        <f t="shared" ca="1" si="127"/>
        <v>#N/A</v>
      </c>
      <c r="AI762" s="3" t="e">
        <f t="shared" ca="1" si="128"/>
        <v>#N/A</v>
      </c>
    </row>
    <row r="763" spans="7:35" ht="15" thickBot="1" x14ac:dyDescent="0.35">
      <c r="G763" s="3">
        <f t="shared" ca="1" si="120"/>
        <v>179</v>
      </c>
      <c r="H763" s="99">
        <f t="shared" ca="1" si="119"/>
        <v>45835</v>
      </c>
      <c r="I763" s="123">
        <f ca="1">HLOOKUP($H$4,'Met Data'!$A$2:$F$368,G763,FALSE)</f>
        <v>8.7727272727272698</v>
      </c>
      <c r="J763" s="121">
        <f ca="1">HLOOKUP($H$4,'Met Data'!$H$2:$M$368,G763,FALSE)*L763</f>
        <v>2.9818181818181801</v>
      </c>
      <c r="K763" s="100">
        <f ca="1">HLOOKUP($H$4,'Met Data'!$O$2:$T$368,G763,FALSE)</f>
        <v>0.89055521132494797</v>
      </c>
      <c r="L763">
        <f t="shared" ca="1" si="121"/>
        <v>1</v>
      </c>
      <c r="N763" t="e">
        <f t="shared" ca="1" si="122"/>
        <v>#N/A</v>
      </c>
      <c r="O763" t="e">
        <f t="shared" ca="1" si="123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4"/>
        <v>0</v>
      </c>
      <c r="AE763">
        <f t="shared" ca="1" si="125"/>
        <v>0</v>
      </c>
      <c r="AG763" s="65" t="e">
        <f t="shared" ca="1" si="126"/>
        <v>#N/A</v>
      </c>
      <c r="AH763" s="65" t="e">
        <f t="shared" ca="1" si="127"/>
        <v>#N/A</v>
      </c>
      <c r="AI763" s="3" t="e">
        <f t="shared" ca="1" si="128"/>
        <v>#N/A</v>
      </c>
    </row>
    <row r="764" spans="7:35" ht="15" thickBot="1" x14ac:dyDescent="0.35">
      <c r="G764" s="3">
        <f t="shared" ca="1" si="120"/>
        <v>180</v>
      </c>
      <c r="H764" s="99">
        <f t="shared" ca="1" si="119"/>
        <v>45836</v>
      </c>
      <c r="I764" s="123">
        <f ca="1">HLOOKUP($H$4,'Met Data'!$A$2:$F$368,G764,FALSE)</f>
        <v>8.8363636363636306</v>
      </c>
      <c r="J764" s="121">
        <f ca="1">HLOOKUP($H$4,'Met Data'!$H$2:$M$368,G764,FALSE)*L764</f>
        <v>0.90909090909090895</v>
      </c>
      <c r="K764" s="100">
        <f ca="1">HLOOKUP($H$4,'Met Data'!$O$2:$T$368,G764,FALSE)</f>
        <v>0.949335994975394</v>
      </c>
      <c r="L764">
        <f t="shared" ca="1" si="121"/>
        <v>1</v>
      </c>
      <c r="N764" t="e">
        <f t="shared" ca="1" si="122"/>
        <v>#N/A</v>
      </c>
      <c r="O764" t="e">
        <f t="shared" ca="1" si="123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4"/>
        <v>0</v>
      </c>
      <c r="AE764">
        <f t="shared" ca="1" si="125"/>
        <v>0</v>
      </c>
      <c r="AG764" s="65" t="e">
        <f t="shared" ca="1" si="126"/>
        <v>#N/A</v>
      </c>
      <c r="AH764" s="65" t="e">
        <f t="shared" ca="1" si="127"/>
        <v>#N/A</v>
      </c>
      <c r="AI764" s="3" t="e">
        <f t="shared" ca="1" si="128"/>
        <v>#N/A</v>
      </c>
    </row>
    <row r="765" spans="7:35" ht="15" thickBot="1" x14ac:dyDescent="0.35">
      <c r="G765" s="3">
        <f t="shared" ca="1" si="120"/>
        <v>181</v>
      </c>
      <c r="H765" s="99">
        <f t="shared" ca="1" si="119"/>
        <v>45837</v>
      </c>
      <c r="I765" s="123">
        <f ca="1">HLOOKUP($H$4,'Met Data'!$A$2:$F$368,G765,FALSE)</f>
        <v>8.7136363636363594</v>
      </c>
      <c r="J765" s="121">
        <f ca="1">HLOOKUP($H$4,'Met Data'!$H$2:$M$368,G765,FALSE)*L765</f>
        <v>1.7833333333333301</v>
      </c>
      <c r="K765" s="100">
        <f ca="1">HLOOKUP($H$4,'Met Data'!$O$2:$T$368,G765,FALSE)</f>
        <v>0.92539172734817898</v>
      </c>
      <c r="L765">
        <f t="shared" ca="1" si="121"/>
        <v>1</v>
      </c>
      <c r="N765" t="e">
        <f t="shared" ca="1" si="122"/>
        <v>#N/A</v>
      </c>
      <c r="O765" t="e">
        <f t="shared" ca="1" si="123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4"/>
        <v>0</v>
      </c>
      <c r="AE765">
        <f t="shared" ca="1" si="125"/>
        <v>0</v>
      </c>
      <c r="AG765" s="65" t="e">
        <f t="shared" ca="1" si="126"/>
        <v>#N/A</v>
      </c>
      <c r="AH765" s="65" t="e">
        <f t="shared" ca="1" si="127"/>
        <v>#N/A</v>
      </c>
      <c r="AI765" s="3" t="e">
        <f t="shared" ca="1" si="128"/>
        <v>#N/A</v>
      </c>
    </row>
    <row r="766" spans="7:35" ht="15" thickBot="1" x14ac:dyDescent="0.35">
      <c r="G766" s="3">
        <f t="shared" ca="1" si="120"/>
        <v>182</v>
      </c>
      <c r="H766" s="99">
        <f t="shared" ca="1" si="119"/>
        <v>45838</v>
      </c>
      <c r="I766" s="123">
        <f ca="1">HLOOKUP($H$4,'Met Data'!$A$2:$F$368,G766,FALSE)</f>
        <v>8.5291666666666597</v>
      </c>
      <c r="J766" s="121">
        <f ca="1">HLOOKUP($H$4,'Met Data'!$H$2:$M$368,G766,FALSE)*L766</f>
        <v>2.5833333333333299</v>
      </c>
      <c r="K766" s="100">
        <f ca="1">HLOOKUP($H$4,'Met Data'!$O$2:$T$368,G766,FALSE)</f>
        <v>0.82623977006466498</v>
      </c>
      <c r="L766">
        <f t="shared" ca="1" si="121"/>
        <v>1</v>
      </c>
      <c r="N766" t="e">
        <f t="shared" ca="1" si="122"/>
        <v>#N/A</v>
      </c>
      <c r="O766" t="e">
        <f t="shared" ca="1" si="123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4"/>
        <v>0</v>
      </c>
      <c r="AE766">
        <f t="shared" ca="1" si="125"/>
        <v>0</v>
      </c>
      <c r="AG766" s="65" t="e">
        <f t="shared" ca="1" si="126"/>
        <v>#N/A</v>
      </c>
      <c r="AH766" s="65" t="e">
        <f t="shared" ca="1" si="127"/>
        <v>#N/A</v>
      </c>
      <c r="AI766" s="3" t="e">
        <f t="shared" ca="1" si="128"/>
        <v>#N/A</v>
      </c>
    </row>
    <row r="767" spans="7:35" ht="15" thickBot="1" x14ac:dyDescent="0.35">
      <c r="G767" s="3">
        <f t="shared" ca="1" si="120"/>
        <v>183</v>
      </c>
      <c r="H767" s="99">
        <f t="shared" ca="1" si="119"/>
        <v>45839</v>
      </c>
      <c r="I767" s="123">
        <f ca="1">HLOOKUP($H$4,'Met Data'!$A$2:$F$368,G767,FALSE)</f>
        <v>8.8208333333333293</v>
      </c>
      <c r="J767" s="121">
        <f ca="1">HLOOKUP($H$4,'Met Data'!$H$2:$M$368,G767,FALSE)*L767</f>
        <v>2.1333333333333302</v>
      </c>
      <c r="K767" s="100">
        <f ca="1">HLOOKUP($H$4,'Met Data'!$O$2:$T$368,G767,FALSE)</f>
        <v>0.80690048817841498</v>
      </c>
      <c r="L767">
        <f t="shared" ca="1" si="121"/>
        <v>1</v>
      </c>
      <c r="N767" t="e">
        <f t="shared" ca="1" si="122"/>
        <v>#N/A</v>
      </c>
      <c r="O767" t="e">
        <f t="shared" ca="1" si="123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4"/>
        <v>0</v>
      </c>
      <c r="AE767">
        <f t="shared" ca="1" si="125"/>
        <v>0</v>
      </c>
      <c r="AG767" s="65" t="e">
        <f t="shared" ca="1" si="126"/>
        <v>#N/A</v>
      </c>
      <c r="AH767" s="65" t="e">
        <f t="shared" ca="1" si="127"/>
        <v>#N/A</v>
      </c>
      <c r="AI767" s="3" t="e">
        <f t="shared" ca="1" si="128"/>
        <v>#N/A</v>
      </c>
    </row>
    <row r="768" spans="7:35" ht="15" thickBot="1" x14ac:dyDescent="0.35">
      <c r="G768" s="3">
        <f t="shared" ca="1" si="120"/>
        <v>184</v>
      </c>
      <c r="H768" s="99">
        <f t="shared" ca="1" si="119"/>
        <v>45840</v>
      </c>
      <c r="I768" s="123">
        <f ca="1">HLOOKUP($H$4,'Met Data'!$A$2:$F$368,G768,FALSE)</f>
        <v>8.2249999999999996</v>
      </c>
      <c r="J768" s="121">
        <f ca="1">HLOOKUP($H$4,'Met Data'!$H$2:$M$368,G768,FALSE)*L768</f>
        <v>0.83333333333333304</v>
      </c>
      <c r="K768" s="100">
        <f ca="1">HLOOKUP($H$4,'Met Data'!$O$2:$T$368,G768,FALSE)</f>
        <v>1.0149186441071101</v>
      </c>
      <c r="L768">
        <f t="shared" ca="1" si="121"/>
        <v>1</v>
      </c>
      <c r="N768" t="e">
        <f t="shared" ca="1" si="122"/>
        <v>#N/A</v>
      </c>
      <c r="O768" t="e">
        <f t="shared" ca="1" si="123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4"/>
        <v>0</v>
      </c>
      <c r="AE768">
        <f t="shared" ca="1" si="125"/>
        <v>0</v>
      </c>
      <c r="AG768" s="65" t="e">
        <f t="shared" ca="1" si="126"/>
        <v>#N/A</v>
      </c>
      <c r="AH768" s="65" t="e">
        <f t="shared" ca="1" si="127"/>
        <v>#N/A</v>
      </c>
      <c r="AI768" s="3" t="e">
        <f t="shared" ca="1" si="128"/>
        <v>#N/A</v>
      </c>
    </row>
    <row r="769" spans="7:35" ht="15" thickBot="1" x14ac:dyDescent="0.35">
      <c r="G769" s="3">
        <f t="shared" ca="1" si="120"/>
        <v>185</v>
      </c>
      <c r="H769" s="99">
        <f t="shared" ca="1" si="119"/>
        <v>45841</v>
      </c>
      <c r="I769" s="123">
        <f ca="1">HLOOKUP($H$4,'Met Data'!$A$2:$F$368,G769,FALSE)</f>
        <v>8.8333333333333304</v>
      </c>
      <c r="J769" s="121">
        <f ca="1">HLOOKUP($H$4,'Met Data'!$H$2:$M$368,G769,FALSE)*L769</f>
        <v>3.5666666666666602</v>
      </c>
      <c r="K769" s="100">
        <f ca="1">HLOOKUP($H$4,'Met Data'!$O$2:$T$368,G769,FALSE)</f>
        <v>0.89125379504041602</v>
      </c>
      <c r="L769">
        <f t="shared" ca="1" si="121"/>
        <v>1</v>
      </c>
      <c r="N769" t="e">
        <f t="shared" ca="1" si="122"/>
        <v>#N/A</v>
      </c>
      <c r="O769" t="e">
        <f t="shared" ca="1" si="123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4"/>
        <v>0</v>
      </c>
      <c r="AE769">
        <f t="shared" ca="1" si="125"/>
        <v>0</v>
      </c>
      <c r="AG769" s="65" t="e">
        <f t="shared" ca="1" si="126"/>
        <v>#N/A</v>
      </c>
      <c r="AH769" s="65" t="e">
        <f t="shared" ca="1" si="127"/>
        <v>#N/A</v>
      </c>
      <c r="AI769" s="3" t="e">
        <f t="shared" ca="1" si="128"/>
        <v>#N/A</v>
      </c>
    </row>
    <row r="770" spans="7:35" ht="15" thickBot="1" x14ac:dyDescent="0.35">
      <c r="G770" s="3">
        <f t="shared" ca="1" si="120"/>
        <v>186</v>
      </c>
      <c r="H770" s="99">
        <f t="shared" ca="1" si="119"/>
        <v>45842</v>
      </c>
      <c r="I770" s="123">
        <f ca="1">HLOOKUP($H$4,'Met Data'!$A$2:$F$368,G770,FALSE)</f>
        <v>8.6</v>
      </c>
      <c r="J770" s="121">
        <f ca="1">HLOOKUP($H$4,'Met Data'!$H$2:$M$368,G770,FALSE)*L770</f>
        <v>0.73333333333333295</v>
      </c>
      <c r="K770" s="100">
        <f ca="1">HLOOKUP($H$4,'Met Data'!$O$2:$T$368,G770,FALSE)</f>
        <v>0.87224086772784204</v>
      </c>
      <c r="L770">
        <f t="shared" ca="1" si="121"/>
        <v>1</v>
      </c>
      <c r="N770" t="e">
        <f t="shared" ca="1" si="122"/>
        <v>#N/A</v>
      </c>
      <c r="O770" t="e">
        <f t="shared" ca="1" si="123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4"/>
        <v>0</v>
      </c>
      <c r="AE770">
        <f t="shared" ca="1" si="125"/>
        <v>0</v>
      </c>
      <c r="AG770" s="65" t="e">
        <f t="shared" ca="1" si="126"/>
        <v>#N/A</v>
      </c>
      <c r="AH770" s="65" t="e">
        <f t="shared" ca="1" si="127"/>
        <v>#N/A</v>
      </c>
      <c r="AI770" s="3" t="e">
        <f t="shared" ca="1" si="128"/>
        <v>#N/A</v>
      </c>
    </row>
    <row r="771" spans="7:35" ht="15" thickBot="1" x14ac:dyDescent="0.35">
      <c r="G771" s="3">
        <f t="shared" ca="1" si="120"/>
        <v>187</v>
      </c>
      <c r="H771" s="99">
        <f t="shared" ca="1" si="119"/>
        <v>45843</v>
      </c>
      <c r="I771" s="123">
        <f ca="1">HLOOKUP($H$4,'Met Data'!$A$2:$F$368,G771,FALSE)</f>
        <v>9.4</v>
      </c>
      <c r="J771" s="121">
        <f ca="1">HLOOKUP($H$4,'Met Data'!$H$2:$M$368,G771,FALSE)*L771</f>
        <v>9.9999999999999895E-2</v>
      </c>
      <c r="K771" s="100">
        <f ca="1">HLOOKUP($H$4,'Met Data'!$O$2:$T$368,G771,FALSE)</f>
        <v>0.96939333533810901</v>
      </c>
      <c r="L771">
        <f t="shared" ca="1" si="121"/>
        <v>1</v>
      </c>
      <c r="N771" t="e">
        <f t="shared" ca="1" si="122"/>
        <v>#N/A</v>
      </c>
      <c r="O771" t="e">
        <f t="shared" ca="1" si="123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4"/>
        <v>0</v>
      </c>
      <c r="AE771">
        <f t="shared" ca="1" si="125"/>
        <v>0</v>
      </c>
      <c r="AG771" s="65" t="e">
        <f t="shared" ca="1" si="126"/>
        <v>#N/A</v>
      </c>
      <c r="AH771" s="65" t="e">
        <f t="shared" ca="1" si="127"/>
        <v>#N/A</v>
      </c>
      <c r="AI771" s="3" t="e">
        <f t="shared" ca="1" si="128"/>
        <v>#N/A</v>
      </c>
    </row>
    <row r="772" spans="7:35" ht="15" thickBot="1" x14ac:dyDescent="0.35">
      <c r="G772" s="3">
        <f t="shared" ca="1" si="120"/>
        <v>188</v>
      </c>
      <c r="H772" s="99">
        <f t="shared" ca="1" si="119"/>
        <v>45844</v>
      </c>
      <c r="I772" s="123">
        <f ca="1">HLOOKUP($H$4,'Met Data'!$A$2:$F$368,G772,FALSE)</f>
        <v>9.12083333333333</v>
      </c>
      <c r="J772" s="121">
        <f ca="1">HLOOKUP($H$4,'Met Data'!$H$2:$M$368,G772,FALSE)*L772</f>
        <v>2.18333333333333</v>
      </c>
      <c r="K772" s="100">
        <f ca="1">HLOOKUP($H$4,'Met Data'!$O$2:$T$368,G772,FALSE)</f>
        <v>0.851628840058262</v>
      </c>
      <c r="L772">
        <f t="shared" ca="1" si="121"/>
        <v>1</v>
      </c>
      <c r="N772" t="e">
        <f t="shared" ca="1" si="122"/>
        <v>#N/A</v>
      </c>
      <c r="O772" t="e">
        <f t="shared" ca="1" si="123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4"/>
        <v>0</v>
      </c>
      <c r="AE772">
        <f t="shared" ca="1" si="125"/>
        <v>0</v>
      </c>
      <c r="AG772" s="65" t="e">
        <f t="shared" ca="1" si="126"/>
        <v>#N/A</v>
      </c>
      <c r="AH772" s="65" t="e">
        <f t="shared" ca="1" si="127"/>
        <v>#N/A</v>
      </c>
      <c r="AI772" s="3" t="e">
        <f t="shared" ca="1" si="128"/>
        <v>#N/A</v>
      </c>
    </row>
    <row r="773" spans="7:35" ht="15" thickBot="1" x14ac:dyDescent="0.35">
      <c r="G773" s="3">
        <f t="shared" ca="1" si="120"/>
        <v>189</v>
      </c>
      <c r="H773" s="99">
        <f t="shared" ca="1" si="119"/>
        <v>45845</v>
      </c>
      <c r="I773" s="123">
        <f ca="1">HLOOKUP($H$4,'Met Data'!$A$2:$F$368,G773,FALSE)</f>
        <v>9.6583333333333297</v>
      </c>
      <c r="J773" s="121">
        <f ca="1">HLOOKUP($H$4,'Met Data'!$H$2:$M$368,G773,FALSE)*L773</f>
        <v>4.5666666666666602</v>
      </c>
      <c r="K773" s="100">
        <f ca="1">HLOOKUP($H$4,'Met Data'!$O$2:$T$368,G773,FALSE)</f>
        <v>0.80851868655974801</v>
      </c>
      <c r="L773">
        <f t="shared" ca="1" si="121"/>
        <v>1</v>
      </c>
      <c r="N773" t="e">
        <f t="shared" ca="1" si="122"/>
        <v>#N/A</v>
      </c>
      <c r="O773" t="e">
        <f t="shared" ca="1" si="123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4"/>
        <v>0</v>
      </c>
      <c r="AE773">
        <f t="shared" ca="1" si="125"/>
        <v>0</v>
      </c>
      <c r="AG773" s="65" t="e">
        <f t="shared" ca="1" si="126"/>
        <v>#N/A</v>
      </c>
      <c r="AH773" s="65" t="e">
        <f t="shared" ca="1" si="127"/>
        <v>#N/A</v>
      </c>
      <c r="AI773" s="3" t="e">
        <f t="shared" ca="1" si="128"/>
        <v>#N/A</v>
      </c>
    </row>
    <row r="774" spans="7:35" ht="15" thickBot="1" x14ac:dyDescent="0.35">
      <c r="G774" s="3">
        <f t="shared" ca="1" si="120"/>
        <v>190</v>
      </c>
      <c r="H774" s="99">
        <f t="shared" ca="1" si="119"/>
        <v>45846</v>
      </c>
      <c r="I774" s="123">
        <f ca="1">HLOOKUP($H$4,'Met Data'!$A$2:$F$368,G774,FALSE)</f>
        <v>8.5291666666666597</v>
      </c>
      <c r="J774" s="121">
        <f ca="1">HLOOKUP($H$4,'Met Data'!$H$2:$M$368,G774,FALSE)*L774</f>
        <v>3.7833333333333301</v>
      </c>
      <c r="K774" s="100">
        <f ca="1">HLOOKUP($H$4,'Met Data'!$O$2:$T$368,G774,FALSE)</f>
        <v>1.09493770994468</v>
      </c>
      <c r="L774">
        <f t="shared" ca="1" si="121"/>
        <v>1</v>
      </c>
      <c r="N774" t="e">
        <f t="shared" ca="1" si="122"/>
        <v>#N/A</v>
      </c>
      <c r="O774" t="e">
        <f t="shared" ca="1" si="123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4"/>
        <v>0</v>
      </c>
      <c r="AE774">
        <f t="shared" ca="1" si="125"/>
        <v>0</v>
      </c>
      <c r="AG774" s="65" t="e">
        <f t="shared" ca="1" si="126"/>
        <v>#N/A</v>
      </c>
      <c r="AH774" s="65" t="e">
        <f t="shared" ca="1" si="127"/>
        <v>#N/A</v>
      </c>
      <c r="AI774" s="3" t="e">
        <f t="shared" ca="1" si="128"/>
        <v>#N/A</v>
      </c>
    </row>
    <row r="775" spans="7:35" ht="15" thickBot="1" x14ac:dyDescent="0.35">
      <c r="G775" s="3">
        <f t="shared" ca="1" si="120"/>
        <v>191</v>
      </c>
      <c r="H775" s="99">
        <f t="shared" ca="1" si="119"/>
        <v>45847</v>
      </c>
      <c r="I775" s="123">
        <f ca="1">HLOOKUP($H$4,'Met Data'!$A$2:$F$368,G775,FALSE)</f>
        <v>8.1583333333333297</v>
      </c>
      <c r="J775" s="121">
        <f ca="1">HLOOKUP($H$4,'Met Data'!$H$2:$M$368,G775,FALSE)*L775</f>
        <v>4.18333333333333</v>
      </c>
      <c r="K775" s="100">
        <f ca="1">HLOOKUP($H$4,'Met Data'!$O$2:$T$368,G775,FALSE)</f>
        <v>0.89025740200721304</v>
      </c>
      <c r="L775">
        <f t="shared" ca="1" si="121"/>
        <v>1</v>
      </c>
      <c r="N775" t="e">
        <f t="shared" ca="1" si="122"/>
        <v>#N/A</v>
      </c>
      <c r="O775" t="e">
        <f t="shared" ca="1" si="123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4"/>
        <v>0</v>
      </c>
      <c r="AE775">
        <f t="shared" ca="1" si="125"/>
        <v>0</v>
      </c>
      <c r="AG775" s="65" t="e">
        <f t="shared" ca="1" si="126"/>
        <v>#N/A</v>
      </c>
      <c r="AH775" s="65" t="e">
        <f t="shared" ca="1" si="127"/>
        <v>#N/A</v>
      </c>
      <c r="AI775" s="3" t="e">
        <f t="shared" ca="1" si="128"/>
        <v>#N/A</v>
      </c>
    </row>
    <row r="776" spans="7:35" ht="15" thickBot="1" x14ac:dyDescent="0.35">
      <c r="G776" s="3">
        <f t="shared" ca="1" si="120"/>
        <v>192</v>
      </c>
      <c r="H776" s="99">
        <f t="shared" ref="H776:H839" ca="1" si="129">H775+1</f>
        <v>45848</v>
      </c>
      <c r="I776" s="123">
        <f ca="1">HLOOKUP($H$4,'Met Data'!$A$2:$F$368,G776,FALSE)</f>
        <v>8.24166666666666</v>
      </c>
      <c r="J776" s="121">
        <f ca="1">HLOOKUP($H$4,'Met Data'!$H$2:$M$368,G776,FALSE)*L776</f>
        <v>2.2666666666666599</v>
      </c>
      <c r="K776" s="100">
        <f ca="1">HLOOKUP($H$4,'Met Data'!$O$2:$T$368,G776,FALSE)</f>
        <v>1.06467045295546</v>
      </c>
      <c r="L776">
        <f t="shared" ca="1" si="121"/>
        <v>1</v>
      </c>
      <c r="N776" t="e">
        <f t="shared" ca="1" si="122"/>
        <v>#N/A</v>
      </c>
      <c r="O776" t="e">
        <f t="shared" ca="1" si="123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4"/>
        <v>0</v>
      </c>
      <c r="AE776">
        <f t="shared" ca="1" si="125"/>
        <v>0</v>
      </c>
      <c r="AG776" s="65" t="e">
        <f t="shared" ca="1" si="126"/>
        <v>#N/A</v>
      </c>
      <c r="AH776" s="65" t="e">
        <f t="shared" ca="1" si="127"/>
        <v>#N/A</v>
      </c>
      <c r="AI776" s="3" t="e">
        <f t="shared" ca="1" si="128"/>
        <v>#N/A</v>
      </c>
    </row>
    <row r="777" spans="7:35" ht="15" thickBot="1" x14ac:dyDescent="0.35">
      <c r="G777" s="3">
        <f t="shared" ca="1" si="120"/>
        <v>193</v>
      </c>
      <c r="H777" s="99">
        <f t="shared" ca="1" si="129"/>
        <v>45849</v>
      </c>
      <c r="I777" s="123">
        <f ca="1">HLOOKUP($H$4,'Met Data'!$A$2:$F$368,G777,FALSE)</f>
        <v>8.0333333333333297</v>
      </c>
      <c r="J777" s="121">
        <f ca="1">HLOOKUP($H$4,'Met Data'!$H$2:$M$368,G777,FALSE)*L777</f>
        <v>4.6500000000000004</v>
      </c>
      <c r="K777" s="100">
        <f ca="1">HLOOKUP($H$4,'Met Data'!$O$2:$T$368,G777,FALSE)</f>
        <v>1.03430816091664</v>
      </c>
      <c r="L777">
        <f t="shared" ca="1" si="121"/>
        <v>1</v>
      </c>
      <c r="N777" t="e">
        <f t="shared" ca="1" si="122"/>
        <v>#N/A</v>
      </c>
      <c r="O777" t="e">
        <f t="shared" ca="1" si="123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4"/>
        <v>0</v>
      </c>
      <c r="AE777">
        <f t="shared" ca="1" si="125"/>
        <v>0</v>
      </c>
      <c r="AG777" s="65" t="e">
        <f t="shared" ca="1" si="126"/>
        <v>#N/A</v>
      </c>
      <c r="AH777" s="65" t="e">
        <f t="shared" ca="1" si="127"/>
        <v>#N/A</v>
      </c>
      <c r="AI777" s="3" t="e">
        <f t="shared" ca="1" si="128"/>
        <v>#N/A</v>
      </c>
    </row>
    <row r="778" spans="7:35" ht="15" thickBot="1" x14ac:dyDescent="0.35">
      <c r="G778" s="3">
        <f t="shared" ca="1" si="120"/>
        <v>194</v>
      </c>
      <c r="H778" s="99">
        <f t="shared" ca="1" si="129"/>
        <v>45850</v>
      </c>
      <c r="I778" s="123">
        <f ca="1">HLOOKUP($H$4,'Met Data'!$A$2:$F$368,G778,FALSE)</f>
        <v>8.37083333333333</v>
      </c>
      <c r="J778" s="121">
        <f ca="1">HLOOKUP($H$4,'Met Data'!$H$2:$M$368,G778,FALSE)*L778</f>
        <v>1.61666666666666</v>
      </c>
      <c r="K778" s="100">
        <f ca="1">HLOOKUP($H$4,'Met Data'!$O$2:$T$368,G778,FALSE)</f>
        <v>1.0039262064680501</v>
      </c>
      <c r="L778">
        <f t="shared" ca="1" si="121"/>
        <v>1</v>
      </c>
      <c r="N778" t="e">
        <f t="shared" ca="1" si="122"/>
        <v>#N/A</v>
      </c>
      <c r="O778" t="e">
        <f t="shared" ca="1" si="123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4"/>
        <v>0</v>
      </c>
      <c r="AE778">
        <f t="shared" ca="1" si="125"/>
        <v>0</v>
      </c>
      <c r="AG778" s="65" t="e">
        <f t="shared" ca="1" si="126"/>
        <v>#N/A</v>
      </c>
      <c r="AH778" s="65" t="e">
        <f t="shared" ca="1" si="127"/>
        <v>#N/A</v>
      </c>
      <c r="AI778" s="3" t="e">
        <f t="shared" ca="1" si="128"/>
        <v>#N/A</v>
      </c>
    </row>
    <row r="779" spans="7:35" ht="15" thickBot="1" x14ac:dyDescent="0.35">
      <c r="G779" s="3">
        <f t="shared" ca="1" si="120"/>
        <v>195</v>
      </c>
      <c r="H779" s="99">
        <f t="shared" ca="1" si="129"/>
        <v>45851</v>
      </c>
      <c r="I779" s="123">
        <f ca="1">HLOOKUP($H$4,'Met Data'!$A$2:$F$368,G779,FALSE)</f>
        <v>8.0916666666666597</v>
      </c>
      <c r="J779" s="121">
        <f ca="1">HLOOKUP($H$4,'Met Data'!$H$2:$M$368,G779,FALSE)*L779</f>
        <v>5.0666666666666602</v>
      </c>
      <c r="K779" s="100">
        <f ca="1">HLOOKUP($H$4,'Met Data'!$O$2:$T$368,G779,FALSE)</f>
        <v>0.87492032925951801</v>
      </c>
      <c r="L779">
        <f t="shared" ca="1" si="121"/>
        <v>1</v>
      </c>
      <c r="N779" t="e">
        <f t="shared" ca="1" si="122"/>
        <v>#N/A</v>
      </c>
      <c r="O779" t="e">
        <f t="shared" ca="1" si="123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4"/>
        <v>0</v>
      </c>
      <c r="AE779">
        <f t="shared" ca="1" si="125"/>
        <v>0</v>
      </c>
      <c r="AG779" s="65" t="e">
        <f t="shared" ca="1" si="126"/>
        <v>#N/A</v>
      </c>
      <c r="AH779" s="65" t="e">
        <f t="shared" ca="1" si="127"/>
        <v>#N/A</v>
      </c>
      <c r="AI779" s="3" t="e">
        <f t="shared" ca="1" si="128"/>
        <v>#N/A</v>
      </c>
    </row>
    <row r="780" spans="7:35" ht="15" thickBot="1" x14ac:dyDescent="0.35">
      <c r="G780" s="3">
        <f t="shared" ca="1" si="120"/>
        <v>196</v>
      </c>
      <c r="H780" s="99">
        <f t="shared" ca="1" si="129"/>
        <v>45852</v>
      </c>
      <c r="I780" s="123">
        <f ca="1">HLOOKUP($H$4,'Met Data'!$A$2:$F$368,G780,FALSE)</f>
        <v>7.9156250000000004</v>
      </c>
      <c r="J780" s="121">
        <f ca="1">HLOOKUP($H$4,'Met Data'!$H$2:$M$368,G780,FALSE)*L780</f>
        <v>4.1666666666666599</v>
      </c>
      <c r="K780" s="100">
        <f ca="1">HLOOKUP($H$4,'Met Data'!$O$2:$T$368,G780,FALSE)</f>
        <v>0.80250527716076203</v>
      </c>
      <c r="L780">
        <f t="shared" ca="1" si="121"/>
        <v>1</v>
      </c>
      <c r="N780" t="e">
        <f t="shared" ca="1" si="122"/>
        <v>#N/A</v>
      </c>
      <c r="O780" t="e">
        <f t="shared" ca="1" si="123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4"/>
        <v>0</v>
      </c>
      <c r="AE780">
        <f t="shared" ca="1" si="125"/>
        <v>0</v>
      </c>
      <c r="AG780" s="65" t="e">
        <f t="shared" ca="1" si="126"/>
        <v>#N/A</v>
      </c>
      <c r="AH780" s="65" t="e">
        <f t="shared" ca="1" si="127"/>
        <v>#N/A</v>
      </c>
      <c r="AI780" s="3" t="e">
        <f t="shared" ca="1" si="128"/>
        <v>#N/A</v>
      </c>
    </row>
    <row r="781" spans="7:35" ht="15" thickBot="1" x14ac:dyDescent="0.35">
      <c r="G781" s="3">
        <f t="shared" ca="1" si="120"/>
        <v>197</v>
      </c>
      <c r="H781" s="99">
        <f t="shared" ca="1" si="129"/>
        <v>45853</v>
      </c>
      <c r="I781" s="123">
        <f ca="1">HLOOKUP($H$4,'Met Data'!$A$2:$F$368,G781,FALSE)</f>
        <v>8.8590909090909093</v>
      </c>
      <c r="J781" s="121">
        <f ca="1">HLOOKUP($H$4,'Met Data'!$H$2:$M$368,G781,FALSE)*L781</f>
        <v>2.0666666666666602</v>
      </c>
      <c r="K781" s="100">
        <f ca="1">HLOOKUP($H$4,'Met Data'!$O$2:$T$368,G781,FALSE)</f>
        <v>0.97822362204517799</v>
      </c>
      <c r="L781">
        <f t="shared" ca="1" si="121"/>
        <v>1</v>
      </c>
      <c r="N781" t="e">
        <f t="shared" ca="1" si="122"/>
        <v>#N/A</v>
      </c>
      <c r="O781" t="e">
        <f t="shared" ca="1" si="123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4"/>
        <v>0</v>
      </c>
      <c r="AE781">
        <f t="shared" ca="1" si="125"/>
        <v>0</v>
      </c>
      <c r="AG781" s="65" t="e">
        <f t="shared" ca="1" si="126"/>
        <v>#N/A</v>
      </c>
      <c r="AH781" s="65" t="e">
        <f t="shared" ca="1" si="127"/>
        <v>#N/A</v>
      </c>
      <c r="AI781" s="3" t="e">
        <f t="shared" ca="1" si="128"/>
        <v>#N/A</v>
      </c>
    </row>
    <row r="782" spans="7:35" ht="15" thickBot="1" x14ac:dyDescent="0.35">
      <c r="G782" s="3">
        <f t="shared" ca="1" si="120"/>
        <v>198</v>
      </c>
      <c r="H782" s="99">
        <f t="shared" ca="1" si="129"/>
        <v>45854</v>
      </c>
      <c r="I782" s="123">
        <f ca="1">HLOOKUP($H$4,'Met Data'!$A$2:$F$368,G782,FALSE)</f>
        <v>8.8590909090909093</v>
      </c>
      <c r="J782" s="121">
        <f ca="1">HLOOKUP($H$4,'Met Data'!$H$2:$M$368,G782,FALSE)*L782</f>
        <v>6.0666666666666602</v>
      </c>
      <c r="K782" s="100">
        <f ca="1">HLOOKUP($H$4,'Met Data'!$O$2:$T$368,G782,FALSE)</f>
        <v>0.78802331007485205</v>
      </c>
      <c r="L782">
        <f t="shared" ca="1" si="121"/>
        <v>1</v>
      </c>
      <c r="N782" t="e">
        <f t="shared" ca="1" si="122"/>
        <v>#N/A</v>
      </c>
      <c r="O782" t="e">
        <f t="shared" ca="1" si="123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4"/>
        <v>0</v>
      </c>
      <c r="AE782">
        <f t="shared" ca="1" si="125"/>
        <v>0</v>
      </c>
      <c r="AG782" s="65" t="e">
        <f t="shared" ca="1" si="126"/>
        <v>#N/A</v>
      </c>
      <c r="AH782" s="65" t="e">
        <f t="shared" ca="1" si="127"/>
        <v>#N/A</v>
      </c>
      <c r="AI782" s="3" t="e">
        <f t="shared" ca="1" si="128"/>
        <v>#N/A</v>
      </c>
    </row>
    <row r="783" spans="7:35" ht="15" thickBot="1" x14ac:dyDescent="0.35">
      <c r="G783" s="3">
        <f t="shared" ca="1" si="120"/>
        <v>199</v>
      </c>
      <c r="H783" s="99">
        <f t="shared" ca="1" si="129"/>
        <v>45855</v>
      </c>
      <c r="I783" s="123">
        <f ca="1">HLOOKUP($H$4,'Met Data'!$A$2:$F$368,G783,FALSE)</f>
        <v>9.5909090909090899</v>
      </c>
      <c r="J783" s="121">
        <f ca="1">HLOOKUP($H$4,'Met Data'!$H$2:$M$368,G783,FALSE)*L783</f>
        <v>4.5999999999999996</v>
      </c>
      <c r="K783" s="100">
        <f ca="1">HLOOKUP($H$4,'Met Data'!$O$2:$T$368,G783,FALSE)</f>
        <v>0.944748845250029</v>
      </c>
      <c r="L783">
        <f t="shared" ca="1" si="121"/>
        <v>1</v>
      </c>
      <c r="N783" t="e">
        <f t="shared" ca="1" si="122"/>
        <v>#N/A</v>
      </c>
      <c r="O783" t="e">
        <f t="shared" ca="1" si="123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4"/>
        <v>0</v>
      </c>
      <c r="AE783">
        <f t="shared" ca="1" si="125"/>
        <v>0</v>
      </c>
      <c r="AG783" s="65" t="e">
        <f t="shared" ca="1" si="126"/>
        <v>#N/A</v>
      </c>
      <c r="AH783" s="65" t="e">
        <f t="shared" ca="1" si="127"/>
        <v>#N/A</v>
      </c>
      <c r="AI783" s="3" t="e">
        <f t="shared" ca="1" si="128"/>
        <v>#N/A</v>
      </c>
    </row>
    <row r="784" spans="7:35" ht="15" thickBot="1" x14ac:dyDescent="0.35">
      <c r="G784" s="3">
        <f t="shared" ca="1" si="120"/>
        <v>200</v>
      </c>
      <c r="H784" s="99">
        <f t="shared" ca="1" si="129"/>
        <v>45856</v>
      </c>
      <c r="I784" s="123">
        <f ca="1">HLOOKUP($H$4,'Met Data'!$A$2:$F$368,G784,FALSE)</f>
        <v>8.8450000000000006</v>
      </c>
      <c r="J784" s="121">
        <f ca="1">HLOOKUP($H$4,'Met Data'!$H$2:$M$368,G784,FALSE)*L784</f>
        <v>1.1000000000000001</v>
      </c>
      <c r="K784" s="100">
        <f ca="1">HLOOKUP($H$4,'Met Data'!$O$2:$T$368,G784,FALSE)</f>
        <v>1.0240187106181899</v>
      </c>
      <c r="L784">
        <f t="shared" ca="1" si="121"/>
        <v>1</v>
      </c>
      <c r="N784" t="e">
        <f t="shared" ca="1" si="122"/>
        <v>#N/A</v>
      </c>
      <c r="O784" t="e">
        <f t="shared" ca="1" si="123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4"/>
        <v>0</v>
      </c>
      <c r="AE784">
        <f t="shared" ca="1" si="125"/>
        <v>0</v>
      </c>
      <c r="AG784" s="65" t="e">
        <f t="shared" ca="1" si="126"/>
        <v>#N/A</v>
      </c>
      <c r="AH784" s="65" t="e">
        <f t="shared" ca="1" si="127"/>
        <v>#N/A</v>
      </c>
      <c r="AI784" s="3" t="e">
        <f t="shared" ca="1" si="128"/>
        <v>#N/A</v>
      </c>
    </row>
    <row r="785" spans="7:35" ht="15" thickBot="1" x14ac:dyDescent="0.35">
      <c r="G785" s="3">
        <f t="shared" ca="1" si="120"/>
        <v>201</v>
      </c>
      <c r="H785" s="99">
        <f t="shared" ca="1" si="129"/>
        <v>45857</v>
      </c>
      <c r="I785" s="123">
        <f ca="1">HLOOKUP($H$4,'Met Data'!$A$2:$F$368,G785,FALSE)</f>
        <v>8.99166666666666</v>
      </c>
      <c r="J785" s="121">
        <f ca="1">HLOOKUP($H$4,'Met Data'!$H$2:$M$368,G785,FALSE)*L785</f>
        <v>1.3499999999999901</v>
      </c>
      <c r="K785" s="100">
        <f ca="1">HLOOKUP($H$4,'Met Data'!$O$2:$T$368,G785,FALSE)</f>
        <v>1.16174529470798</v>
      </c>
      <c r="L785">
        <f t="shared" ca="1" si="121"/>
        <v>1</v>
      </c>
      <c r="N785" t="e">
        <f t="shared" ca="1" si="122"/>
        <v>#N/A</v>
      </c>
      <c r="O785" t="e">
        <f t="shared" ca="1" si="123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4"/>
        <v>0</v>
      </c>
      <c r="AE785">
        <f t="shared" ca="1" si="125"/>
        <v>0</v>
      </c>
      <c r="AG785" s="65" t="e">
        <f t="shared" ca="1" si="126"/>
        <v>#N/A</v>
      </c>
      <c r="AH785" s="65" t="e">
        <f t="shared" ca="1" si="127"/>
        <v>#N/A</v>
      </c>
      <c r="AI785" s="3" t="e">
        <f t="shared" ca="1" si="128"/>
        <v>#N/A</v>
      </c>
    </row>
    <row r="786" spans="7:35" ht="15" thickBot="1" x14ac:dyDescent="0.35">
      <c r="G786" s="3">
        <f t="shared" ca="1" si="120"/>
        <v>202</v>
      </c>
      <c r="H786" s="99">
        <f t="shared" ca="1" si="129"/>
        <v>45858</v>
      </c>
      <c r="I786" s="123">
        <f ca="1">HLOOKUP($H$4,'Met Data'!$A$2:$F$368,G786,FALSE)</f>
        <v>9.5</v>
      </c>
      <c r="J786" s="121">
        <f ca="1">HLOOKUP($H$4,'Met Data'!$H$2:$M$368,G786,FALSE)*L786</f>
        <v>2.75</v>
      </c>
      <c r="K786" s="100">
        <f ca="1">HLOOKUP($H$4,'Met Data'!$O$2:$T$368,G786,FALSE)</f>
        <v>0.94669865516537999</v>
      </c>
      <c r="L786">
        <f t="shared" ca="1" si="121"/>
        <v>1</v>
      </c>
      <c r="N786" t="e">
        <f t="shared" ca="1" si="122"/>
        <v>#N/A</v>
      </c>
      <c r="O786" t="e">
        <f t="shared" ca="1" si="123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4"/>
        <v>0</v>
      </c>
      <c r="AE786">
        <f t="shared" ca="1" si="125"/>
        <v>0</v>
      </c>
      <c r="AG786" s="65" t="e">
        <f t="shared" ca="1" si="126"/>
        <v>#N/A</v>
      </c>
      <c r="AH786" s="65" t="e">
        <f t="shared" ca="1" si="127"/>
        <v>#N/A</v>
      </c>
      <c r="AI786" s="3" t="e">
        <f t="shared" ca="1" si="128"/>
        <v>#N/A</v>
      </c>
    </row>
    <row r="787" spans="7:35" ht="15" thickBot="1" x14ac:dyDescent="0.35">
      <c r="G787" s="3">
        <f t="shared" ca="1" si="120"/>
        <v>203</v>
      </c>
      <c r="H787" s="99">
        <f t="shared" ca="1" si="129"/>
        <v>45859</v>
      </c>
      <c r="I787" s="123">
        <f ca="1">HLOOKUP($H$4,'Met Data'!$A$2:$F$368,G787,FALSE)</f>
        <v>9.8333333333333304</v>
      </c>
      <c r="J787" s="121">
        <f ca="1">HLOOKUP($H$4,'Met Data'!$H$2:$M$368,G787,FALSE)*L787</f>
        <v>3.6333333333333302</v>
      </c>
      <c r="K787" s="100">
        <f ca="1">HLOOKUP($H$4,'Met Data'!$O$2:$T$368,G787,FALSE)</f>
        <v>1.0815395194790001</v>
      </c>
      <c r="L787">
        <f t="shared" ca="1" si="121"/>
        <v>1</v>
      </c>
      <c r="N787" t="e">
        <f t="shared" ca="1" si="122"/>
        <v>#N/A</v>
      </c>
      <c r="O787" t="e">
        <f t="shared" ca="1" si="123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4"/>
        <v>0</v>
      </c>
      <c r="AE787">
        <f t="shared" ca="1" si="125"/>
        <v>0</v>
      </c>
      <c r="AG787" s="65" t="e">
        <f t="shared" ca="1" si="126"/>
        <v>#N/A</v>
      </c>
      <c r="AH787" s="65" t="e">
        <f t="shared" ca="1" si="127"/>
        <v>#N/A</v>
      </c>
      <c r="AI787" s="3" t="e">
        <f t="shared" ca="1" si="128"/>
        <v>#N/A</v>
      </c>
    </row>
    <row r="788" spans="7:35" ht="15" thickBot="1" x14ac:dyDescent="0.35">
      <c r="G788" s="3">
        <f t="shared" ca="1" si="120"/>
        <v>204</v>
      </c>
      <c r="H788" s="99">
        <f t="shared" ca="1" si="129"/>
        <v>45860</v>
      </c>
      <c r="I788" s="123">
        <f ca="1">HLOOKUP($H$4,'Met Data'!$A$2:$F$368,G788,FALSE)</f>
        <v>10.029166666666599</v>
      </c>
      <c r="J788" s="121">
        <f ca="1">HLOOKUP($H$4,'Met Data'!$H$2:$M$368,G788,FALSE)*L788</f>
        <v>4.68333333333333</v>
      </c>
      <c r="K788" s="100">
        <f ca="1">HLOOKUP($H$4,'Met Data'!$O$2:$T$368,G788,FALSE)</f>
        <v>1.0771273773513399</v>
      </c>
      <c r="L788">
        <f t="shared" ca="1" si="121"/>
        <v>1</v>
      </c>
      <c r="N788" t="e">
        <f t="shared" ca="1" si="122"/>
        <v>#N/A</v>
      </c>
      <c r="O788" t="e">
        <f t="shared" ca="1" si="123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4"/>
        <v>0</v>
      </c>
      <c r="AE788">
        <f t="shared" ca="1" si="125"/>
        <v>0</v>
      </c>
      <c r="AG788" s="65" t="e">
        <f t="shared" ca="1" si="126"/>
        <v>#N/A</v>
      </c>
      <c r="AH788" s="65" t="e">
        <f t="shared" ca="1" si="127"/>
        <v>#N/A</v>
      </c>
      <c r="AI788" s="3" t="e">
        <f t="shared" ca="1" si="128"/>
        <v>#N/A</v>
      </c>
    </row>
    <row r="789" spans="7:35" ht="15" thickBot="1" x14ac:dyDescent="0.35">
      <c r="G789" s="3">
        <f t="shared" ca="1" si="120"/>
        <v>205</v>
      </c>
      <c r="H789" s="99">
        <f t="shared" ca="1" si="129"/>
        <v>45861</v>
      </c>
      <c r="I789" s="123">
        <f ca="1">HLOOKUP($H$4,'Met Data'!$A$2:$F$368,G789,FALSE)</f>
        <v>9.4250000000000007</v>
      </c>
      <c r="J789" s="121">
        <f ca="1">HLOOKUP($H$4,'Met Data'!$H$2:$M$368,G789,FALSE)*L789</f>
        <v>5.2666666666666604</v>
      </c>
      <c r="K789" s="100">
        <f ca="1">HLOOKUP($H$4,'Met Data'!$O$2:$T$368,G789,FALSE)</f>
        <v>0.87955885998233896</v>
      </c>
      <c r="L789">
        <f t="shared" ca="1" si="121"/>
        <v>1</v>
      </c>
      <c r="N789" t="e">
        <f t="shared" ca="1" si="122"/>
        <v>#N/A</v>
      </c>
      <c r="O789" t="e">
        <f t="shared" ca="1" si="123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4"/>
        <v>0</v>
      </c>
      <c r="AE789">
        <f t="shared" ca="1" si="125"/>
        <v>0</v>
      </c>
      <c r="AG789" s="65" t="e">
        <f t="shared" ca="1" si="126"/>
        <v>#N/A</v>
      </c>
      <c r="AH789" s="65" t="e">
        <f t="shared" ca="1" si="127"/>
        <v>#N/A</v>
      </c>
      <c r="AI789" s="3" t="e">
        <f t="shared" ca="1" si="128"/>
        <v>#N/A</v>
      </c>
    </row>
    <row r="790" spans="7:35" ht="15" thickBot="1" x14ac:dyDescent="0.35">
      <c r="G790" s="3">
        <f t="shared" ca="1" si="120"/>
        <v>206</v>
      </c>
      <c r="H790" s="99">
        <f t="shared" ca="1" si="129"/>
        <v>45862</v>
      </c>
      <c r="I790" s="123">
        <f ca="1">HLOOKUP($H$4,'Met Data'!$A$2:$F$368,G790,FALSE)</f>
        <v>9.4</v>
      </c>
      <c r="J790" s="121">
        <f ca="1">HLOOKUP($H$4,'Met Data'!$H$2:$M$368,G790,FALSE)*L790</f>
        <v>2.0499999999999998</v>
      </c>
      <c r="K790" s="100">
        <f ca="1">HLOOKUP($H$4,'Met Data'!$O$2:$T$368,G790,FALSE)</f>
        <v>0.953998897248024</v>
      </c>
      <c r="L790">
        <f t="shared" ca="1" si="121"/>
        <v>1</v>
      </c>
      <c r="N790" t="e">
        <f t="shared" ca="1" si="122"/>
        <v>#N/A</v>
      </c>
      <c r="O790" t="e">
        <f t="shared" ca="1" si="123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4"/>
        <v>0</v>
      </c>
      <c r="AE790">
        <f t="shared" ca="1" si="125"/>
        <v>0</v>
      </c>
      <c r="AG790" s="65" t="e">
        <f t="shared" ca="1" si="126"/>
        <v>#N/A</v>
      </c>
      <c r="AH790" s="65" t="e">
        <f t="shared" ca="1" si="127"/>
        <v>#N/A</v>
      </c>
      <c r="AI790" s="3" t="e">
        <f t="shared" ca="1" si="128"/>
        <v>#N/A</v>
      </c>
    </row>
    <row r="791" spans="7:35" ht="15" thickBot="1" x14ac:dyDescent="0.35">
      <c r="G791" s="3">
        <f t="shared" ca="1" si="120"/>
        <v>207</v>
      </c>
      <c r="H791" s="99">
        <f t="shared" ca="1" si="129"/>
        <v>45863</v>
      </c>
      <c r="I791" s="123">
        <f ca="1">HLOOKUP($H$4,'Met Data'!$A$2:$F$368,G791,FALSE)</f>
        <v>8.92916666666666</v>
      </c>
      <c r="J791" s="121">
        <f ca="1">HLOOKUP($H$4,'Met Data'!$H$2:$M$368,G791,FALSE)*L791</f>
        <v>1.1499999999999999</v>
      </c>
      <c r="K791" s="100">
        <f ca="1">HLOOKUP($H$4,'Met Data'!$O$2:$T$368,G791,FALSE)</f>
        <v>1.2467505566806001</v>
      </c>
      <c r="L791">
        <f t="shared" ca="1" si="121"/>
        <v>1</v>
      </c>
      <c r="N791" t="e">
        <f t="shared" ca="1" si="122"/>
        <v>#N/A</v>
      </c>
      <c r="O791" t="e">
        <f t="shared" ca="1" si="123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4"/>
        <v>0</v>
      </c>
      <c r="AE791">
        <f t="shared" ca="1" si="125"/>
        <v>0</v>
      </c>
      <c r="AG791" s="65" t="e">
        <f t="shared" ca="1" si="126"/>
        <v>#N/A</v>
      </c>
      <c r="AH791" s="65" t="e">
        <f t="shared" ca="1" si="127"/>
        <v>#N/A</v>
      </c>
      <c r="AI791" s="3" t="e">
        <f t="shared" ca="1" si="128"/>
        <v>#N/A</v>
      </c>
    </row>
    <row r="792" spans="7:35" ht="15" thickBot="1" x14ac:dyDescent="0.35">
      <c r="G792" s="3">
        <f t="shared" ca="1" si="120"/>
        <v>208</v>
      </c>
      <c r="H792" s="99">
        <f t="shared" ca="1" si="129"/>
        <v>45864</v>
      </c>
      <c r="I792" s="123">
        <f ca="1">HLOOKUP($H$4,'Met Data'!$A$2:$F$368,G792,FALSE)</f>
        <v>8.7624999999999993</v>
      </c>
      <c r="J792" s="121">
        <f ca="1">HLOOKUP($H$4,'Met Data'!$H$2:$M$368,G792,FALSE)*L792</f>
        <v>0.45</v>
      </c>
      <c r="K792" s="100">
        <f ca="1">HLOOKUP($H$4,'Met Data'!$O$2:$T$368,G792,FALSE)</f>
        <v>1.3150067848265401</v>
      </c>
      <c r="L792">
        <f t="shared" ca="1" si="121"/>
        <v>1</v>
      </c>
      <c r="N792" t="e">
        <f t="shared" ca="1" si="122"/>
        <v>#N/A</v>
      </c>
      <c r="O792" t="e">
        <f t="shared" ca="1" si="123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4"/>
        <v>0</v>
      </c>
      <c r="AE792">
        <f t="shared" ca="1" si="125"/>
        <v>0</v>
      </c>
      <c r="AG792" s="65" t="e">
        <f t="shared" ca="1" si="126"/>
        <v>#N/A</v>
      </c>
      <c r="AH792" s="65" t="e">
        <f t="shared" ca="1" si="127"/>
        <v>#N/A</v>
      </c>
      <c r="AI792" s="3" t="e">
        <f t="shared" ca="1" si="128"/>
        <v>#N/A</v>
      </c>
    </row>
    <row r="793" spans="7:35" ht="15" thickBot="1" x14ac:dyDescent="0.35">
      <c r="G793" s="3">
        <f t="shared" ca="1" si="120"/>
        <v>209</v>
      </c>
      <c r="H793" s="99">
        <f t="shared" ca="1" si="129"/>
        <v>45865</v>
      </c>
      <c r="I793" s="123">
        <f ca="1">HLOOKUP($H$4,'Met Data'!$A$2:$F$368,G793,FALSE)</f>
        <v>9.3333333333333304</v>
      </c>
      <c r="J793" s="121">
        <f ca="1">HLOOKUP($H$4,'Met Data'!$H$2:$M$368,G793,FALSE)*L793</f>
        <v>2.0166666666666599</v>
      </c>
      <c r="K793" s="100">
        <f ca="1">HLOOKUP($H$4,'Met Data'!$O$2:$T$368,G793,FALSE)</f>
        <v>1.11956275252086</v>
      </c>
      <c r="L793">
        <f t="shared" ca="1" si="121"/>
        <v>1</v>
      </c>
      <c r="N793" t="e">
        <f t="shared" ca="1" si="122"/>
        <v>#N/A</v>
      </c>
      <c r="O793" t="e">
        <f t="shared" ca="1" si="123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4"/>
        <v>0</v>
      </c>
      <c r="AE793">
        <f t="shared" ca="1" si="125"/>
        <v>0</v>
      </c>
      <c r="AG793" s="65" t="e">
        <f t="shared" ca="1" si="126"/>
        <v>#N/A</v>
      </c>
      <c r="AH793" s="65" t="e">
        <f t="shared" ca="1" si="127"/>
        <v>#N/A</v>
      </c>
      <c r="AI793" s="3" t="e">
        <f t="shared" ca="1" si="128"/>
        <v>#N/A</v>
      </c>
    </row>
    <row r="794" spans="7:35" ht="15" thickBot="1" x14ac:dyDescent="0.35">
      <c r="G794" s="3">
        <f t="shared" ca="1" si="120"/>
        <v>210</v>
      </c>
      <c r="H794" s="99">
        <f t="shared" ca="1" si="129"/>
        <v>45866</v>
      </c>
      <c r="I794" s="123">
        <f ca="1">HLOOKUP($H$4,'Met Data'!$A$2:$F$368,G794,FALSE)</f>
        <v>8.9875000000000007</v>
      </c>
      <c r="J794" s="121">
        <f ca="1">HLOOKUP($H$4,'Met Data'!$H$2:$M$368,G794,FALSE)*L794</f>
        <v>1.2666666666666599</v>
      </c>
      <c r="K794" s="100">
        <f ca="1">HLOOKUP($H$4,'Met Data'!$O$2:$T$368,G794,FALSE)</f>
        <v>1.28515382274214</v>
      </c>
      <c r="L794">
        <f t="shared" ca="1" si="121"/>
        <v>1</v>
      </c>
      <c r="N794" t="e">
        <f t="shared" ca="1" si="122"/>
        <v>#N/A</v>
      </c>
      <c r="O794" t="e">
        <f t="shared" ca="1" si="123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4"/>
        <v>0</v>
      </c>
      <c r="AE794">
        <f t="shared" ca="1" si="125"/>
        <v>0</v>
      </c>
      <c r="AG794" s="65" t="e">
        <f t="shared" ca="1" si="126"/>
        <v>#N/A</v>
      </c>
      <c r="AH794" s="65" t="e">
        <f t="shared" ca="1" si="127"/>
        <v>#N/A</v>
      </c>
      <c r="AI794" s="3" t="e">
        <f t="shared" ca="1" si="128"/>
        <v>#N/A</v>
      </c>
    </row>
    <row r="795" spans="7:35" ht="15" thickBot="1" x14ac:dyDescent="0.35">
      <c r="G795" s="3">
        <f t="shared" ca="1" si="120"/>
        <v>211</v>
      </c>
      <c r="H795" s="99">
        <f t="shared" ca="1" si="129"/>
        <v>45867</v>
      </c>
      <c r="I795" s="123">
        <f ca="1">HLOOKUP($H$4,'Met Data'!$A$2:$F$368,G795,FALSE)</f>
        <v>9.0374999999999996</v>
      </c>
      <c r="J795" s="121">
        <f ca="1">HLOOKUP($H$4,'Met Data'!$H$2:$M$368,G795,FALSE)*L795</f>
        <v>2.7999999999999901</v>
      </c>
      <c r="K795" s="100">
        <f ca="1">HLOOKUP($H$4,'Met Data'!$O$2:$T$368,G795,FALSE)</f>
        <v>1.1959337492079301</v>
      </c>
      <c r="L795">
        <f t="shared" ca="1" si="121"/>
        <v>1</v>
      </c>
      <c r="N795" t="e">
        <f t="shared" ca="1" si="122"/>
        <v>#N/A</v>
      </c>
      <c r="O795" t="e">
        <f t="shared" ca="1" si="123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4"/>
        <v>0</v>
      </c>
      <c r="AE795">
        <f t="shared" ca="1" si="125"/>
        <v>0</v>
      </c>
      <c r="AG795" s="65" t="e">
        <f t="shared" ca="1" si="126"/>
        <v>#N/A</v>
      </c>
      <c r="AH795" s="65" t="e">
        <f t="shared" ca="1" si="127"/>
        <v>#N/A</v>
      </c>
      <c r="AI795" s="3" t="e">
        <f t="shared" ca="1" si="128"/>
        <v>#N/A</v>
      </c>
    </row>
    <row r="796" spans="7:35" ht="15" thickBot="1" x14ac:dyDescent="0.35">
      <c r="G796" s="3">
        <f t="shared" ca="1" si="120"/>
        <v>212</v>
      </c>
      <c r="H796" s="99">
        <f t="shared" ca="1" si="129"/>
        <v>45868</v>
      </c>
      <c r="I796" s="123">
        <f ca="1">HLOOKUP($H$4,'Met Data'!$A$2:$F$368,G796,FALSE)</f>
        <v>8.17916666666666</v>
      </c>
      <c r="J796" s="121">
        <f ca="1">HLOOKUP($H$4,'Met Data'!$H$2:$M$368,G796,FALSE)*L796</f>
        <v>1.55</v>
      </c>
      <c r="K796" s="100">
        <f ca="1">HLOOKUP($H$4,'Met Data'!$O$2:$T$368,G796,FALSE)</f>
        <v>1.3658842309244701</v>
      </c>
      <c r="L796">
        <f t="shared" ca="1" si="121"/>
        <v>1</v>
      </c>
      <c r="N796" t="e">
        <f t="shared" ca="1" si="122"/>
        <v>#N/A</v>
      </c>
      <c r="O796" t="e">
        <f t="shared" ca="1" si="123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4"/>
        <v>0</v>
      </c>
      <c r="AE796">
        <f t="shared" ca="1" si="125"/>
        <v>0</v>
      </c>
      <c r="AG796" s="65" t="e">
        <f t="shared" ca="1" si="126"/>
        <v>#N/A</v>
      </c>
      <c r="AH796" s="65" t="e">
        <f t="shared" ca="1" si="127"/>
        <v>#N/A</v>
      </c>
      <c r="AI796" s="3" t="e">
        <f t="shared" ca="1" si="128"/>
        <v>#N/A</v>
      </c>
    </row>
    <row r="797" spans="7:35" ht="15" thickBot="1" x14ac:dyDescent="0.35">
      <c r="G797" s="3">
        <f t="shared" ca="1" si="120"/>
        <v>213</v>
      </c>
      <c r="H797" s="99">
        <f t="shared" ca="1" si="129"/>
        <v>45869</v>
      </c>
      <c r="I797" s="123">
        <f ca="1">HLOOKUP($H$4,'Met Data'!$A$2:$F$368,G797,FALSE)</f>
        <v>8.75</v>
      </c>
      <c r="J797" s="121">
        <f ca="1">HLOOKUP($H$4,'Met Data'!$H$2:$M$368,G797,FALSE)*L797</f>
        <v>2.44999999999999</v>
      </c>
      <c r="K797" s="100">
        <f ca="1">HLOOKUP($H$4,'Met Data'!$O$2:$T$368,G797,FALSE)</f>
        <v>0.89818915942500899</v>
      </c>
      <c r="L797">
        <f t="shared" ca="1" si="121"/>
        <v>1</v>
      </c>
      <c r="N797" t="e">
        <f t="shared" ca="1" si="122"/>
        <v>#N/A</v>
      </c>
      <c r="O797" t="e">
        <f t="shared" ca="1" si="123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4"/>
        <v>0</v>
      </c>
      <c r="AE797">
        <f t="shared" ca="1" si="125"/>
        <v>0</v>
      </c>
      <c r="AG797" s="65" t="e">
        <f t="shared" ca="1" si="126"/>
        <v>#N/A</v>
      </c>
      <c r="AH797" s="65" t="e">
        <f t="shared" ca="1" si="127"/>
        <v>#N/A</v>
      </c>
      <c r="AI797" s="3" t="e">
        <f t="shared" ca="1" si="128"/>
        <v>#N/A</v>
      </c>
    </row>
    <row r="798" spans="7:35" ht="15" thickBot="1" x14ac:dyDescent="0.35">
      <c r="G798" s="3">
        <f t="shared" ca="1" si="120"/>
        <v>214</v>
      </c>
      <c r="H798" s="99">
        <f t="shared" ca="1" si="129"/>
        <v>45870</v>
      </c>
      <c r="I798" s="123">
        <f ca="1">HLOOKUP($H$4,'Met Data'!$A$2:$F$368,G798,FALSE)</f>
        <v>10.3375</v>
      </c>
      <c r="J798" s="121">
        <f ca="1">HLOOKUP($H$4,'Met Data'!$H$2:$M$368,G798,FALSE)*L798</f>
        <v>5.2666666666666604</v>
      </c>
      <c r="K798" s="100">
        <f ca="1">HLOOKUP($H$4,'Met Data'!$O$2:$T$368,G798,FALSE)</f>
        <v>0.94454335980482496</v>
      </c>
      <c r="L798">
        <f t="shared" ca="1" si="121"/>
        <v>1</v>
      </c>
      <c r="N798" t="e">
        <f t="shared" ca="1" si="122"/>
        <v>#N/A</v>
      </c>
      <c r="O798" t="e">
        <f t="shared" ca="1" si="123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4"/>
        <v>0</v>
      </c>
      <c r="AE798">
        <f t="shared" ca="1" si="125"/>
        <v>0</v>
      </c>
      <c r="AG798" s="65" t="e">
        <f t="shared" ca="1" si="126"/>
        <v>#N/A</v>
      </c>
      <c r="AH798" s="65" t="e">
        <f t="shared" ca="1" si="127"/>
        <v>#N/A</v>
      </c>
      <c r="AI798" s="3" t="e">
        <f t="shared" ca="1" si="128"/>
        <v>#N/A</v>
      </c>
    </row>
    <row r="799" spans="7:35" ht="15" thickBot="1" x14ac:dyDescent="0.35">
      <c r="G799" s="3">
        <f t="shared" ca="1" si="120"/>
        <v>215</v>
      </c>
      <c r="H799" s="99">
        <f t="shared" ca="1" si="129"/>
        <v>45871</v>
      </c>
      <c r="I799" s="123">
        <f ca="1">HLOOKUP($H$4,'Met Data'!$A$2:$F$368,G799,FALSE)</f>
        <v>10.595454545454499</v>
      </c>
      <c r="J799" s="121">
        <f ca="1">HLOOKUP($H$4,'Met Data'!$H$2:$M$368,G799,FALSE)*L799</f>
        <v>4.4166666666666599</v>
      </c>
      <c r="K799" s="100">
        <f ca="1">HLOOKUP($H$4,'Met Data'!$O$2:$T$368,G799,FALSE)</f>
        <v>1.0832642567801201</v>
      </c>
      <c r="L799">
        <f t="shared" ca="1" si="121"/>
        <v>1</v>
      </c>
      <c r="N799" t="e">
        <f t="shared" ca="1" si="122"/>
        <v>#N/A</v>
      </c>
      <c r="O799" t="e">
        <f t="shared" ca="1" si="123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4"/>
        <v>0</v>
      </c>
      <c r="AE799">
        <f t="shared" ca="1" si="125"/>
        <v>0</v>
      </c>
      <c r="AG799" s="65" t="e">
        <f t="shared" ca="1" si="126"/>
        <v>#N/A</v>
      </c>
      <c r="AH799" s="65" t="e">
        <f t="shared" ca="1" si="127"/>
        <v>#N/A</v>
      </c>
      <c r="AI799" s="3" t="e">
        <f t="shared" ca="1" si="128"/>
        <v>#N/A</v>
      </c>
    </row>
    <row r="800" spans="7:35" ht="15" thickBot="1" x14ac:dyDescent="0.35">
      <c r="G800" s="3">
        <f t="shared" ca="1" si="120"/>
        <v>216</v>
      </c>
      <c r="H800" s="99">
        <f t="shared" ca="1" si="129"/>
        <v>45872</v>
      </c>
      <c r="I800" s="123">
        <f ca="1">HLOOKUP($H$4,'Met Data'!$A$2:$F$368,G800,FALSE)</f>
        <v>10.1041666666666</v>
      </c>
      <c r="J800" s="121">
        <f ca="1">HLOOKUP($H$4,'Met Data'!$H$2:$M$368,G800,FALSE)*L800</f>
        <v>2.0833333333333299</v>
      </c>
      <c r="K800" s="100">
        <f ca="1">HLOOKUP($H$4,'Met Data'!$O$2:$T$368,G800,FALSE)</f>
        <v>1.39183263100002</v>
      </c>
      <c r="L800">
        <f t="shared" ca="1" si="121"/>
        <v>1</v>
      </c>
      <c r="N800" t="e">
        <f t="shared" ca="1" si="122"/>
        <v>#N/A</v>
      </c>
      <c r="O800" t="e">
        <f t="shared" ca="1" si="123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4"/>
        <v>0</v>
      </c>
      <c r="AE800">
        <f t="shared" ca="1" si="125"/>
        <v>0</v>
      </c>
      <c r="AG800" s="65" t="e">
        <f t="shared" ca="1" si="126"/>
        <v>#N/A</v>
      </c>
      <c r="AH800" s="65" t="e">
        <f t="shared" ca="1" si="127"/>
        <v>#N/A</v>
      </c>
      <c r="AI800" s="3" t="e">
        <f t="shared" ca="1" si="128"/>
        <v>#N/A</v>
      </c>
    </row>
    <row r="801" spans="7:35" ht="15" thickBot="1" x14ac:dyDescent="0.35">
      <c r="G801" s="3">
        <f t="shared" ca="1" si="120"/>
        <v>217</v>
      </c>
      <c r="H801" s="99">
        <f t="shared" ca="1" si="129"/>
        <v>45873</v>
      </c>
      <c r="I801" s="123">
        <f ca="1">HLOOKUP($H$4,'Met Data'!$A$2:$F$368,G801,FALSE)</f>
        <v>10.1833333333333</v>
      </c>
      <c r="J801" s="121">
        <f ca="1">HLOOKUP($H$4,'Met Data'!$H$2:$M$368,G801,FALSE)*L801</f>
        <v>5.9833333333333298</v>
      </c>
      <c r="K801" s="100">
        <f ca="1">HLOOKUP($H$4,'Met Data'!$O$2:$T$368,G801,FALSE)</f>
        <v>1.0301492818772899</v>
      </c>
      <c r="L801">
        <f t="shared" ca="1" si="121"/>
        <v>1</v>
      </c>
      <c r="N801" t="e">
        <f t="shared" ca="1" si="122"/>
        <v>#N/A</v>
      </c>
      <c r="O801" t="e">
        <f t="shared" ca="1" si="123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4"/>
        <v>0</v>
      </c>
      <c r="AE801">
        <f t="shared" ca="1" si="125"/>
        <v>0</v>
      </c>
      <c r="AG801" s="65" t="e">
        <f t="shared" ca="1" si="126"/>
        <v>#N/A</v>
      </c>
      <c r="AH801" s="65" t="e">
        <f t="shared" ca="1" si="127"/>
        <v>#N/A</v>
      </c>
      <c r="AI801" s="3" t="e">
        <f t="shared" ca="1" si="128"/>
        <v>#N/A</v>
      </c>
    </row>
    <row r="802" spans="7:35" ht="15" thickBot="1" x14ac:dyDescent="0.35">
      <c r="G802" s="3">
        <f t="shared" ca="1" si="120"/>
        <v>218</v>
      </c>
      <c r="H802" s="99">
        <f t="shared" ca="1" si="129"/>
        <v>45874</v>
      </c>
      <c r="I802" s="123">
        <f ca="1">HLOOKUP($H$4,'Met Data'!$A$2:$F$368,G802,FALSE)</f>
        <v>9.7708333333333304</v>
      </c>
      <c r="J802" s="121">
        <f ca="1">HLOOKUP($H$4,'Met Data'!$H$2:$M$368,G802,FALSE)*L802</f>
        <v>2.9833333333333298</v>
      </c>
      <c r="K802" s="100">
        <f ca="1">HLOOKUP($H$4,'Met Data'!$O$2:$T$368,G802,FALSE)</f>
        <v>1.3432284560273799</v>
      </c>
      <c r="L802">
        <f t="shared" ca="1" si="121"/>
        <v>1</v>
      </c>
      <c r="N802" t="e">
        <f t="shared" ca="1" si="122"/>
        <v>#N/A</v>
      </c>
      <c r="O802" t="e">
        <f t="shared" ca="1" si="123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4"/>
        <v>0</v>
      </c>
      <c r="AE802">
        <f t="shared" ca="1" si="125"/>
        <v>0</v>
      </c>
      <c r="AG802" s="65" t="e">
        <f t="shared" ca="1" si="126"/>
        <v>#N/A</v>
      </c>
      <c r="AH802" s="65" t="e">
        <f t="shared" ca="1" si="127"/>
        <v>#N/A</v>
      </c>
      <c r="AI802" s="3" t="e">
        <f t="shared" ca="1" si="128"/>
        <v>#N/A</v>
      </c>
    </row>
    <row r="803" spans="7:35" ht="15" thickBot="1" x14ac:dyDescent="0.35">
      <c r="G803" s="3">
        <f t="shared" ca="1" si="120"/>
        <v>219</v>
      </c>
      <c r="H803" s="99">
        <f t="shared" ca="1" si="129"/>
        <v>45875</v>
      </c>
      <c r="I803" s="123">
        <f ca="1">HLOOKUP($H$4,'Met Data'!$A$2:$F$368,G803,FALSE)</f>
        <v>9.8791666666666593</v>
      </c>
      <c r="J803" s="121">
        <f ca="1">HLOOKUP($H$4,'Met Data'!$H$2:$M$368,G803,FALSE)*L803</f>
        <v>4.4833333333333298</v>
      </c>
      <c r="K803" s="100">
        <f ca="1">HLOOKUP($H$4,'Met Data'!$O$2:$T$368,G803,FALSE)</f>
        <v>1.0259838566514501</v>
      </c>
      <c r="L803">
        <f t="shared" ca="1" si="121"/>
        <v>1</v>
      </c>
      <c r="N803" t="e">
        <f t="shared" ca="1" si="122"/>
        <v>#N/A</v>
      </c>
      <c r="O803" t="e">
        <f t="shared" ca="1" si="123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4"/>
        <v>0</v>
      </c>
      <c r="AE803">
        <f t="shared" ca="1" si="125"/>
        <v>0</v>
      </c>
      <c r="AG803" s="65" t="e">
        <f t="shared" ca="1" si="126"/>
        <v>#N/A</v>
      </c>
      <c r="AH803" s="65" t="e">
        <f t="shared" ca="1" si="127"/>
        <v>#N/A</v>
      </c>
      <c r="AI803" s="3" t="e">
        <f t="shared" ca="1" si="128"/>
        <v>#N/A</v>
      </c>
    </row>
    <row r="804" spans="7:35" ht="15" thickBot="1" x14ac:dyDescent="0.35">
      <c r="G804" s="3">
        <f t="shared" ca="1" si="120"/>
        <v>220</v>
      </c>
      <c r="H804" s="99">
        <f t="shared" ca="1" si="129"/>
        <v>45876</v>
      </c>
      <c r="I804" s="123">
        <f ca="1">HLOOKUP($H$4,'Met Data'!$A$2:$F$368,G804,FALSE)</f>
        <v>9.9874999999999901</v>
      </c>
      <c r="J804" s="121">
        <f ca="1">HLOOKUP($H$4,'Met Data'!$H$2:$M$368,G804,FALSE)*L804</f>
        <v>2.2000000000000002</v>
      </c>
      <c r="K804" s="100">
        <f ca="1">HLOOKUP($H$4,'Met Data'!$O$2:$T$368,G804,FALSE)</f>
        <v>1.1029484647982599</v>
      </c>
      <c r="L804">
        <f t="shared" ca="1" si="121"/>
        <v>1</v>
      </c>
      <c r="N804" t="e">
        <f t="shared" ca="1" si="122"/>
        <v>#N/A</v>
      </c>
      <c r="O804" t="e">
        <f t="shared" ca="1" si="123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4"/>
        <v>0</v>
      </c>
      <c r="AE804">
        <f t="shared" ca="1" si="125"/>
        <v>0</v>
      </c>
      <c r="AG804" s="65" t="e">
        <f t="shared" ca="1" si="126"/>
        <v>#N/A</v>
      </c>
      <c r="AH804" s="65" t="e">
        <f t="shared" ca="1" si="127"/>
        <v>#N/A</v>
      </c>
      <c r="AI804" s="3" t="e">
        <f t="shared" ca="1" si="128"/>
        <v>#N/A</v>
      </c>
    </row>
    <row r="805" spans="7:35" ht="15" thickBot="1" x14ac:dyDescent="0.35">
      <c r="G805" s="3">
        <f t="shared" ca="1" si="120"/>
        <v>221</v>
      </c>
      <c r="H805" s="99">
        <f t="shared" ca="1" si="129"/>
        <v>45877</v>
      </c>
      <c r="I805" s="123">
        <f ca="1">HLOOKUP($H$4,'Met Data'!$A$2:$F$368,G805,FALSE)</f>
        <v>9.4625000000000004</v>
      </c>
      <c r="J805" s="121">
        <f ca="1">HLOOKUP($H$4,'Met Data'!$H$2:$M$368,G805,FALSE)*L805</f>
        <v>3.61666666666666</v>
      </c>
      <c r="K805" s="100">
        <f ca="1">HLOOKUP($H$4,'Met Data'!$O$2:$T$368,G805,FALSE)</f>
        <v>1.10790183862933</v>
      </c>
      <c r="L805">
        <f t="shared" ca="1" si="121"/>
        <v>1</v>
      </c>
      <c r="N805" t="e">
        <f t="shared" ca="1" si="122"/>
        <v>#N/A</v>
      </c>
      <c r="O805" t="e">
        <f t="shared" ca="1" si="123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4"/>
        <v>0</v>
      </c>
      <c r="AE805">
        <f t="shared" ca="1" si="125"/>
        <v>0</v>
      </c>
      <c r="AG805" s="65" t="e">
        <f t="shared" ca="1" si="126"/>
        <v>#N/A</v>
      </c>
      <c r="AH805" s="65" t="e">
        <f t="shared" ca="1" si="127"/>
        <v>#N/A</v>
      </c>
      <c r="AI805" s="3" t="e">
        <f t="shared" ca="1" si="128"/>
        <v>#N/A</v>
      </c>
    </row>
    <row r="806" spans="7:35" ht="15" thickBot="1" x14ac:dyDescent="0.35">
      <c r="G806" s="3">
        <f t="shared" ca="1" si="120"/>
        <v>222</v>
      </c>
      <c r="H806" s="99">
        <f t="shared" ca="1" si="129"/>
        <v>45878</v>
      </c>
      <c r="I806" s="123">
        <f ca="1">HLOOKUP($H$4,'Met Data'!$A$2:$F$368,G806,FALSE)</f>
        <v>8.42916666666666</v>
      </c>
      <c r="J806" s="121">
        <f ca="1">HLOOKUP($H$4,'Met Data'!$H$2:$M$368,G806,FALSE)*L806</f>
        <v>3.4</v>
      </c>
      <c r="K806" s="100">
        <f ca="1">HLOOKUP($H$4,'Met Data'!$O$2:$T$368,G806,FALSE)</f>
        <v>1.32402542664303</v>
      </c>
      <c r="L806">
        <f t="shared" ca="1" si="121"/>
        <v>1</v>
      </c>
      <c r="N806" t="e">
        <f t="shared" ca="1" si="122"/>
        <v>#N/A</v>
      </c>
      <c r="O806" t="e">
        <f t="shared" ca="1" si="123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4"/>
        <v>0</v>
      </c>
      <c r="AE806">
        <f t="shared" ca="1" si="125"/>
        <v>0</v>
      </c>
      <c r="AG806" s="65" t="e">
        <f t="shared" ca="1" si="126"/>
        <v>#N/A</v>
      </c>
      <c r="AH806" s="65" t="e">
        <f t="shared" ca="1" si="127"/>
        <v>#N/A</v>
      </c>
      <c r="AI806" s="3" t="e">
        <f t="shared" ca="1" si="128"/>
        <v>#N/A</v>
      </c>
    </row>
    <row r="807" spans="7:35" ht="15" thickBot="1" x14ac:dyDescent="0.35">
      <c r="G807" s="3">
        <f t="shared" ca="1" si="120"/>
        <v>223</v>
      </c>
      <c r="H807" s="99">
        <f t="shared" ca="1" si="129"/>
        <v>45879</v>
      </c>
      <c r="I807" s="123">
        <f ca="1">HLOOKUP($H$4,'Met Data'!$A$2:$F$368,G807,FALSE)</f>
        <v>7.8416666666666597</v>
      </c>
      <c r="J807" s="121">
        <f ca="1">HLOOKUP($H$4,'Met Data'!$H$2:$M$368,G807,FALSE)*L807</f>
        <v>1.38333333333333</v>
      </c>
      <c r="K807" s="100">
        <f ca="1">HLOOKUP($H$4,'Met Data'!$O$2:$T$368,G807,FALSE)</f>
        <v>1.2882274194230801</v>
      </c>
      <c r="L807">
        <f t="shared" ca="1" si="121"/>
        <v>1</v>
      </c>
      <c r="N807" t="e">
        <f t="shared" ca="1" si="122"/>
        <v>#N/A</v>
      </c>
      <c r="O807" t="e">
        <f t="shared" ca="1" si="123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4"/>
        <v>0</v>
      </c>
      <c r="AE807">
        <f t="shared" ca="1" si="125"/>
        <v>0</v>
      </c>
      <c r="AG807" s="65" t="e">
        <f t="shared" ca="1" si="126"/>
        <v>#N/A</v>
      </c>
      <c r="AH807" s="65" t="e">
        <f t="shared" ca="1" si="127"/>
        <v>#N/A</v>
      </c>
      <c r="AI807" s="3" t="e">
        <f t="shared" ca="1" si="128"/>
        <v>#N/A</v>
      </c>
    </row>
    <row r="808" spans="7:35" ht="15" thickBot="1" x14ac:dyDescent="0.35">
      <c r="G808" s="3">
        <f t="shared" ca="1" si="120"/>
        <v>224</v>
      </c>
      <c r="H808" s="99">
        <f t="shared" ca="1" si="129"/>
        <v>45880</v>
      </c>
      <c r="I808" s="123">
        <f ca="1">HLOOKUP($H$4,'Met Data'!$A$2:$F$368,G808,FALSE)</f>
        <v>8.7916666666666607</v>
      </c>
      <c r="J808" s="121">
        <f ca="1">HLOOKUP($H$4,'Met Data'!$H$2:$M$368,G808,FALSE)*L808</f>
        <v>4.7</v>
      </c>
      <c r="K808" s="100">
        <f ca="1">HLOOKUP($H$4,'Met Data'!$O$2:$T$368,G808,FALSE)</f>
        <v>1.2700812995642401</v>
      </c>
      <c r="L808">
        <f t="shared" ca="1" si="121"/>
        <v>1</v>
      </c>
      <c r="N808" t="e">
        <f t="shared" ca="1" si="122"/>
        <v>#N/A</v>
      </c>
      <c r="O808" t="e">
        <f t="shared" ca="1" si="123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4"/>
        <v>0</v>
      </c>
      <c r="AE808">
        <f t="shared" ca="1" si="125"/>
        <v>0</v>
      </c>
      <c r="AG808" s="65" t="e">
        <f t="shared" ca="1" si="126"/>
        <v>#N/A</v>
      </c>
      <c r="AH808" s="65" t="e">
        <f t="shared" ca="1" si="127"/>
        <v>#N/A</v>
      </c>
      <c r="AI808" s="3" t="e">
        <f t="shared" ca="1" si="128"/>
        <v>#N/A</v>
      </c>
    </row>
    <row r="809" spans="7:35" ht="15" thickBot="1" x14ac:dyDescent="0.35">
      <c r="G809" s="3">
        <f t="shared" ca="1" si="120"/>
        <v>225</v>
      </c>
      <c r="H809" s="99">
        <f t="shared" ca="1" si="129"/>
        <v>45881</v>
      </c>
      <c r="I809" s="123">
        <f ca="1">HLOOKUP($H$4,'Met Data'!$A$2:$F$368,G809,FALSE)</f>
        <v>9.2041666666666604</v>
      </c>
      <c r="J809" s="121">
        <f ca="1">HLOOKUP($H$4,'Met Data'!$H$2:$M$368,G809,FALSE)*L809</f>
        <v>4.9666666666666597</v>
      </c>
      <c r="K809" s="100">
        <f ca="1">HLOOKUP($H$4,'Met Data'!$O$2:$T$368,G809,FALSE)</f>
        <v>1.216678160996</v>
      </c>
      <c r="L809">
        <f t="shared" ca="1" si="121"/>
        <v>1</v>
      </c>
      <c r="N809" t="e">
        <f t="shared" ca="1" si="122"/>
        <v>#N/A</v>
      </c>
      <c r="O809" t="e">
        <f t="shared" ca="1" si="123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4"/>
        <v>0</v>
      </c>
      <c r="AE809">
        <f t="shared" ca="1" si="125"/>
        <v>0</v>
      </c>
      <c r="AG809" s="65" t="e">
        <f t="shared" ca="1" si="126"/>
        <v>#N/A</v>
      </c>
      <c r="AH809" s="65" t="e">
        <f t="shared" ca="1" si="127"/>
        <v>#N/A</v>
      </c>
      <c r="AI809" s="3" t="e">
        <f t="shared" ca="1" si="128"/>
        <v>#N/A</v>
      </c>
    </row>
    <row r="810" spans="7:35" ht="15" thickBot="1" x14ac:dyDescent="0.35">
      <c r="G810" s="3">
        <f t="shared" ca="1" si="120"/>
        <v>226</v>
      </c>
      <c r="H810" s="99">
        <f t="shared" ca="1" si="129"/>
        <v>45882</v>
      </c>
      <c r="I810" s="123">
        <f ca="1">HLOOKUP($H$4,'Met Data'!$A$2:$F$368,G810,FALSE)</f>
        <v>9.49583333333333</v>
      </c>
      <c r="J810" s="121">
        <f ca="1">HLOOKUP($H$4,'Met Data'!$H$2:$M$368,G810,FALSE)*L810</f>
        <v>3.11666666666666</v>
      </c>
      <c r="K810" s="100">
        <f ca="1">HLOOKUP($H$4,'Met Data'!$O$2:$T$368,G810,FALSE)</f>
        <v>1.2041756804414001</v>
      </c>
      <c r="L810">
        <f t="shared" ca="1" si="121"/>
        <v>1</v>
      </c>
      <c r="N810" t="e">
        <f t="shared" ca="1" si="122"/>
        <v>#N/A</v>
      </c>
      <c r="O810" t="e">
        <f t="shared" ca="1" si="123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4"/>
        <v>0</v>
      </c>
      <c r="AE810">
        <f t="shared" ca="1" si="125"/>
        <v>0</v>
      </c>
      <c r="AG810" s="65" t="e">
        <f t="shared" ca="1" si="126"/>
        <v>#N/A</v>
      </c>
      <c r="AH810" s="65" t="e">
        <f t="shared" ca="1" si="127"/>
        <v>#N/A</v>
      </c>
      <c r="AI810" s="3" t="e">
        <f t="shared" ca="1" si="128"/>
        <v>#N/A</v>
      </c>
    </row>
    <row r="811" spans="7:35" ht="15" thickBot="1" x14ac:dyDescent="0.35">
      <c r="G811" s="3">
        <f t="shared" ca="1" si="120"/>
        <v>227</v>
      </c>
      <c r="H811" s="99">
        <f t="shared" ca="1" si="129"/>
        <v>45883</v>
      </c>
      <c r="I811" s="123">
        <f ca="1">HLOOKUP($H$4,'Met Data'!$A$2:$F$368,G811,FALSE)</f>
        <v>9.7791666666666597</v>
      </c>
      <c r="J811" s="121">
        <f ca="1">HLOOKUP($H$4,'Met Data'!$H$2:$M$368,G811,FALSE)*L811</f>
        <v>6.7</v>
      </c>
      <c r="K811" s="100">
        <f ca="1">HLOOKUP($H$4,'Met Data'!$O$2:$T$368,G811,FALSE)</f>
        <v>1.1357294741412001</v>
      </c>
      <c r="L811">
        <f t="shared" ca="1" si="121"/>
        <v>1</v>
      </c>
      <c r="N811" t="e">
        <f t="shared" ca="1" si="122"/>
        <v>#N/A</v>
      </c>
      <c r="O811" t="e">
        <f t="shared" ca="1" si="123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4"/>
        <v>0</v>
      </c>
      <c r="AE811">
        <f t="shared" ca="1" si="125"/>
        <v>0</v>
      </c>
      <c r="AG811" s="65" t="e">
        <f t="shared" ca="1" si="126"/>
        <v>#N/A</v>
      </c>
      <c r="AH811" s="65" t="e">
        <f t="shared" ca="1" si="127"/>
        <v>#N/A</v>
      </c>
      <c r="AI811" s="3" t="e">
        <f t="shared" ca="1" si="128"/>
        <v>#N/A</v>
      </c>
    </row>
    <row r="812" spans="7:35" ht="15" thickBot="1" x14ac:dyDescent="0.35">
      <c r="G812" s="3">
        <f t="shared" ca="1" si="120"/>
        <v>228</v>
      </c>
      <c r="H812" s="99">
        <f t="shared" ca="1" si="129"/>
        <v>45884</v>
      </c>
      <c r="I812" s="123">
        <f ca="1">HLOOKUP($H$4,'Met Data'!$A$2:$F$368,G812,FALSE)</f>
        <v>9.4375</v>
      </c>
      <c r="J812" s="121">
        <f ca="1">HLOOKUP($H$4,'Met Data'!$H$2:$M$368,G812,FALSE)*L812</f>
        <v>3.2833333333333301</v>
      </c>
      <c r="K812" s="100">
        <f ca="1">HLOOKUP($H$4,'Met Data'!$O$2:$T$368,G812,FALSE)</f>
        <v>1.2410385498851699</v>
      </c>
      <c r="L812">
        <f t="shared" ca="1" si="121"/>
        <v>1</v>
      </c>
      <c r="N812" t="e">
        <f t="shared" ca="1" si="122"/>
        <v>#N/A</v>
      </c>
      <c r="O812" t="e">
        <f t="shared" ca="1" si="123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4"/>
        <v>0</v>
      </c>
      <c r="AE812">
        <f t="shared" ca="1" si="125"/>
        <v>0</v>
      </c>
      <c r="AG812" s="65" t="e">
        <f t="shared" ca="1" si="126"/>
        <v>#N/A</v>
      </c>
      <c r="AH812" s="65" t="e">
        <f t="shared" ca="1" si="127"/>
        <v>#N/A</v>
      </c>
      <c r="AI812" s="3" t="e">
        <f t="shared" ca="1" si="128"/>
        <v>#N/A</v>
      </c>
    </row>
    <row r="813" spans="7:35" ht="15" thickBot="1" x14ac:dyDescent="0.35">
      <c r="G813" s="3">
        <f t="shared" ca="1" si="120"/>
        <v>229</v>
      </c>
      <c r="H813" s="99">
        <f t="shared" ca="1" si="129"/>
        <v>45885</v>
      </c>
      <c r="I813" s="123">
        <f ca="1">HLOOKUP($H$4,'Met Data'!$A$2:$F$368,G813,FALSE)</f>
        <v>9.6999999999999993</v>
      </c>
      <c r="J813" s="121">
        <f ca="1">HLOOKUP($H$4,'Met Data'!$H$2:$M$368,G813,FALSE)*L813</f>
        <v>1.5999999999999901</v>
      </c>
      <c r="K813" s="100">
        <f ca="1">HLOOKUP($H$4,'Met Data'!$O$2:$T$368,G813,FALSE)</f>
        <v>1.30158376837533</v>
      </c>
      <c r="L813">
        <f t="shared" ca="1" si="121"/>
        <v>1</v>
      </c>
      <c r="N813" t="e">
        <f t="shared" ca="1" si="122"/>
        <v>#N/A</v>
      </c>
      <c r="O813" t="e">
        <f t="shared" ca="1" si="123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4"/>
        <v>0</v>
      </c>
      <c r="AE813">
        <f t="shared" ca="1" si="125"/>
        <v>0</v>
      </c>
      <c r="AG813" s="65" t="e">
        <f t="shared" ca="1" si="126"/>
        <v>#N/A</v>
      </c>
      <c r="AH813" s="65" t="e">
        <f t="shared" ca="1" si="127"/>
        <v>#N/A</v>
      </c>
      <c r="AI813" s="3" t="e">
        <f t="shared" ca="1" si="128"/>
        <v>#N/A</v>
      </c>
    </row>
    <row r="814" spans="7:35" ht="15" thickBot="1" x14ac:dyDescent="0.35">
      <c r="G814" s="3">
        <f t="shared" ca="1" si="120"/>
        <v>230</v>
      </c>
      <c r="H814" s="99">
        <f t="shared" ca="1" si="129"/>
        <v>45886</v>
      </c>
      <c r="I814" s="123">
        <f ca="1">HLOOKUP($H$4,'Met Data'!$A$2:$F$368,G814,FALSE)</f>
        <v>9.61666666666666</v>
      </c>
      <c r="J814" s="121">
        <f ca="1">HLOOKUP($H$4,'Met Data'!$H$2:$M$368,G814,FALSE)*L814</f>
        <v>6.5999999999999899</v>
      </c>
      <c r="K814" s="100">
        <f ca="1">HLOOKUP($H$4,'Met Data'!$O$2:$T$368,G814,FALSE)</f>
        <v>1.3713845776081399</v>
      </c>
      <c r="L814">
        <f t="shared" ca="1" si="121"/>
        <v>1</v>
      </c>
      <c r="N814" t="e">
        <f t="shared" ca="1" si="122"/>
        <v>#N/A</v>
      </c>
      <c r="O814" t="e">
        <f t="shared" ca="1" si="123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4"/>
        <v>0</v>
      </c>
      <c r="AE814">
        <f t="shared" ca="1" si="125"/>
        <v>0</v>
      </c>
      <c r="AG814" s="65" t="e">
        <f t="shared" ca="1" si="126"/>
        <v>#N/A</v>
      </c>
      <c r="AH814" s="65" t="e">
        <f t="shared" ca="1" si="127"/>
        <v>#N/A</v>
      </c>
      <c r="AI814" s="3" t="e">
        <f t="shared" ca="1" si="128"/>
        <v>#N/A</v>
      </c>
    </row>
    <row r="815" spans="7:35" ht="15" thickBot="1" x14ac:dyDescent="0.35">
      <c r="G815" s="3">
        <f t="shared" ca="1" si="120"/>
        <v>231</v>
      </c>
      <c r="H815" s="99">
        <f t="shared" ca="1" si="129"/>
        <v>45887</v>
      </c>
      <c r="I815" s="123">
        <f ca="1">HLOOKUP($H$4,'Met Data'!$A$2:$F$368,G815,FALSE)</f>
        <v>8.8333333333333304</v>
      </c>
      <c r="J815" s="121">
        <f ca="1">HLOOKUP($H$4,'Met Data'!$H$2:$M$368,G815,FALSE)*L815</f>
        <v>3.3</v>
      </c>
      <c r="K815" s="100">
        <f ca="1">HLOOKUP($H$4,'Met Data'!$O$2:$T$368,G815,FALSE)</f>
        <v>1.38797998518043</v>
      </c>
      <c r="L815">
        <f t="shared" ca="1" si="121"/>
        <v>1</v>
      </c>
      <c r="N815" t="e">
        <f t="shared" ca="1" si="122"/>
        <v>#N/A</v>
      </c>
      <c r="O815" t="e">
        <f t="shared" ca="1" si="123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4"/>
        <v>0</v>
      </c>
      <c r="AE815">
        <f t="shared" ca="1" si="125"/>
        <v>0</v>
      </c>
      <c r="AG815" s="65" t="e">
        <f t="shared" ca="1" si="126"/>
        <v>#N/A</v>
      </c>
      <c r="AH815" s="65" t="e">
        <f t="shared" ca="1" si="127"/>
        <v>#N/A</v>
      </c>
      <c r="AI815" s="3" t="e">
        <f t="shared" ca="1" si="128"/>
        <v>#N/A</v>
      </c>
    </row>
    <row r="816" spans="7:35" ht="15" thickBot="1" x14ac:dyDescent="0.35">
      <c r="G816" s="3">
        <f t="shared" ref="G816:G879" ca="1" si="130">H816-DATE(YEAR(H816),1,0)+1</f>
        <v>232</v>
      </c>
      <c r="H816" s="99">
        <f t="shared" ca="1" si="129"/>
        <v>45888</v>
      </c>
      <c r="I816" s="123">
        <f ca="1">HLOOKUP($H$4,'Met Data'!$A$2:$F$368,G816,FALSE)</f>
        <v>9.4833333333333307</v>
      </c>
      <c r="J816" s="121">
        <f ca="1">HLOOKUP($H$4,'Met Data'!$H$2:$M$368,G816,FALSE)*L816</f>
        <v>2.1333333333333302</v>
      </c>
      <c r="K816" s="100">
        <f ca="1">HLOOKUP($H$4,'Met Data'!$O$2:$T$368,G816,FALSE)</f>
        <v>1.56092628574794</v>
      </c>
      <c r="L816">
        <f t="shared" ref="L816:L879" ca="1" si="131">IF(H816&lt;$B$31,$J$3,$J$4)</f>
        <v>1</v>
      </c>
      <c r="N816" t="e">
        <f t="shared" ref="N816:N879" ca="1" si="132">IF(P816&lt;$P$3,TRUE,FALSE)</f>
        <v>#N/A</v>
      </c>
      <c r="O816" t="e">
        <f t="shared" ref="O816:O879" ca="1" si="133">AND(IF(P816&gt;($P$2-1),TRUE,FALSE),IF(P816&lt;($P$3+1),TRUE,FALSE))</f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ref="AD816:AD879" ca="1" si="134">IFERROR(P816,$AD$4)</f>
        <v>0</v>
      </c>
      <c r="AE816">
        <f t="shared" ref="AE816:AE879" ca="1" si="135">IFERROR(U816,0)</f>
        <v>0</v>
      </c>
      <c r="AG816" s="65" t="e">
        <f t="shared" ref="AG816:AG879" ca="1" si="136">Q815+S816+T816+U816</f>
        <v>#N/A</v>
      </c>
      <c r="AH816" s="65" t="e">
        <f t="shared" ref="AH816:AH879" ca="1" si="137">Q816+R816+X816</f>
        <v>#N/A</v>
      </c>
      <c r="AI816" s="3" t="e">
        <f t="shared" ref="AI816:AI879" ca="1" si="138">AH816-AG816</f>
        <v>#N/A</v>
      </c>
    </row>
    <row r="817" spans="7:35" ht="15" thickBot="1" x14ac:dyDescent="0.35">
      <c r="G817" s="3">
        <f t="shared" ca="1" si="130"/>
        <v>233</v>
      </c>
      <c r="H817" s="99">
        <f t="shared" ca="1" si="129"/>
        <v>45889</v>
      </c>
      <c r="I817" s="123">
        <f ca="1">HLOOKUP($H$4,'Met Data'!$A$2:$F$368,G817,FALSE)</f>
        <v>9.2583333333333293</v>
      </c>
      <c r="J817" s="121">
        <f ca="1">HLOOKUP($H$4,'Met Data'!$H$2:$M$368,G817,FALSE)*L817</f>
        <v>3.65</v>
      </c>
      <c r="K817" s="100">
        <f ca="1">HLOOKUP($H$4,'Met Data'!$O$2:$T$368,G817,FALSE)</f>
        <v>1.4422774750484899</v>
      </c>
      <c r="L817">
        <f t="shared" ca="1" si="131"/>
        <v>1</v>
      </c>
      <c r="N817" t="e">
        <f t="shared" ca="1" si="132"/>
        <v>#N/A</v>
      </c>
      <c r="O817" t="e">
        <f t="shared" ca="1" si="133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ca="1" si="134"/>
        <v>0</v>
      </c>
      <c r="AE817">
        <f t="shared" ca="1" si="135"/>
        <v>0</v>
      </c>
      <c r="AG817" s="65" t="e">
        <f t="shared" ca="1" si="136"/>
        <v>#N/A</v>
      </c>
      <c r="AH817" s="65" t="e">
        <f t="shared" ca="1" si="137"/>
        <v>#N/A</v>
      </c>
      <c r="AI817" s="3" t="e">
        <f t="shared" ca="1" si="138"/>
        <v>#N/A</v>
      </c>
    </row>
    <row r="818" spans="7:35" ht="15" thickBot="1" x14ac:dyDescent="0.35">
      <c r="G818" s="3">
        <f t="shared" ca="1" si="130"/>
        <v>234</v>
      </c>
      <c r="H818" s="99">
        <f t="shared" ca="1" si="129"/>
        <v>45890</v>
      </c>
      <c r="I818" s="123">
        <f ca="1">HLOOKUP($H$4,'Met Data'!$A$2:$F$368,G818,FALSE)</f>
        <v>9.7708333333333304</v>
      </c>
      <c r="J818" s="121">
        <f ca="1">HLOOKUP($H$4,'Met Data'!$H$2:$M$368,G818,FALSE)*L818</f>
        <v>2.36666666666666</v>
      </c>
      <c r="K818" s="100">
        <f ca="1">HLOOKUP($H$4,'Met Data'!$O$2:$T$368,G818,FALSE)</f>
        <v>1.70464821639982</v>
      </c>
      <c r="L818">
        <f t="shared" ca="1" si="131"/>
        <v>1</v>
      </c>
      <c r="N818" t="e">
        <f t="shared" ca="1" si="132"/>
        <v>#N/A</v>
      </c>
      <c r="O818" t="e">
        <f t="shared" ca="1" si="133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4"/>
        <v>0</v>
      </c>
      <c r="AE818">
        <f t="shared" ca="1" si="135"/>
        <v>0</v>
      </c>
      <c r="AG818" s="65" t="e">
        <f t="shared" ca="1" si="136"/>
        <v>#N/A</v>
      </c>
      <c r="AH818" s="65" t="e">
        <f t="shared" ca="1" si="137"/>
        <v>#N/A</v>
      </c>
      <c r="AI818" s="3" t="e">
        <f t="shared" ca="1" si="138"/>
        <v>#N/A</v>
      </c>
    </row>
    <row r="819" spans="7:35" ht="15" thickBot="1" x14ac:dyDescent="0.35">
      <c r="G819" s="3">
        <f t="shared" ca="1" si="130"/>
        <v>235</v>
      </c>
      <c r="H819" s="99">
        <f t="shared" ca="1" si="129"/>
        <v>45891</v>
      </c>
      <c r="I819" s="123">
        <f ca="1">HLOOKUP($H$4,'Met Data'!$A$2:$F$368,G819,FALSE)</f>
        <v>9.5208333333333304</v>
      </c>
      <c r="J819" s="121">
        <f ca="1">HLOOKUP($H$4,'Met Data'!$H$2:$M$368,G819,FALSE)*L819</f>
        <v>4.4666666666666597</v>
      </c>
      <c r="K819" s="100">
        <f ca="1">HLOOKUP($H$4,'Met Data'!$O$2:$T$368,G819,FALSE)</f>
        <v>1.6762831823304301</v>
      </c>
      <c r="L819">
        <f t="shared" ca="1" si="131"/>
        <v>1</v>
      </c>
      <c r="N819" t="e">
        <f t="shared" ca="1" si="132"/>
        <v>#N/A</v>
      </c>
      <c r="O819" t="e">
        <f t="shared" ca="1" si="133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4"/>
        <v>0</v>
      </c>
      <c r="AE819">
        <f t="shared" ca="1" si="135"/>
        <v>0</v>
      </c>
      <c r="AG819" s="65" t="e">
        <f t="shared" ca="1" si="136"/>
        <v>#N/A</v>
      </c>
      <c r="AH819" s="65" t="e">
        <f t="shared" ca="1" si="137"/>
        <v>#N/A</v>
      </c>
      <c r="AI819" s="3" t="e">
        <f t="shared" ca="1" si="138"/>
        <v>#N/A</v>
      </c>
    </row>
    <row r="820" spans="7:35" ht="15" thickBot="1" x14ac:dyDescent="0.35">
      <c r="G820" s="3">
        <f t="shared" ca="1" si="130"/>
        <v>236</v>
      </c>
      <c r="H820" s="99">
        <f t="shared" ca="1" si="129"/>
        <v>45892</v>
      </c>
      <c r="I820" s="123">
        <f ca="1">HLOOKUP($H$4,'Met Data'!$A$2:$F$368,G820,FALSE)</f>
        <v>9.5791666666666604</v>
      </c>
      <c r="J820" s="121">
        <f ca="1">HLOOKUP($H$4,'Met Data'!$H$2:$M$368,G820,FALSE)*L820</f>
        <v>1.4833333333333301</v>
      </c>
      <c r="K820" s="100">
        <f ca="1">HLOOKUP($H$4,'Met Data'!$O$2:$T$368,G820,FALSE)</f>
        <v>1.44273965203753</v>
      </c>
      <c r="L820">
        <f t="shared" ca="1" si="131"/>
        <v>1</v>
      </c>
      <c r="N820" t="e">
        <f t="shared" ca="1" si="132"/>
        <v>#N/A</v>
      </c>
      <c r="O820" t="e">
        <f t="shared" ca="1" si="133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4"/>
        <v>0</v>
      </c>
      <c r="AE820">
        <f t="shared" ca="1" si="135"/>
        <v>0</v>
      </c>
      <c r="AG820" s="65" t="e">
        <f t="shared" ca="1" si="136"/>
        <v>#N/A</v>
      </c>
      <c r="AH820" s="65" t="e">
        <f t="shared" ca="1" si="137"/>
        <v>#N/A</v>
      </c>
      <c r="AI820" s="3" t="e">
        <f t="shared" ca="1" si="138"/>
        <v>#N/A</v>
      </c>
    </row>
    <row r="821" spans="7:35" ht="15" thickBot="1" x14ac:dyDescent="0.35">
      <c r="G821" s="3">
        <f t="shared" ca="1" si="130"/>
        <v>237</v>
      </c>
      <c r="H821" s="99">
        <f t="shared" ca="1" si="129"/>
        <v>45893</v>
      </c>
      <c r="I821" s="123">
        <f ca="1">HLOOKUP($H$4,'Met Data'!$A$2:$F$368,G821,FALSE)</f>
        <v>9.8874999999999993</v>
      </c>
      <c r="J821" s="121">
        <f ca="1">HLOOKUP($H$4,'Met Data'!$H$2:$M$368,G821,FALSE)*L821</f>
        <v>0.56666666666666599</v>
      </c>
      <c r="K821" s="100">
        <f ca="1">HLOOKUP($H$4,'Met Data'!$O$2:$T$368,G821,FALSE)</f>
        <v>1.7386735184612501</v>
      </c>
      <c r="L821">
        <f t="shared" ca="1" si="131"/>
        <v>1</v>
      </c>
      <c r="N821" t="e">
        <f t="shared" ca="1" si="132"/>
        <v>#N/A</v>
      </c>
      <c r="O821" t="e">
        <f t="shared" ca="1" si="133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4"/>
        <v>0</v>
      </c>
      <c r="AE821">
        <f t="shared" ca="1" si="135"/>
        <v>0</v>
      </c>
      <c r="AG821" s="65" t="e">
        <f t="shared" ca="1" si="136"/>
        <v>#N/A</v>
      </c>
      <c r="AH821" s="65" t="e">
        <f t="shared" ca="1" si="137"/>
        <v>#N/A</v>
      </c>
      <c r="AI821" s="3" t="e">
        <f t="shared" ca="1" si="138"/>
        <v>#N/A</v>
      </c>
    </row>
    <row r="822" spans="7:35" ht="15" thickBot="1" x14ac:dyDescent="0.35">
      <c r="G822" s="3">
        <f t="shared" ca="1" si="130"/>
        <v>238</v>
      </c>
      <c r="H822" s="99">
        <f t="shared" ca="1" si="129"/>
        <v>45894</v>
      </c>
      <c r="I822" s="123">
        <f ca="1">HLOOKUP($H$4,'Met Data'!$A$2:$F$368,G822,FALSE)</f>
        <v>9.7208333333333297</v>
      </c>
      <c r="J822" s="121">
        <f ca="1">HLOOKUP($H$4,'Met Data'!$H$2:$M$368,G822,FALSE)*L822</f>
        <v>2.4666666666666601</v>
      </c>
      <c r="K822" s="100">
        <f ca="1">HLOOKUP($H$4,'Met Data'!$O$2:$T$368,G822,FALSE)</f>
        <v>1.45538034550647</v>
      </c>
      <c r="L822">
        <f t="shared" ca="1" si="131"/>
        <v>1</v>
      </c>
      <c r="N822" t="e">
        <f t="shared" ca="1" si="132"/>
        <v>#N/A</v>
      </c>
      <c r="O822" t="e">
        <f t="shared" ca="1" si="133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4"/>
        <v>0</v>
      </c>
      <c r="AE822">
        <f t="shared" ca="1" si="135"/>
        <v>0</v>
      </c>
      <c r="AG822" s="65" t="e">
        <f t="shared" ca="1" si="136"/>
        <v>#N/A</v>
      </c>
      <c r="AH822" s="65" t="e">
        <f t="shared" ca="1" si="137"/>
        <v>#N/A</v>
      </c>
      <c r="AI822" s="3" t="e">
        <f t="shared" ca="1" si="138"/>
        <v>#N/A</v>
      </c>
    </row>
    <row r="823" spans="7:35" ht="15" thickBot="1" x14ac:dyDescent="0.35">
      <c r="G823" s="3">
        <f t="shared" ca="1" si="130"/>
        <v>239</v>
      </c>
      <c r="H823" s="99">
        <f t="shared" ca="1" si="129"/>
        <v>45895</v>
      </c>
      <c r="I823" s="123">
        <f ca="1">HLOOKUP($H$4,'Met Data'!$A$2:$F$368,G823,FALSE)</f>
        <v>10.716666666666599</v>
      </c>
      <c r="J823" s="121">
        <f ca="1">HLOOKUP($H$4,'Met Data'!$H$2:$M$368,G823,FALSE)*L823</f>
        <v>3.0666666666666602</v>
      </c>
      <c r="K823" s="100">
        <f ca="1">HLOOKUP($H$4,'Met Data'!$O$2:$T$368,G823,FALSE)</f>
        <v>1.4899612238642299</v>
      </c>
      <c r="L823">
        <f t="shared" ca="1" si="131"/>
        <v>1</v>
      </c>
      <c r="N823" t="e">
        <f t="shared" ca="1" si="132"/>
        <v>#N/A</v>
      </c>
      <c r="O823" t="e">
        <f t="shared" ca="1" si="133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4"/>
        <v>0</v>
      </c>
      <c r="AE823">
        <f t="shared" ca="1" si="135"/>
        <v>0</v>
      </c>
      <c r="AG823" s="65" t="e">
        <f t="shared" ca="1" si="136"/>
        <v>#N/A</v>
      </c>
      <c r="AH823" s="65" t="e">
        <f t="shared" ca="1" si="137"/>
        <v>#N/A</v>
      </c>
      <c r="AI823" s="3" t="e">
        <f t="shared" ca="1" si="138"/>
        <v>#N/A</v>
      </c>
    </row>
    <row r="824" spans="7:35" ht="15" thickBot="1" x14ac:dyDescent="0.35">
      <c r="G824" s="3">
        <f t="shared" ca="1" si="130"/>
        <v>240</v>
      </c>
      <c r="H824" s="99">
        <f t="shared" ca="1" si="129"/>
        <v>45896</v>
      </c>
      <c r="I824" s="123">
        <f ca="1">HLOOKUP($H$4,'Met Data'!$A$2:$F$368,G824,FALSE)</f>
        <v>10.754166666666601</v>
      </c>
      <c r="J824" s="121">
        <f ca="1">HLOOKUP($H$4,'Met Data'!$H$2:$M$368,G824,FALSE)*L824</f>
        <v>1.0333333333333301</v>
      </c>
      <c r="K824" s="100">
        <f ca="1">HLOOKUP($H$4,'Met Data'!$O$2:$T$368,G824,FALSE)</f>
        <v>1.6543487023337</v>
      </c>
      <c r="L824">
        <f t="shared" ca="1" si="131"/>
        <v>1</v>
      </c>
      <c r="N824" t="e">
        <f t="shared" ca="1" si="132"/>
        <v>#N/A</v>
      </c>
      <c r="O824" t="e">
        <f t="shared" ca="1" si="133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4"/>
        <v>0</v>
      </c>
      <c r="AE824">
        <f t="shared" ca="1" si="135"/>
        <v>0</v>
      </c>
      <c r="AG824" s="65" t="e">
        <f t="shared" ca="1" si="136"/>
        <v>#N/A</v>
      </c>
      <c r="AH824" s="65" t="e">
        <f t="shared" ca="1" si="137"/>
        <v>#N/A</v>
      </c>
      <c r="AI824" s="3" t="e">
        <f t="shared" ca="1" si="138"/>
        <v>#N/A</v>
      </c>
    </row>
    <row r="825" spans="7:35" ht="15" thickBot="1" x14ac:dyDescent="0.35">
      <c r="G825" s="3">
        <f t="shared" ca="1" si="130"/>
        <v>241</v>
      </c>
      <c r="H825" s="99">
        <f t="shared" ca="1" si="129"/>
        <v>45897</v>
      </c>
      <c r="I825" s="123">
        <f ca="1">HLOOKUP($H$4,'Met Data'!$A$2:$F$368,G825,FALSE)</f>
        <v>11.0833333333333</v>
      </c>
      <c r="J825" s="121">
        <f ca="1">HLOOKUP($H$4,'Met Data'!$H$2:$M$368,G825,FALSE)*L825</f>
        <v>1.9</v>
      </c>
      <c r="K825" s="100">
        <f ca="1">HLOOKUP($H$4,'Met Data'!$O$2:$T$368,G825,FALSE)</f>
        <v>1.6425180639822501</v>
      </c>
      <c r="L825">
        <f t="shared" ca="1" si="131"/>
        <v>1</v>
      </c>
      <c r="N825" t="e">
        <f t="shared" ca="1" si="132"/>
        <v>#N/A</v>
      </c>
      <c r="O825" t="e">
        <f t="shared" ca="1" si="133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4"/>
        <v>0</v>
      </c>
      <c r="AE825">
        <f t="shared" ca="1" si="135"/>
        <v>0</v>
      </c>
      <c r="AG825" s="65" t="e">
        <f t="shared" ca="1" si="136"/>
        <v>#N/A</v>
      </c>
      <c r="AH825" s="65" t="e">
        <f t="shared" ca="1" si="137"/>
        <v>#N/A</v>
      </c>
      <c r="AI825" s="3" t="e">
        <f t="shared" ca="1" si="138"/>
        <v>#N/A</v>
      </c>
    </row>
    <row r="826" spans="7:35" ht="15" thickBot="1" x14ac:dyDescent="0.35">
      <c r="G826" s="3">
        <f t="shared" ca="1" si="130"/>
        <v>242</v>
      </c>
      <c r="H826" s="99">
        <f t="shared" ca="1" si="129"/>
        <v>45898</v>
      </c>
      <c r="I826" s="123">
        <f ca="1">HLOOKUP($H$4,'Met Data'!$A$2:$F$368,G826,FALSE)</f>
        <v>10.5791666666666</v>
      </c>
      <c r="J826" s="121">
        <f ca="1">HLOOKUP($H$4,'Met Data'!$H$2:$M$368,G826,FALSE)*L826</f>
        <v>3.0166666666666599</v>
      </c>
      <c r="K826" s="100">
        <f ca="1">HLOOKUP($H$4,'Met Data'!$O$2:$T$368,G826,FALSE)</f>
        <v>1.5065040723285099</v>
      </c>
      <c r="L826">
        <f t="shared" ca="1" si="131"/>
        <v>1</v>
      </c>
      <c r="N826" t="e">
        <f t="shared" ca="1" si="132"/>
        <v>#N/A</v>
      </c>
      <c r="O826" t="e">
        <f t="shared" ca="1" si="133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4"/>
        <v>0</v>
      </c>
      <c r="AE826">
        <f t="shared" ca="1" si="135"/>
        <v>0</v>
      </c>
      <c r="AG826" s="65" t="e">
        <f t="shared" ca="1" si="136"/>
        <v>#N/A</v>
      </c>
      <c r="AH826" s="65" t="e">
        <f t="shared" ca="1" si="137"/>
        <v>#N/A</v>
      </c>
      <c r="AI826" s="3" t="e">
        <f t="shared" ca="1" si="138"/>
        <v>#N/A</v>
      </c>
    </row>
    <row r="827" spans="7:35" ht="15" thickBot="1" x14ac:dyDescent="0.35">
      <c r="G827" s="3">
        <f t="shared" ca="1" si="130"/>
        <v>243</v>
      </c>
      <c r="H827" s="99">
        <f t="shared" ca="1" si="129"/>
        <v>45899</v>
      </c>
      <c r="I827" s="123">
        <f ca="1">HLOOKUP($H$4,'Met Data'!$A$2:$F$368,G827,FALSE)</f>
        <v>11.1208333333333</v>
      </c>
      <c r="J827" s="121">
        <f ca="1">HLOOKUP($H$4,'Met Data'!$H$2:$M$368,G827,FALSE)*L827</f>
        <v>1.56666666666666</v>
      </c>
      <c r="K827" s="100">
        <f ca="1">HLOOKUP($H$4,'Met Data'!$O$2:$T$368,G827,FALSE)</f>
        <v>1.7782422370636499</v>
      </c>
      <c r="L827">
        <f t="shared" ca="1" si="131"/>
        <v>1</v>
      </c>
      <c r="N827" t="e">
        <f t="shared" ca="1" si="132"/>
        <v>#N/A</v>
      </c>
      <c r="O827" t="e">
        <f t="shared" ca="1" si="133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4"/>
        <v>0</v>
      </c>
      <c r="AE827">
        <f t="shared" ca="1" si="135"/>
        <v>0</v>
      </c>
      <c r="AG827" s="65" t="e">
        <f t="shared" ca="1" si="136"/>
        <v>#N/A</v>
      </c>
      <c r="AH827" s="65" t="e">
        <f t="shared" ca="1" si="137"/>
        <v>#N/A</v>
      </c>
      <c r="AI827" s="3" t="e">
        <f t="shared" ca="1" si="138"/>
        <v>#N/A</v>
      </c>
    </row>
    <row r="828" spans="7:35" ht="15" thickBot="1" x14ac:dyDescent="0.35">
      <c r="G828" s="3">
        <f t="shared" ca="1" si="130"/>
        <v>244</v>
      </c>
      <c r="H828" s="99">
        <f t="shared" ca="1" si="129"/>
        <v>45900</v>
      </c>
      <c r="I828" s="123">
        <f ca="1">HLOOKUP($H$4,'Met Data'!$A$2:$F$368,G828,FALSE)</f>
        <v>10.6666666666666</v>
      </c>
      <c r="J828" s="121">
        <f ca="1">HLOOKUP($H$4,'Met Data'!$H$2:$M$368,G828,FALSE)*L828</f>
        <v>1.7333333333333301</v>
      </c>
      <c r="K828" s="100">
        <f ca="1">HLOOKUP($H$4,'Met Data'!$O$2:$T$368,G828,FALSE)</f>
        <v>1.8075127039194601</v>
      </c>
      <c r="L828">
        <f t="shared" ca="1" si="131"/>
        <v>1</v>
      </c>
      <c r="N828" t="e">
        <f t="shared" ca="1" si="132"/>
        <v>#N/A</v>
      </c>
      <c r="O828" t="e">
        <f t="shared" ca="1" si="133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4"/>
        <v>0</v>
      </c>
      <c r="AE828">
        <f t="shared" ca="1" si="135"/>
        <v>0</v>
      </c>
      <c r="AG828" s="65" t="e">
        <f t="shared" ca="1" si="136"/>
        <v>#N/A</v>
      </c>
      <c r="AH828" s="65" t="e">
        <f t="shared" ca="1" si="137"/>
        <v>#N/A</v>
      </c>
      <c r="AI828" s="3" t="e">
        <f t="shared" ca="1" si="138"/>
        <v>#N/A</v>
      </c>
    </row>
    <row r="829" spans="7:35" ht="15" thickBot="1" x14ac:dyDescent="0.35">
      <c r="G829" s="3">
        <f t="shared" ca="1" si="130"/>
        <v>245</v>
      </c>
      <c r="H829" s="99">
        <f t="shared" ca="1" si="129"/>
        <v>45901</v>
      </c>
      <c r="I829" s="123">
        <f ca="1">HLOOKUP($H$4,'Met Data'!$A$2:$F$368,G829,FALSE)</f>
        <v>10.1208333333333</v>
      </c>
      <c r="J829" s="121">
        <f ca="1">HLOOKUP($H$4,'Met Data'!$H$2:$M$368,G829,FALSE)*L829</f>
        <v>0.8</v>
      </c>
      <c r="K829" s="100">
        <f ca="1">HLOOKUP($H$4,'Met Data'!$O$2:$T$368,G829,FALSE)</f>
        <v>1.80445161149383</v>
      </c>
      <c r="L829">
        <f t="shared" ca="1" si="131"/>
        <v>1</v>
      </c>
      <c r="N829" t="e">
        <f t="shared" ca="1" si="132"/>
        <v>#N/A</v>
      </c>
      <c r="O829" t="e">
        <f t="shared" ca="1" si="133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4"/>
        <v>0</v>
      </c>
      <c r="AE829">
        <f t="shared" ca="1" si="135"/>
        <v>0</v>
      </c>
      <c r="AG829" s="65" t="e">
        <f t="shared" ca="1" si="136"/>
        <v>#N/A</v>
      </c>
      <c r="AH829" s="65" t="e">
        <f t="shared" ca="1" si="137"/>
        <v>#N/A</v>
      </c>
      <c r="AI829" s="3" t="e">
        <f t="shared" ca="1" si="138"/>
        <v>#N/A</v>
      </c>
    </row>
    <row r="830" spans="7:35" ht="15" thickBot="1" x14ac:dyDescent="0.35">
      <c r="G830" s="3">
        <f t="shared" ca="1" si="130"/>
        <v>246</v>
      </c>
      <c r="H830" s="99">
        <f t="shared" ca="1" si="129"/>
        <v>45902</v>
      </c>
      <c r="I830" s="123">
        <f ca="1">HLOOKUP($H$4,'Met Data'!$A$2:$F$368,G830,FALSE)</f>
        <v>9.6624999999999996</v>
      </c>
      <c r="J830" s="121">
        <f ca="1">HLOOKUP($H$4,'Met Data'!$H$2:$M$368,G830,FALSE)*L830</f>
        <v>3.0833333333333299</v>
      </c>
      <c r="K830" s="100">
        <f ca="1">HLOOKUP($H$4,'Met Data'!$O$2:$T$368,G830,FALSE)</f>
        <v>1.4517482623371101</v>
      </c>
      <c r="L830">
        <f t="shared" ca="1" si="131"/>
        <v>1</v>
      </c>
      <c r="N830" t="e">
        <f t="shared" ca="1" si="132"/>
        <v>#N/A</v>
      </c>
      <c r="O830" t="e">
        <f t="shared" ca="1" si="133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4"/>
        <v>0</v>
      </c>
      <c r="AE830">
        <f t="shared" ca="1" si="135"/>
        <v>0</v>
      </c>
      <c r="AG830" s="65" t="e">
        <f t="shared" ca="1" si="136"/>
        <v>#N/A</v>
      </c>
      <c r="AH830" s="65" t="e">
        <f t="shared" ca="1" si="137"/>
        <v>#N/A</v>
      </c>
      <c r="AI830" s="3" t="e">
        <f t="shared" ca="1" si="138"/>
        <v>#N/A</v>
      </c>
    </row>
    <row r="831" spans="7:35" ht="15" thickBot="1" x14ac:dyDescent="0.35">
      <c r="G831" s="3">
        <f t="shared" ca="1" si="130"/>
        <v>247</v>
      </c>
      <c r="H831" s="99">
        <f t="shared" ca="1" si="129"/>
        <v>45903</v>
      </c>
      <c r="I831" s="123">
        <f ca="1">HLOOKUP($H$4,'Met Data'!$A$2:$F$368,G831,FALSE)</f>
        <v>9.7541666666666593</v>
      </c>
      <c r="J831" s="121">
        <f ca="1">HLOOKUP($H$4,'Met Data'!$H$2:$M$368,G831,FALSE)*L831</f>
        <v>1.0833333333333299</v>
      </c>
      <c r="K831" s="100">
        <f ca="1">HLOOKUP($H$4,'Met Data'!$O$2:$T$368,G831,FALSE)</f>
        <v>1.75831978881469</v>
      </c>
      <c r="L831">
        <f t="shared" ca="1" si="131"/>
        <v>1</v>
      </c>
      <c r="N831" t="e">
        <f t="shared" ca="1" si="132"/>
        <v>#N/A</v>
      </c>
      <c r="O831" t="e">
        <f t="shared" ca="1" si="133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4"/>
        <v>0</v>
      </c>
      <c r="AE831">
        <f t="shared" ca="1" si="135"/>
        <v>0</v>
      </c>
      <c r="AG831" s="65" t="e">
        <f t="shared" ca="1" si="136"/>
        <v>#N/A</v>
      </c>
      <c r="AH831" s="65" t="e">
        <f t="shared" ca="1" si="137"/>
        <v>#N/A</v>
      </c>
      <c r="AI831" s="3" t="e">
        <f t="shared" ca="1" si="138"/>
        <v>#N/A</v>
      </c>
    </row>
    <row r="832" spans="7:35" ht="15" thickBot="1" x14ac:dyDescent="0.35">
      <c r="G832" s="3">
        <f t="shared" ca="1" si="130"/>
        <v>248</v>
      </c>
      <c r="H832" s="99">
        <f t="shared" ca="1" si="129"/>
        <v>45904</v>
      </c>
      <c r="I832" s="123">
        <f ca="1">HLOOKUP($H$4,'Met Data'!$A$2:$F$368,G832,FALSE)</f>
        <v>10.0583333333333</v>
      </c>
      <c r="J832" s="121">
        <f ca="1">HLOOKUP($H$4,'Met Data'!$H$2:$M$368,G832,FALSE)*L832</f>
        <v>2.44999999999999</v>
      </c>
      <c r="K832" s="100">
        <f ca="1">HLOOKUP($H$4,'Met Data'!$O$2:$T$368,G832,FALSE)</f>
        <v>1.8005069619965</v>
      </c>
      <c r="L832">
        <f t="shared" ca="1" si="131"/>
        <v>1</v>
      </c>
      <c r="N832" t="e">
        <f t="shared" ca="1" si="132"/>
        <v>#N/A</v>
      </c>
      <c r="O832" t="e">
        <f t="shared" ca="1" si="133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4"/>
        <v>0</v>
      </c>
      <c r="AE832">
        <f t="shared" ca="1" si="135"/>
        <v>0</v>
      </c>
      <c r="AG832" s="65" t="e">
        <f t="shared" ca="1" si="136"/>
        <v>#N/A</v>
      </c>
      <c r="AH832" s="65" t="e">
        <f t="shared" ca="1" si="137"/>
        <v>#N/A</v>
      </c>
      <c r="AI832" s="3" t="e">
        <f t="shared" ca="1" si="138"/>
        <v>#N/A</v>
      </c>
    </row>
    <row r="833" spans="7:35" ht="15" thickBot="1" x14ac:dyDescent="0.35">
      <c r="G833" s="3">
        <f t="shared" ca="1" si="130"/>
        <v>249</v>
      </c>
      <c r="H833" s="99">
        <f t="shared" ca="1" si="129"/>
        <v>45905</v>
      </c>
      <c r="I833" s="123">
        <f ca="1">HLOOKUP($H$4,'Met Data'!$A$2:$F$368,G833,FALSE)</f>
        <v>9.7750000000000004</v>
      </c>
      <c r="J833" s="121">
        <f ca="1">HLOOKUP($H$4,'Met Data'!$H$2:$M$368,G833,FALSE)*L833</f>
        <v>3.2</v>
      </c>
      <c r="K833" s="100">
        <f ca="1">HLOOKUP($H$4,'Met Data'!$O$2:$T$368,G833,FALSE)</f>
        <v>1.49919962363172</v>
      </c>
      <c r="L833">
        <f t="shared" ca="1" si="131"/>
        <v>1</v>
      </c>
      <c r="N833" t="e">
        <f t="shared" ca="1" si="132"/>
        <v>#N/A</v>
      </c>
      <c r="O833" t="e">
        <f t="shared" ca="1" si="133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4"/>
        <v>0</v>
      </c>
      <c r="AE833">
        <f t="shared" ca="1" si="135"/>
        <v>0</v>
      </c>
      <c r="AG833" s="65" t="e">
        <f t="shared" ca="1" si="136"/>
        <v>#N/A</v>
      </c>
      <c r="AH833" s="65" t="e">
        <f t="shared" ca="1" si="137"/>
        <v>#N/A</v>
      </c>
      <c r="AI833" s="3" t="e">
        <f t="shared" ca="1" si="138"/>
        <v>#N/A</v>
      </c>
    </row>
    <row r="834" spans="7:35" ht="15" thickBot="1" x14ac:dyDescent="0.35">
      <c r="G834" s="3">
        <f t="shared" ca="1" si="130"/>
        <v>250</v>
      </c>
      <c r="H834" s="99">
        <f t="shared" ca="1" si="129"/>
        <v>45906</v>
      </c>
      <c r="I834" s="123">
        <f ca="1">HLOOKUP($H$4,'Met Data'!$A$2:$F$368,G834,FALSE)</f>
        <v>10.3333333333333</v>
      </c>
      <c r="J834" s="121">
        <f ca="1">HLOOKUP($H$4,'Met Data'!$H$2:$M$368,G834,FALSE)*L834</f>
        <v>5.93333333333333</v>
      </c>
      <c r="K834" s="100">
        <f ca="1">HLOOKUP($H$4,'Met Data'!$O$2:$T$368,G834,FALSE)</f>
        <v>1.4735664157819599</v>
      </c>
      <c r="L834">
        <f t="shared" ca="1" si="131"/>
        <v>1</v>
      </c>
      <c r="N834" t="e">
        <f t="shared" ca="1" si="132"/>
        <v>#N/A</v>
      </c>
      <c r="O834" t="e">
        <f t="shared" ca="1" si="133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4"/>
        <v>0</v>
      </c>
      <c r="AE834">
        <f t="shared" ca="1" si="135"/>
        <v>0</v>
      </c>
      <c r="AG834" s="65" t="e">
        <f t="shared" ca="1" si="136"/>
        <v>#N/A</v>
      </c>
      <c r="AH834" s="65" t="e">
        <f t="shared" ca="1" si="137"/>
        <v>#N/A</v>
      </c>
      <c r="AI834" s="3" t="e">
        <f t="shared" ca="1" si="138"/>
        <v>#N/A</v>
      </c>
    </row>
    <row r="835" spans="7:35" ht="15" thickBot="1" x14ac:dyDescent="0.35">
      <c r="G835" s="3">
        <f t="shared" ca="1" si="130"/>
        <v>251</v>
      </c>
      <c r="H835" s="99">
        <f t="shared" ca="1" si="129"/>
        <v>45907</v>
      </c>
      <c r="I835" s="123">
        <f ca="1">HLOOKUP($H$4,'Met Data'!$A$2:$F$368,G835,FALSE)</f>
        <v>10.7708333333333</v>
      </c>
      <c r="J835" s="121">
        <f ca="1">HLOOKUP($H$4,'Met Data'!$H$2:$M$368,G835,FALSE)*L835</f>
        <v>1.2</v>
      </c>
      <c r="K835" s="100">
        <f ca="1">HLOOKUP($H$4,'Met Data'!$O$2:$T$368,G835,FALSE)</f>
        <v>1.8170202832795099</v>
      </c>
      <c r="L835">
        <f t="shared" ca="1" si="131"/>
        <v>1</v>
      </c>
      <c r="N835" t="e">
        <f t="shared" ca="1" si="132"/>
        <v>#N/A</v>
      </c>
      <c r="O835" t="e">
        <f t="shared" ca="1" si="133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4"/>
        <v>0</v>
      </c>
      <c r="AE835">
        <f t="shared" ca="1" si="135"/>
        <v>0</v>
      </c>
      <c r="AG835" s="65" t="e">
        <f t="shared" ca="1" si="136"/>
        <v>#N/A</v>
      </c>
      <c r="AH835" s="65" t="e">
        <f t="shared" ca="1" si="137"/>
        <v>#N/A</v>
      </c>
      <c r="AI835" s="3" t="e">
        <f t="shared" ca="1" si="138"/>
        <v>#N/A</v>
      </c>
    </row>
    <row r="836" spans="7:35" ht="15" thickBot="1" x14ac:dyDescent="0.35">
      <c r="G836" s="3">
        <f t="shared" ca="1" si="130"/>
        <v>252</v>
      </c>
      <c r="H836" s="99">
        <f t="shared" ca="1" si="129"/>
        <v>45908</v>
      </c>
      <c r="I836" s="123">
        <f ca="1">HLOOKUP($H$4,'Met Data'!$A$2:$F$368,G836,FALSE)</f>
        <v>10.5791666666666</v>
      </c>
      <c r="J836" s="121">
        <f ca="1">HLOOKUP($H$4,'Met Data'!$H$2:$M$368,G836,FALSE)*L836</f>
        <v>0.88333333333333297</v>
      </c>
      <c r="K836" s="100">
        <f ca="1">HLOOKUP($H$4,'Met Data'!$O$2:$T$368,G836,FALSE)</f>
        <v>1.8773510693625799</v>
      </c>
      <c r="L836">
        <f t="shared" ca="1" si="131"/>
        <v>1</v>
      </c>
      <c r="N836" t="e">
        <f t="shared" ca="1" si="132"/>
        <v>#N/A</v>
      </c>
      <c r="O836" t="e">
        <f t="shared" ca="1" si="133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4"/>
        <v>0</v>
      </c>
      <c r="AE836">
        <f t="shared" ca="1" si="135"/>
        <v>0</v>
      </c>
      <c r="AG836" s="65" t="e">
        <f t="shared" ca="1" si="136"/>
        <v>#N/A</v>
      </c>
      <c r="AH836" s="65" t="e">
        <f t="shared" ca="1" si="137"/>
        <v>#N/A</v>
      </c>
      <c r="AI836" s="3" t="e">
        <f t="shared" ca="1" si="138"/>
        <v>#N/A</v>
      </c>
    </row>
    <row r="837" spans="7:35" ht="15" thickBot="1" x14ac:dyDescent="0.35">
      <c r="G837" s="3">
        <f t="shared" ca="1" si="130"/>
        <v>253</v>
      </c>
      <c r="H837" s="99">
        <f t="shared" ca="1" si="129"/>
        <v>45909</v>
      </c>
      <c r="I837" s="123">
        <f ca="1">HLOOKUP($H$4,'Met Data'!$A$2:$F$368,G837,FALSE)</f>
        <v>9.6125000000000007</v>
      </c>
      <c r="J837" s="121">
        <f ca="1">HLOOKUP($H$4,'Met Data'!$H$2:$M$368,G837,FALSE)*L837</f>
        <v>4.36666666666666</v>
      </c>
      <c r="K837" s="100">
        <f ca="1">HLOOKUP($H$4,'Met Data'!$O$2:$T$368,G837,FALSE)</f>
        <v>1.8525160666589899</v>
      </c>
      <c r="L837">
        <f t="shared" ca="1" si="131"/>
        <v>1</v>
      </c>
      <c r="N837" t="e">
        <f t="shared" ca="1" si="132"/>
        <v>#N/A</v>
      </c>
      <c r="O837" t="e">
        <f t="shared" ca="1" si="133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4"/>
        <v>0</v>
      </c>
      <c r="AE837">
        <f t="shared" ca="1" si="135"/>
        <v>0</v>
      </c>
      <c r="AG837" s="65" t="e">
        <f t="shared" ca="1" si="136"/>
        <v>#N/A</v>
      </c>
      <c r="AH837" s="65" t="e">
        <f t="shared" ca="1" si="137"/>
        <v>#N/A</v>
      </c>
      <c r="AI837" s="3" t="e">
        <f t="shared" ca="1" si="138"/>
        <v>#N/A</v>
      </c>
    </row>
    <row r="838" spans="7:35" ht="15" thickBot="1" x14ac:dyDescent="0.35">
      <c r="G838" s="3">
        <f t="shared" ca="1" si="130"/>
        <v>254</v>
      </c>
      <c r="H838" s="99">
        <f t="shared" ca="1" si="129"/>
        <v>45910</v>
      </c>
      <c r="I838" s="123">
        <f ca="1">HLOOKUP($H$4,'Met Data'!$A$2:$F$368,G838,FALSE)</f>
        <v>10.0875</v>
      </c>
      <c r="J838" s="121">
        <f ca="1">HLOOKUP($H$4,'Met Data'!$H$2:$M$368,G838,FALSE)*L838</f>
        <v>3.44999999999999</v>
      </c>
      <c r="K838" s="100">
        <f ca="1">HLOOKUP($H$4,'Met Data'!$O$2:$T$368,G838,FALSE)</f>
        <v>1.67590206119575</v>
      </c>
      <c r="L838">
        <f t="shared" ca="1" si="131"/>
        <v>1</v>
      </c>
      <c r="N838" t="e">
        <f t="shared" ca="1" si="132"/>
        <v>#N/A</v>
      </c>
      <c r="O838" t="e">
        <f t="shared" ca="1" si="133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4"/>
        <v>0</v>
      </c>
      <c r="AE838">
        <f t="shared" ca="1" si="135"/>
        <v>0</v>
      </c>
      <c r="AG838" s="65" t="e">
        <f t="shared" ca="1" si="136"/>
        <v>#N/A</v>
      </c>
      <c r="AH838" s="65" t="e">
        <f t="shared" ca="1" si="137"/>
        <v>#N/A</v>
      </c>
      <c r="AI838" s="3" t="e">
        <f t="shared" ca="1" si="138"/>
        <v>#N/A</v>
      </c>
    </row>
    <row r="839" spans="7:35" ht="15" thickBot="1" x14ac:dyDescent="0.35">
      <c r="G839" s="3">
        <f t="shared" ca="1" si="130"/>
        <v>255</v>
      </c>
      <c r="H839" s="99">
        <f t="shared" ca="1" si="129"/>
        <v>45911</v>
      </c>
      <c r="I839" s="123">
        <f ca="1">HLOOKUP($H$4,'Met Data'!$A$2:$F$368,G839,FALSE)</f>
        <v>10.6416666666666</v>
      </c>
      <c r="J839" s="121">
        <f ca="1">HLOOKUP($H$4,'Met Data'!$H$2:$M$368,G839,FALSE)*L839</f>
        <v>6.4666666666666597</v>
      </c>
      <c r="K839" s="100">
        <f ca="1">HLOOKUP($H$4,'Met Data'!$O$2:$T$368,G839,FALSE)</f>
        <v>1.7070370554204599</v>
      </c>
      <c r="L839">
        <f t="shared" ca="1" si="131"/>
        <v>1</v>
      </c>
      <c r="N839" t="e">
        <f t="shared" ca="1" si="132"/>
        <v>#N/A</v>
      </c>
      <c r="O839" t="e">
        <f t="shared" ca="1" si="133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4"/>
        <v>0</v>
      </c>
      <c r="AE839">
        <f t="shared" ca="1" si="135"/>
        <v>0</v>
      </c>
      <c r="AG839" s="65" t="e">
        <f t="shared" ca="1" si="136"/>
        <v>#N/A</v>
      </c>
      <c r="AH839" s="65" t="e">
        <f t="shared" ca="1" si="137"/>
        <v>#N/A</v>
      </c>
      <c r="AI839" s="3" t="e">
        <f t="shared" ca="1" si="138"/>
        <v>#N/A</v>
      </c>
    </row>
    <row r="840" spans="7:35" ht="15" thickBot="1" x14ac:dyDescent="0.35">
      <c r="G840" s="3">
        <f t="shared" ca="1" si="130"/>
        <v>256</v>
      </c>
      <c r="H840" s="99">
        <f t="shared" ref="H840:H903" ca="1" si="139">H839+1</f>
        <v>45912</v>
      </c>
      <c r="I840" s="123">
        <f ca="1">HLOOKUP($H$4,'Met Data'!$A$2:$F$368,G840,FALSE)</f>
        <v>10.4541666666666</v>
      </c>
      <c r="J840" s="121">
        <f ca="1">HLOOKUP($H$4,'Met Data'!$H$2:$M$368,G840,FALSE)*L840</f>
        <v>2.0166666666666599</v>
      </c>
      <c r="K840" s="100">
        <f ca="1">HLOOKUP($H$4,'Met Data'!$O$2:$T$368,G840,FALSE)</f>
        <v>1.9219866027073</v>
      </c>
      <c r="L840">
        <f t="shared" ca="1" si="131"/>
        <v>1</v>
      </c>
      <c r="N840" t="e">
        <f t="shared" ca="1" si="132"/>
        <v>#N/A</v>
      </c>
      <c r="O840" t="e">
        <f t="shared" ca="1" si="133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4"/>
        <v>0</v>
      </c>
      <c r="AE840">
        <f t="shared" ca="1" si="135"/>
        <v>0</v>
      </c>
      <c r="AG840" s="65" t="e">
        <f t="shared" ca="1" si="136"/>
        <v>#N/A</v>
      </c>
      <c r="AH840" s="65" t="e">
        <f t="shared" ca="1" si="137"/>
        <v>#N/A</v>
      </c>
      <c r="AI840" s="3" t="e">
        <f t="shared" ca="1" si="138"/>
        <v>#N/A</v>
      </c>
    </row>
    <row r="841" spans="7:35" ht="15" thickBot="1" x14ac:dyDescent="0.35">
      <c r="G841" s="3">
        <f t="shared" ca="1" si="130"/>
        <v>257</v>
      </c>
      <c r="H841" s="99">
        <f t="shared" ca="1" si="139"/>
        <v>45913</v>
      </c>
      <c r="I841" s="123">
        <f ca="1">HLOOKUP($H$4,'Met Data'!$A$2:$F$368,G841,FALSE)</f>
        <v>11.216666666666599</v>
      </c>
      <c r="J841" s="121">
        <f ca="1">HLOOKUP($H$4,'Met Data'!$H$2:$M$368,G841,FALSE)*L841</f>
        <v>1.4833333333333301</v>
      </c>
      <c r="K841" s="100">
        <f ca="1">HLOOKUP($H$4,'Met Data'!$O$2:$T$368,G841,FALSE)</f>
        <v>1.86072433418519</v>
      </c>
      <c r="L841">
        <f t="shared" ca="1" si="131"/>
        <v>1</v>
      </c>
      <c r="N841" t="e">
        <f t="shared" ca="1" si="132"/>
        <v>#N/A</v>
      </c>
      <c r="O841" t="e">
        <f t="shared" ca="1" si="133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4"/>
        <v>0</v>
      </c>
      <c r="AE841">
        <f t="shared" ca="1" si="135"/>
        <v>0</v>
      </c>
      <c r="AG841" s="65" t="e">
        <f t="shared" ca="1" si="136"/>
        <v>#N/A</v>
      </c>
      <c r="AH841" s="65" t="e">
        <f t="shared" ca="1" si="137"/>
        <v>#N/A</v>
      </c>
      <c r="AI841" s="3" t="e">
        <f t="shared" ca="1" si="138"/>
        <v>#N/A</v>
      </c>
    </row>
    <row r="842" spans="7:35" ht="15" thickBot="1" x14ac:dyDescent="0.35">
      <c r="G842" s="3">
        <f t="shared" ca="1" si="130"/>
        <v>258</v>
      </c>
      <c r="H842" s="99">
        <f t="shared" ca="1" si="139"/>
        <v>45914</v>
      </c>
      <c r="I842" s="123">
        <f ca="1">HLOOKUP($H$4,'Met Data'!$A$2:$F$368,G842,FALSE)</f>
        <v>11.1</v>
      </c>
      <c r="J842" s="121">
        <f ca="1">HLOOKUP($H$4,'Met Data'!$H$2:$M$368,G842,FALSE)*L842</f>
        <v>2.4166666666666599</v>
      </c>
      <c r="K842" s="100">
        <f ca="1">HLOOKUP($H$4,'Met Data'!$O$2:$T$368,G842,FALSE)</f>
        <v>1.6515892534407901</v>
      </c>
      <c r="L842">
        <f t="shared" ca="1" si="131"/>
        <v>1</v>
      </c>
      <c r="N842" t="e">
        <f t="shared" ca="1" si="132"/>
        <v>#N/A</v>
      </c>
      <c r="O842" t="e">
        <f t="shared" ca="1" si="133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4"/>
        <v>0</v>
      </c>
      <c r="AE842">
        <f t="shared" ca="1" si="135"/>
        <v>0</v>
      </c>
      <c r="AG842" s="65" t="e">
        <f t="shared" ca="1" si="136"/>
        <v>#N/A</v>
      </c>
      <c r="AH842" s="65" t="e">
        <f t="shared" ca="1" si="137"/>
        <v>#N/A</v>
      </c>
      <c r="AI842" s="3" t="e">
        <f t="shared" ca="1" si="138"/>
        <v>#N/A</v>
      </c>
    </row>
    <row r="843" spans="7:35" ht="15" thickBot="1" x14ac:dyDescent="0.35">
      <c r="G843" s="3">
        <f t="shared" ca="1" si="130"/>
        <v>259</v>
      </c>
      <c r="H843" s="99">
        <f t="shared" ca="1" si="139"/>
        <v>45915</v>
      </c>
      <c r="I843" s="123">
        <f ca="1">HLOOKUP($H$4,'Met Data'!$A$2:$F$368,G843,FALSE)</f>
        <v>11.3708333333333</v>
      </c>
      <c r="J843" s="121">
        <f ca="1">HLOOKUP($H$4,'Met Data'!$H$2:$M$368,G843,FALSE)*L843</f>
        <v>1.3</v>
      </c>
      <c r="K843" s="100">
        <f ca="1">HLOOKUP($H$4,'Met Data'!$O$2:$T$368,G843,FALSE)</f>
        <v>1.8040111781852</v>
      </c>
      <c r="L843">
        <f t="shared" ca="1" si="131"/>
        <v>1</v>
      </c>
      <c r="N843" t="e">
        <f t="shared" ca="1" si="132"/>
        <v>#N/A</v>
      </c>
      <c r="O843" t="e">
        <f t="shared" ca="1" si="133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4"/>
        <v>0</v>
      </c>
      <c r="AE843">
        <f t="shared" ca="1" si="135"/>
        <v>0</v>
      </c>
      <c r="AG843" s="65" t="e">
        <f t="shared" ca="1" si="136"/>
        <v>#N/A</v>
      </c>
      <c r="AH843" s="65" t="e">
        <f t="shared" ca="1" si="137"/>
        <v>#N/A</v>
      </c>
      <c r="AI843" s="3" t="e">
        <f t="shared" ca="1" si="138"/>
        <v>#N/A</v>
      </c>
    </row>
    <row r="844" spans="7:35" ht="15" thickBot="1" x14ac:dyDescent="0.35">
      <c r="G844" s="3">
        <f t="shared" ca="1" si="130"/>
        <v>260</v>
      </c>
      <c r="H844" s="99">
        <f t="shared" ca="1" si="139"/>
        <v>45916</v>
      </c>
      <c r="I844" s="123">
        <f ca="1">HLOOKUP($H$4,'Met Data'!$A$2:$F$368,G844,FALSE)</f>
        <v>11.2916666666666</v>
      </c>
      <c r="J844" s="121">
        <f ca="1">HLOOKUP($H$4,'Met Data'!$H$2:$M$368,G844,FALSE)*L844</f>
        <v>2.6</v>
      </c>
      <c r="K844" s="100">
        <f ca="1">HLOOKUP($H$4,'Met Data'!$O$2:$T$368,G844,FALSE)</f>
        <v>1.8880733064353601</v>
      </c>
      <c r="L844">
        <f t="shared" ca="1" si="131"/>
        <v>1</v>
      </c>
      <c r="N844" t="e">
        <f t="shared" ca="1" si="132"/>
        <v>#N/A</v>
      </c>
      <c r="O844" t="e">
        <f t="shared" ca="1" si="133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4"/>
        <v>0</v>
      </c>
      <c r="AE844">
        <f t="shared" ca="1" si="135"/>
        <v>0</v>
      </c>
      <c r="AG844" s="65" t="e">
        <f t="shared" ca="1" si="136"/>
        <v>#N/A</v>
      </c>
      <c r="AH844" s="65" t="e">
        <f t="shared" ca="1" si="137"/>
        <v>#N/A</v>
      </c>
      <c r="AI844" s="3" t="e">
        <f t="shared" ca="1" si="138"/>
        <v>#N/A</v>
      </c>
    </row>
    <row r="845" spans="7:35" ht="15" thickBot="1" x14ac:dyDescent="0.35">
      <c r="G845" s="3">
        <f t="shared" ca="1" si="130"/>
        <v>261</v>
      </c>
      <c r="H845" s="99">
        <f t="shared" ca="1" si="139"/>
        <v>45917</v>
      </c>
      <c r="I845" s="123">
        <f ca="1">HLOOKUP($H$4,'Met Data'!$A$2:$F$368,G845,FALSE)</f>
        <v>12.2125</v>
      </c>
      <c r="J845" s="121">
        <f ca="1">HLOOKUP($H$4,'Met Data'!$H$2:$M$368,G845,FALSE)*L845</f>
        <v>4.5999999999999996</v>
      </c>
      <c r="K845" s="100">
        <f ca="1">HLOOKUP($H$4,'Met Data'!$O$2:$T$368,G845,FALSE)</f>
        <v>2.0382752192881299</v>
      </c>
      <c r="L845">
        <f t="shared" ca="1" si="131"/>
        <v>1</v>
      </c>
      <c r="N845" t="e">
        <f t="shared" ca="1" si="132"/>
        <v>#N/A</v>
      </c>
      <c r="O845" t="e">
        <f t="shared" ca="1" si="133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4"/>
        <v>0</v>
      </c>
      <c r="AE845">
        <f t="shared" ca="1" si="135"/>
        <v>0</v>
      </c>
      <c r="AG845" s="65" t="e">
        <f t="shared" ca="1" si="136"/>
        <v>#N/A</v>
      </c>
      <c r="AH845" s="65" t="e">
        <f t="shared" ca="1" si="137"/>
        <v>#N/A</v>
      </c>
      <c r="AI845" s="3" t="e">
        <f t="shared" ca="1" si="138"/>
        <v>#N/A</v>
      </c>
    </row>
    <row r="846" spans="7:35" ht="15" thickBot="1" x14ac:dyDescent="0.35">
      <c r="G846" s="3">
        <f t="shared" ca="1" si="130"/>
        <v>262</v>
      </c>
      <c r="H846" s="99">
        <f t="shared" ca="1" si="139"/>
        <v>45918</v>
      </c>
      <c r="I846" s="123">
        <f ca="1">HLOOKUP($H$4,'Met Data'!$A$2:$F$368,G846,FALSE)</f>
        <v>11.35</v>
      </c>
      <c r="J846" s="121">
        <f ca="1">HLOOKUP($H$4,'Met Data'!$H$2:$M$368,G846,FALSE)*L846</f>
        <v>3.93333333333333</v>
      </c>
      <c r="K846" s="100">
        <f ca="1">HLOOKUP($H$4,'Met Data'!$O$2:$T$368,G846,FALSE)</f>
        <v>2.00744960029109</v>
      </c>
      <c r="L846">
        <f t="shared" ca="1" si="131"/>
        <v>1</v>
      </c>
      <c r="N846" t="e">
        <f t="shared" ca="1" si="132"/>
        <v>#N/A</v>
      </c>
      <c r="O846" t="e">
        <f t="shared" ca="1" si="133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4"/>
        <v>0</v>
      </c>
      <c r="AE846">
        <f t="shared" ca="1" si="135"/>
        <v>0</v>
      </c>
      <c r="AG846" s="65" t="e">
        <f t="shared" ca="1" si="136"/>
        <v>#N/A</v>
      </c>
      <c r="AH846" s="65" t="e">
        <f t="shared" ca="1" si="137"/>
        <v>#N/A</v>
      </c>
      <c r="AI846" s="3" t="e">
        <f t="shared" ca="1" si="138"/>
        <v>#N/A</v>
      </c>
    </row>
    <row r="847" spans="7:35" ht="15" thickBot="1" x14ac:dyDescent="0.35">
      <c r="G847" s="3">
        <f t="shared" ca="1" si="130"/>
        <v>263</v>
      </c>
      <c r="H847" s="99">
        <f t="shared" ca="1" si="139"/>
        <v>45919</v>
      </c>
      <c r="I847" s="123">
        <f ca="1">HLOOKUP($H$4,'Met Data'!$A$2:$F$368,G847,FALSE)</f>
        <v>10.504166666666601</v>
      </c>
      <c r="J847" s="121">
        <f ca="1">HLOOKUP($H$4,'Met Data'!$H$2:$M$368,G847,FALSE)*L847</f>
        <v>8.7333333333333307</v>
      </c>
      <c r="K847" s="100">
        <f ca="1">HLOOKUP($H$4,'Met Data'!$O$2:$T$368,G847,FALSE)</f>
        <v>1.9387559167362001</v>
      </c>
      <c r="L847">
        <f t="shared" ca="1" si="131"/>
        <v>1</v>
      </c>
      <c r="N847" t="e">
        <f t="shared" ca="1" si="132"/>
        <v>#N/A</v>
      </c>
      <c r="O847" t="e">
        <f t="shared" ca="1" si="133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4"/>
        <v>0</v>
      </c>
      <c r="AE847">
        <f t="shared" ca="1" si="135"/>
        <v>0</v>
      </c>
      <c r="AG847" s="65" t="e">
        <f t="shared" ca="1" si="136"/>
        <v>#N/A</v>
      </c>
      <c r="AH847" s="65" t="e">
        <f t="shared" ca="1" si="137"/>
        <v>#N/A</v>
      </c>
      <c r="AI847" s="3" t="e">
        <f t="shared" ca="1" si="138"/>
        <v>#N/A</v>
      </c>
    </row>
    <row r="848" spans="7:35" ht="15" thickBot="1" x14ac:dyDescent="0.35">
      <c r="G848" s="3">
        <f t="shared" ca="1" si="130"/>
        <v>264</v>
      </c>
      <c r="H848" s="99">
        <f t="shared" ca="1" si="139"/>
        <v>45920</v>
      </c>
      <c r="I848" s="123">
        <f ca="1">HLOOKUP($H$4,'Met Data'!$A$2:$F$368,G848,FALSE)</f>
        <v>10.387499999999999</v>
      </c>
      <c r="J848" s="121">
        <f ca="1">HLOOKUP($H$4,'Met Data'!$H$2:$M$368,G848,FALSE)*L848</f>
        <v>3.85</v>
      </c>
      <c r="K848" s="100">
        <f ca="1">HLOOKUP($H$4,'Met Data'!$O$2:$T$368,G848,FALSE)</f>
        <v>2.0861830094945102</v>
      </c>
      <c r="L848">
        <f t="shared" ca="1" si="131"/>
        <v>1</v>
      </c>
      <c r="N848" t="e">
        <f t="shared" ca="1" si="132"/>
        <v>#N/A</v>
      </c>
      <c r="O848" t="e">
        <f t="shared" ca="1" si="133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4"/>
        <v>0</v>
      </c>
      <c r="AE848">
        <f t="shared" ca="1" si="135"/>
        <v>0</v>
      </c>
      <c r="AG848" s="65" t="e">
        <f t="shared" ca="1" si="136"/>
        <v>#N/A</v>
      </c>
      <c r="AH848" s="65" t="e">
        <f t="shared" ca="1" si="137"/>
        <v>#N/A</v>
      </c>
      <c r="AI848" s="3" t="e">
        <f t="shared" ca="1" si="138"/>
        <v>#N/A</v>
      </c>
    </row>
    <row r="849" spans="7:35" ht="15" thickBot="1" x14ac:dyDescent="0.35">
      <c r="G849" s="3">
        <f t="shared" ca="1" si="130"/>
        <v>265</v>
      </c>
      <c r="H849" s="99">
        <f t="shared" ca="1" si="139"/>
        <v>45921</v>
      </c>
      <c r="I849" s="123">
        <f ca="1">HLOOKUP($H$4,'Met Data'!$A$2:$F$368,G849,FALSE)</f>
        <v>9.85</v>
      </c>
      <c r="J849" s="121">
        <f ca="1">HLOOKUP($H$4,'Met Data'!$H$2:$M$368,G849,FALSE)*L849</f>
        <v>1.7999999999999901</v>
      </c>
      <c r="K849" s="100">
        <f ca="1">HLOOKUP($H$4,'Met Data'!$O$2:$T$368,G849,FALSE)</f>
        <v>2.1398164486974101</v>
      </c>
      <c r="L849">
        <f t="shared" ca="1" si="131"/>
        <v>1</v>
      </c>
      <c r="N849" t="e">
        <f t="shared" ca="1" si="132"/>
        <v>#N/A</v>
      </c>
      <c r="O849" t="e">
        <f t="shared" ca="1" si="133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4"/>
        <v>0</v>
      </c>
      <c r="AE849">
        <f t="shared" ca="1" si="135"/>
        <v>0</v>
      </c>
      <c r="AG849" s="65" t="e">
        <f t="shared" ca="1" si="136"/>
        <v>#N/A</v>
      </c>
      <c r="AH849" s="65" t="e">
        <f t="shared" ca="1" si="137"/>
        <v>#N/A</v>
      </c>
      <c r="AI849" s="3" t="e">
        <f t="shared" ca="1" si="138"/>
        <v>#N/A</v>
      </c>
    </row>
    <row r="850" spans="7:35" ht="15" thickBot="1" x14ac:dyDescent="0.35">
      <c r="G850" s="3">
        <f t="shared" ca="1" si="130"/>
        <v>266</v>
      </c>
      <c r="H850" s="99">
        <f t="shared" ca="1" si="139"/>
        <v>45922</v>
      </c>
      <c r="I850" s="123">
        <f ca="1">HLOOKUP($H$4,'Met Data'!$A$2:$F$368,G850,FALSE)</f>
        <v>10.158333333333299</v>
      </c>
      <c r="J850" s="121">
        <f ca="1">HLOOKUP($H$4,'Met Data'!$H$2:$M$368,G850,FALSE)*L850</f>
        <v>3.93333333333333</v>
      </c>
      <c r="K850" s="100">
        <f ca="1">HLOOKUP($H$4,'Met Data'!$O$2:$T$368,G850,FALSE)</f>
        <v>2.31412085445224</v>
      </c>
      <c r="L850">
        <f t="shared" ca="1" si="131"/>
        <v>1</v>
      </c>
      <c r="N850" t="e">
        <f t="shared" ca="1" si="132"/>
        <v>#N/A</v>
      </c>
      <c r="O850" t="e">
        <f t="shared" ca="1" si="133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4"/>
        <v>0</v>
      </c>
      <c r="AE850">
        <f t="shared" ca="1" si="135"/>
        <v>0</v>
      </c>
      <c r="AG850" s="65" t="e">
        <f t="shared" ca="1" si="136"/>
        <v>#N/A</v>
      </c>
      <c r="AH850" s="65" t="e">
        <f t="shared" ca="1" si="137"/>
        <v>#N/A</v>
      </c>
      <c r="AI850" s="3" t="e">
        <f t="shared" ca="1" si="138"/>
        <v>#N/A</v>
      </c>
    </row>
    <row r="851" spans="7:35" ht="15" thickBot="1" x14ac:dyDescent="0.35">
      <c r="G851" s="3">
        <f t="shared" ca="1" si="130"/>
        <v>267</v>
      </c>
      <c r="H851" s="99">
        <f t="shared" ca="1" si="139"/>
        <v>45923</v>
      </c>
      <c r="I851" s="123">
        <f ca="1">HLOOKUP($H$4,'Met Data'!$A$2:$F$368,G851,FALSE)</f>
        <v>10.9625</v>
      </c>
      <c r="J851" s="121">
        <f ca="1">HLOOKUP($H$4,'Met Data'!$H$2:$M$368,G851,FALSE)*L851</f>
        <v>1.86666666666666</v>
      </c>
      <c r="K851" s="100">
        <f ca="1">HLOOKUP($H$4,'Met Data'!$O$2:$T$368,G851,FALSE)</f>
        <v>2.2059606634486699</v>
      </c>
      <c r="L851">
        <f t="shared" ca="1" si="131"/>
        <v>1</v>
      </c>
      <c r="N851" t="e">
        <f t="shared" ca="1" si="132"/>
        <v>#N/A</v>
      </c>
      <c r="O851" t="e">
        <f t="shared" ca="1" si="133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4"/>
        <v>0</v>
      </c>
      <c r="AE851">
        <f t="shared" ca="1" si="135"/>
        <v>0</v>
      </c>
      <c r="AG851" s="65" t="e">
        <f t="shared" ca="1" si="136"/>
        <v>#N/A</v>
      </c>
      <c r="AH851" s="65" t="e">
        <f t="shared" ca="1" si="137"/>
        <v>#N/A</v>
      </c>
      <c r="AI851" s="3" t="e">
        <f t="shared" ca="1" si="138"/>
        <v>#N/A</v>
      </c>
    </row>
    <row r="852" spans="7:35" ht="15" thickBot="1" x14ac:dyDescent="0.35">
      <c r="G852" s="3">
        <f t="shared" ca="1" si="130"/>
        <v>268</v>
      </c>
      <c r="H852" s="99">
        <f t="shared" ca="1" si="139"/>
        <v>45924</v>
      </c>
      <c r="I852" s="123">
        <f ca="1">HLOOKUP($H$4,'Met Data'!$A$2:$F$368,G852,FALSE)</f>
        <v>11.6458333333333</v>
      </c>
      <c r="J852" s="121">
        <f ca="1">HLOOKUP($H$4,'Met Data'!$H$2:$M$368,G852,FALSE)*L852</f>
        <v>5.5166666666666604</v>
      </c>
      <c r="K852" s="100">
        <f ca="1">HLOOKUP($H$4,'Met Data'!$O$2:$T$368,G852,FALSE)</f>
        <v>1.6755097599300399</v>
      </c>
      <c r="L852">
        <f t="shared" ca="1" si="131"/>
        <v>1</v>
      </c>
      <c r="N852" t="e">
        <f t="shared" ca="1" si="132"/>
        <v>#N/A</v>
      </c>
      <c r="O852" t="e">
        <f t="shared" ca="1" si="133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4"/>
        <v>0</v>
      </c>
      <c r="AE852">
        <f t="shared" ca="1" si="135"/>
        <v>0</v>
      </c>
      <c r="AG852" s="65" t="e">
        <f t="shared" ca="1" si="136"/>
        <v>#N/A</v>
      </c>
      <c r="AH852" s="65" t="e">
        <f t="shared" ca="1" si="137"/>
        <v>#N/A</v>
      </c>
      <c r="AI852" s="3" t="e">
        <f t="shared" ca="1" si="138"/>
        <v>#N/A</v>
      </c>
    </row>
    <row r="853" spans="7:35" ht="15" thickBot="1" x14ac:dyDescent="0.35">
      <c r="G853" s="3">
        <f t="shared" ca="1" si="130"/>
        <v>269</v>
      </c>
      <c r="H853" s="99">
        <f t="shared" ca="1" si="139"/>
        <v>45925</v>
      </c>
      <c r="I853" s="123">
        <f ca="1">HLOOKUP($H$4,'Met Data'!$A$2:$F$368,G853,FALSE)</f>
        <v>12.112500000000001</v>
      </c>
      <c r="J853" s="121">
        <f ca="1">HLOOKUP($H$4,'Met Data'!$H$2:$M$368,G853,FALSE)*L853</f>
        <v>1.56666666666666</v>
      </c>
      <c r="K853" s="100">
        <f ca="1">HLOOKUP($H$4,'Met Data'!$O$2:$T$368,G853,FALSE)</f>
        <v>2.1669648664524801</v>
      </c>
      <c r="L853">
        <f t="shared" ca="1" si="131"/>
        <v>1</v>
      </c>
      <c r="N853" t="e">
        <f t="shared" ca="1" si="132"/>
        <v>#N/A</v>
      </c>
      <c r="O853" t="e">
        <f t="shared" ca="1" si="133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4"/>
        <v>0</v>
      </c>
      <c r="AE853">
        <f t="shared" ca="1" si="135"/>
        <v>0</v>
      </c>
      <c r="AG853" s="65" t="e">
        <f t="shared" ca="1" si="136"/>
        <v>#N/A</v>
      </c>
      <c r="AH853" s="65" t="e">
        <f t="shared" ca="1" si="137"/>
        <v>#N/A</v>
      </c>
      <c r="AI853" s="3" t="e">
        <f t="shared" ca="1" si="138"/>
        <v>#N/A</v>
      </c>
    </row>
    <row r="854" spans="7:35" ht="15" thickBot="1" x14ac:dyDescent="0.35">
      <c r="G854" s="3">
        <f t="shared" ca="1" si="130"/>
        <v>270</v>
      </c>
      <c r="H854" s="99">
        <f t="shared" ca="1" si="139"/>
        <v>45926</v>
      </c>
      <c r="I854" s="123">
        <f ca="1">HLOOKUP($H$4,'Met Data'!$A$2:$F$368,G854,FALSE)</f>
        <v>11.6875</v>
      </c>
      <c r="J854" s="121">
        <f ca="1">HLOOKUP($H$4,'Met Data'!$H$2:$M$368,G854,FALSE)*L854</f>
        <v>1.0833333333333299</v>
      </c>
      <c r="K854" s="100">
        <f ca="1">HLOOKUP($H$4,'Met Data'!$O$2:$T$368,G854,FALSE)</f>
        <v>2.2423317945335</v>
      </c>
      <c r="L854">
        <f t="shared" ca="1" si="131"/>
        <v>1</v>
      </c>
      <c r="N854" t="e">
        <f t="shared" ca="1" si="132"/>
        <v>#N/A</v>
      </c>
      <c r="O854" t="e">
        <f t="shared" ca="1" si="133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4"/>
        <v>0</v>
      </c>
      <c r="AE854">
        <f t="shared" ca="1" si="135"/>
        <v>0</v>
      </c>
      <c r="AG854" s="65" t="e">
        <f t="shared" ca="1" si="136"/>
        <v>#N/A</v>
      </c>
      <c r="AH854" s="65" t="e">
        <f t="shared" ca="1" si="137"/>
        <v>#N/A</v>
      </c>
      <c r="AI854" s="3" t="e">
        <f t="shared" ca="1" si="138"/>
        <v>#N/A</v>
      </c>
    </row>
    <row r="855" spans="7:35" ht="15" thickBot="1" x14ac:dyDescent="0.35">
      <c r="G855" s="3">
        <f t="shared" ca="1" si="130"/>
        <v>271</v>
      </c>
      <c r="H855" s="99">
        <f t="shared" ca="1" si="139"/>
        <v>45927</v>
      </c>
      <c r="I855" s="123">
        <f ca="1">HLOOKUP($H$4,'Met Data'!$A$2:$F$368,G855,FALSE)</f>
        <v>12.0541666666666</v>
      </c>
      <c r="J855" s="121">
        <f ca="1">HLOOKUP($H$4,'Met Data'!$H$2:$M$368,G855,FALSE)*L855</f>
        <v>1.05</v>
      </c>
      <c r="K855" s="100">
        <f ca="1">HLOOKUP($H$4,'Met Data'!$O$2:$T$368,G855,FALSE)</f>
        <v>2.4484809787012698</v>
      </c>
      <c r="L855">
        <f t="shared" ca="1" si="131"/>
        <v>1</v>
      </c>
      <c r="N855" t="e">
        <f t="shared" ca="1" si="132"/>
        <v>#N/A</v>
      </c>
      <c r="O855" t="e">
        <f t="shared" ca="1" si="133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4"/>
        <v>0</v>
      </c>
      <c r="AE855">
        <f t="shared" ca="1" si="135"/>
        <v>0</v>
      </c>
      <c r="AG855" s="65" t="e">
        <f t="shared" ca="1" si="136"/>
        <v>#N/A</v>
      </c>
      <c r="AH855" s="65" t="e">
        <f t="shared" ca="1" si="137"/>
        <v>#N/A</v>
      </c>
      <c r="AI855" s="3" t="e">
        <f t="shared" ca="1" si="138"/>
        <v>#N/A</v>
      </c>
    </row>
    <row r="856" spans="7:35" ht="15" thickBot="1" x14ac:dyDescent="0.35">
      <c r="G856" s="3">
        <f t="shared" ca="1" si="130"/>
        <v>272</v>
      </c>
      <c r="H856" s="99">
        <f t="shared" ca="1" si="139"/>
        <v>45928</v>
      </c>
      <c r="I856" s="123">
        <f ca="1">HLOOKUP($H$4,'Met Data'!$A$2:$F$368,G856,FALSE)</f>
        <v>12.3291666666666</v>
      </c>
      <c r="J856" s="121">
        <f ca="1">HLOOKUP($H$4,'Met Data'!$H$2:$M$368,G856,FALSE)*L856</f>
        <v>5.1499999999999897</v>
      </c>
      <c r="K856" s="100">
        <f ca="1">HLOOKUP($H$4,'Met Data'!$O$2:$T$368,G856,FALSE)</f>
        <v>2.13295390564413</v>
      </c>
      <c r="L856">
        <f t="shared" ca="1" si="131"/>
        <v>1</v>
      </c>
      <c r="N856" t="e">
        <f t="shared" ca="1" si="132"/>
        <v>#N/A</v>
      </c>
      <c r="O856" t="e">
        <f t="shared" ca="1" si="133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4"/>
        <v>0</v>
      </c>
      <c r="AE856">
        <f t="shared" ca="1" si="135"/>
        <v>0</v>
      </c>
      <c r="AG856" s="65" t="e">
        <f t="shared" ca="1" si="136"/>
        <v>#N/A</v>
      </c>
      <c r="AH856" s="65" t="e">
        <f t="shared" ca="1" si="137"/>
        <v>#N/A</v>
      </c>
      <c r="AI856" s="3" t="e">
        <f t="shared" ca="1" si="138"/>
        <v>#N/A</v>
      </c>
    </row>
    <row r="857" spans="7:35" ht="15" thickBot="1" x14ac:dyDescent="0.35">
      <c r="G857" s="3">
        <f t="shared" ca="1" si="130"/>
        <v>273</v>
      </c>
      <c r="H857" s="99">
        <f t="shared" ca="1" si="139"/>
        <v>45929</v>
      </c>
      <c r="I857" s="123">
        <f ca="1">HLOOKUP($H$4,'Met Data'!$A$2:$F$368,G857,FALSE)</f>
        <v>12.65</v>
      </c>
      <c r="J857" s="121">
        <f ca="1">HLOOKUP($H$4,'Met Data'!$H$2:$M$368,G857,FALSE)*L857</f>
        <v>2.15</v>
      </c>
      <c r="K857" s="100">
        <f ca="1">HLOOKUP($H$4,'Met Data'!$O$2:$T$368,G857,FALSE)</f>
        <v>2.3067555107961</v>
      </c>
      <c r="L857">
        <f t="shared" ca="1" si="131"/>
        <v>1</v>
      </c>
      <c r="N857" t="e">
        <f t="shared" ca="1" si="132"/>
        <v>#N/A</v>
      </c>
      <c r="O857" t="e">
        <f t="shared" ca="1" si="133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4"/>
        <v>0</v>
      </c>
      <c r="AE857">
        <f t="shared" ca="1" si="135"/>
        <v>0</v>
      </c>
      <c r="AG857" s="65" t="e">
        <f t="shared" ca="1" si="136"/>
        <v>#N/A</v>
      </c>
      <c r="AH857" s="65" t="e">
        <f t="shared" ca="1" si="137"/>
        <v>#N/A</v>
      </c>
      <c r="AI857" s="3" t="e">
        <f t="shared" ca="1" si="138"/>
        <v>#N/A</v>
      </c>
    </row>
    <row r="858" spans="7:35" ht="15" thickBot="1" x14ac:dyDescent="0.35">
      <c r="G858" s="3">
        <f t="shared" ca="1" si="130"/>
        <v>274</v>
      </c>
      <c r="H858" s="99">
        <f t="shared" ca="1" si="139"/>
        <v>45930</v>
      </c>
      <c r="I858" s="123">
        <f ca="1">HLOOKUP($H$4,'Met Data'!$A$2:$F$368,G858,FALSE)</f>
        <v>12.5208333333333</v>
      </c>
      <c r="J858" s="121">
        <f ca="1">HLOOKUP($H$4,'Met Data'!$H$2:$M$368,G858,FALSE)*L858</f>
        <v>5.61666666666666</v>
      </c>
      <c r="K858" s="100">
        <f ca="1">HLOOKUP($H$4,'Met Data'!$O$2:$T$368,G858,FALSE)</f>
        <v>2.4465918649770302</v>
      </c>
      <c r="L858">
        <f t="shared" ca="1" si="131"/>
        <v>1</v>
      </c>
      <c r="N858" t="e">
        <f t="shared" ca="1" si="132"/>
        <v>#N/A</v>
      </c>
      <c r="O858" t="e">
        <f t="shared" ca="1" si="133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4"/>
        <v>0</v>
      </c>
      <c r="AE858">
        <f t="shared" ca="1" si="135"/>
        <v>0</v>
      </c>
      <c r="AG858" s="65" t="e">
        <f t="shared" ca="1" si="136"/>
        <v>#N/A</v>
      </c>
      <c r="AH858" s="65" t="e">
        <f t="shared" ca="1" si="137"/>
        <v>#N/A</v>
      </c>
      <c r="AI858" s="3" t="e">
        <f t="shared" ca="1" si="138"/>
        <v>#N/A</v>
      </c>
    </row>
    <row r="859" spans="7:35" ht="15" thickBot="1" x14ac:dyDescent="0.35">
      <c r="G859" s="3">
        <f t="shared" ca="1" si="130"/>
        <v>275</v>
      </c>
      <c r="H859" s="99">
        <f t="shared" ca="1" si="139"/>
        <v>45931</v>
      </c>
      <c r="I859" s="123">
        <f ca="1">HLOOKUP($H$4,'Met Data'!$A$2:$F$368,G859,FALSE)</f>
        <v>11.65</v>
      </c>
      <c r="J859" s="121">
        <f ca="1">HLOOKUP($H$4,'Met Data'!$H$2:$M$368,G859,FALSE)*L859</f>
        <v>2.35</v>
      </c>
      <c r="K859" s="100">
        <f ca="1">HLOOKUP($H$4,'Met Data'!$O$2:$T$368,G859,FALSE)</f>
        <v>2.46735033441291</v>
      </c>
      <c r="L859">
        <f t="shared" ca="1" si="131"/>
        <v>1</v>
      </c>
      <c r="N859" t="e">
        <f t="shared" ca="1" si="132"/>
        <v>#N/A</v>
      </c>
      <c r="O859" t="e">
        <f t="shared" ca="1" si="133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4"/>
        <v>0</v>
      </c>
      <c r="AE859">
        <f t="shared" ca="1" si="135"/>
        <v>0</v>
      </c>
      <c r="AG859" s="65" t="e">
        <f t="shared" ca="1" si="136"/>
        <v>#N/A</v>
      </c>
      <c r="AH859" s="65" t="e">
        <f t="shared" ca="1" si="137"/>
        <v>#N/A</v>
      </c>
      <c r="AI859" s="3" t="e">
        <f t="shared" ca="1" si="138"/>
        <v>#N/A</v>
      </c>
    </row>
    <row r="860" spans="7:35" ht="15" thickBot="1" x14ac:dyDescent="0.35">
      <c r="G860" s="3">
        <f t="shared" ca="1" si="130"/>
        <v>276</v>
      </c>
      <c r="H860" s="99">
        <f t="shared" ca="1" si="139"/>
        <v>45932</v>
      </c>
      <c r="I860" s="123">
        <f ca="1">HLOOKUP($H$4,'Met Data'!$A$2:$F$368,G860,FALSE)</f>
        <v>12.0166666666666</v>
      </c>
      <c r="J860" s="121">
        <f ca="1">HLOOKUP($H$4,'Met Data'!$H$2:$M$368,G860,FALSE)*L860</f>
        <v>2.2833333333333301</v>
      </c>
      <c r="K860" s="100">
        <f ca="1">HLOOKUP($H$4,'Met Data'!$O$2:$T$368,G860,FALSE)</f>
        <v>2.1199025888480301</v>
      </c>
      <c r="L860">
        <f t="shared" ca="1" si="131"/>
        <v>1</v>
      </c>
      <c r="N860" t="e">
        <f t="shared" ca="1" si="132"/>
        <v>#N/A</v>
      </c>
      <c r="O860" t="e">
        <f t="shared" ca="1" si="133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4"/>
        <v>0</v>
      </c>
      <c r="AE860">
        <f t="shared" ca="1" si="135"/>
        <v>0</v>
      </c>
      <c r="AG860" s="65" t="e">
        <f t="shared" ca="1" si="136"/>
        <v>#N/A</v>
      </c>
      <c r="AH860" s="65" t="e">
        <f t="shared" ca="1" si="137"/>
        <v>#N/A</v>
      </c>
      <c r="AI860" s="3" t="e">
        <f t="shared" ca="1" si="138"/>
        <v>#N/A</v>
      </c>
    </row>
    <row r="861" spans="7:35" ht="15" thickBot="1" x14ac:dyDescent="0.35">
      <c r="G861" s="3">
        <f t="shared" ca="1" si="130"/>
        <v>277</v>
      </c>
      <c r="H861" s="99">
        <f t="shared" ca="1" si="139"/>
        <v>45933</v>
      </c>
      <c r="I861" s="123">
        <f ca="1">HLOOKUP($H$4,'Met Data'!$A$2:$F$368,G861,FALSE)</f>
        <v>12.941666666666601</v>
      </c>
      <c r="J861" s="121">
        <f ca="1">HLOOKUP($H$4,'Met Data'!$H$2:$M$368,G861,FALSE)*L861</f>
        <v>4.2666666666666604</v>
      </c>
      <c r="K861" s="100">
        <f ca="1">HLOOKUP($H$4,'Met Data'!$O$2:$T$368,G861,FALSE)</f>
        <v>2.6275875550097898</v>
      </c>
      <c r="L861">
        <f t="shared" ca="1" si="131"/>
        <v>1</v>
      </c>
      <c r="N861" t="e">
        <f t="shared" ca="1" si="132"/>
        <v>#N/A</v>
      </c>
      <c r="O861" t="e">
        <f t="shared" ca="1" si="133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4"/>
        <v>0</v>
      </c>
      <c r="AE861">
        <f t="shared" ca="1" si="135"/>
        <v>0</v>
      </c>
      <c r="AG861" s="65" t="e">
        <f t="shared" ca="1" si="136"/>
        <v>#N/A</v>
      </c>
      <c r="AH861" s="65" t="e">
        <f t="shared" ca="1" si="137"/>
        <v>#N/A</v>
      </c>
      <c r="AI861" s="3" t="e">
        <f t="shared" ca="1" si="138"/>
        <v>#N/A</v>
      </c>
    </row>
    <row r="862" spans="7:35" ht="15" thickBot="1" x14ac:dyDescent="0.35">
      <c r="G862" s="3">
        <f t="shared" ca="1" si="130"/>
        <v>278</v>
      </c>
      <c r="H862" s="99">
        <f t="shared" ca="1" si="139"/>
        <v>45934</v>
      </c>
      <c r="I862" s="123">
        <f ca="1">HLOOKUP($H$4,'Met Data'!$A$2:$F$368,G862,FALSE)</f>
        <v>11.95</v>
      </c>
      <c r="J862" s="121">
        <f ca="1">HLOOKUP($H$4,'Met Data'!$H$2:$M$368,G862,FALSE)*L862</f>
        <v>1.13333333333333</v>
      </c>
      <c r="K862" s="100">
        <f ca="1">HLOOKUP($H$4,'Met Data'!$O$2:$T$368,G862,FALSE)</f>
        <v>2.2251605523882798</v>
      </c>
      <c r="L862">
        <f t="shared" ca="1" si="131"/>
        <v>1</v>
      </c>
      <c r="N862" t="e">
        <f t="shared" ca="1" si="132"/>
        <v>#N/A</v>
      </c>
      <c r="O862" t="e">
        <f t="shared" ca="1" si="133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4"/>
        <v>0</v>
      </c>
      <c r="AE862">
        <f t="shared" ca="1" si="135"/>
        <v>0</v>
      </c>
      <c r="AG862" s="65" t="e">
        <f t="shared" ca="1" si="136"/>
        <v>#N/A</v>
      </c>
      <c r="AH862" s="65" t="e">
        <f t="shared" ca="1" si="137"/>
        <v>#N/A</v>
      </c>
      <c r="AI862" s="3" t="e">
        <f t="shared" ca="1" si="138"/>
        <v>#N/A</v>
      </c>
    </row>
    <row r="863" spans="7:35" ht="15" thickBot="1" x14ac:dyDescent="0.35">
      <c r="G863" s="3">
        <f t="shared" ca="1" si="130"/>
        <v>279</v>
      </c>
      <c r="H863" s="99">
        <f t="shared" ca="1" si="139"/>
        <v>45935</v>
      </c>
      <c r="I863" s="123">
        <f ca="1">HLOOKUP($H$4,'Met Data'!$A$2:$F$368,G863,FALSE)</f>
        <v>11.8958333333333</v>
      </c>
      <c r="J863" s="121">
        <f ca="1">HLOOKUP($H$4,'Met Data'!$H$2:$M$368,G863,FALSE)*L863</f>
        <v>2.0666666666666602</v>
      </c>
      <c r="K863" s="100">
        <f ca="1">HLOOKUP($H$4,'Met Data'!$O$2:$T$368,G863,FALSE)</f>
        <v>2.2142725820580198</v>
      </c>
      <c r="L863">
        <f t="shared" ca="1" si="131"/>
        <v>1</v>
      </c>
      <c r="N863" t="e">
        <f t="shared" ca="1" si="132"/>
        <v>#N/A</v>
      </c>
      <c r="O863" t="e">
        <f t="shared" ca="1" si="133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4"/>
        <v>0</v>
      </c>
      <c r="AE863">
        <f t="shared" ca="1" si="135"/>
        <v>0</v>
      </c>
      <c r="AG863" s="65" t="e">
        <f t="shared" ca="1" si="136"/>
        <v>#N/A</v>
      </c>
      <c r="AH863" s="65" t="e">
        <f t="shared" ca="1" si="137"/>
        <v>#N/A</v>
      </c>
      <c r="AI863" s="3" t="e">
        <f t="shared" ca="1" si="138"/>
        <v>#N/A</v>
      </c>
    </row>
    <row r="864" spans="7:35" ht="15" thickBot="1" x14ac:dyDescent="0.35">
      <c r="G864" s="3">
        <f t="shared" ca="1" si="130"/>
        <v>280</v>
      </c>
      <c r="H864" s="99">
        <f t="shared" ca="1" si="139"/>
        <v>45936</v>
      </c>
      <c r="I864" s="123">
        <f ca="1">HLOOKUP($H$4,'Met Data'!$A$2:$F$368,G864,FALSE)</f>
        <v>11.8333333333333</v>
      </c>
      <c r="J864" s="121">
        <f ca="1">HLOOKUP($H$4,'Met Data'!$H$2:$M$368,G864,FALSE)*L864</f>
        <v>1.43333333333333</v>
      </c>
      <c r="K864" s="100">
        <f ca="1">HLOOKUP($H$4,'Met Data'!$O$2:$T$368,G864,FALSE)</f>
        <v>2.5217662070296001</v>
      </c>
      <c r="L864">
        <f t="shared" ca="1" si="131"/>
        <v>1</v>
      </c>
      <c r="N864" t="e">
        <f t="shared" ca="1" si="132"/>
        <v>#N/A</v>
      </c>
      <c r="O864" t="e">
        <f t="shared" ca="1" si="133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4"/>
        <v>0</v>
      </c>
      <c r="AE864">
        <f t="shared" ca="1" si="135"/>
        <v>0</v>
      </c>
      <c r="AG864" s="65" t="e">
        <f t="shared" ca="1" si="136"/>
        <v>#N/A</v>
      </c>
      <c r="AH864" s="65" t="e">
        <f t="shared" ca="1" si="137"/>
        <v>#N/A</v>
      </c>
      <c r="AI864" s="3" t="e">
        <f t="shared" ca="1" si="138"/>
        <v>#N/A</v>
      </c>
    </row>
    <row r="865" spans="7:35" ht="15" thickBot="1" x14ac:dyDescent="0.35">
      <c r="G865" s="3">
        <f t="shared" ca="1" si="130"/>
        <v>281</v>
      </c>
      <c r="H865" s="99">
        <f t="shared" ca="1" si="139"/>
        <v>45937</v>
      </c>
      <c r="I865" s="123">
        <f ca="1">HLOOKUP($H$4,'Met Data'!$A$2:$F$368,G865,FALSE)</f>
        <v>12.133333333333301</v>
      </c>
      <c r="J865" s="121">
        <f ca="1">HLOOKUP($H$4,'Met Data'!$H$2:$M$368,G865,FALSE)*L865</f>
        <v>1.5</v>
      </c>
      <c r="K865" s="100">
        <f ca="1">HLOOKUP($H$4,'Met Data'!$O$2:$T$368,G865,FALSE)</f>
        <v>2.4929362431341402</v>
      </c>
      <c r="L865">
        <f t="shared" ca="1" si="131"/>
        <v>1</v>
      </c>
      <c r="N865" t="e">
        <f t="shared" ca="1" si="132"/>
        <v>#N/A</v>
      </c>
      <c r="O865" t="e">
        <f t="shared" ca="1" si="133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4"/>
        <v>0</v>
      </c>
      <c r="AE865">
        <f t="shared" ca="1" si="135"/>
        <v>0</v>
      </c>
      <c r="AG865" s="65" t="e">
        <f t="shared" ca="1" si="136"/>
        <v>#N/A</v>
      </c>
      <c r="AH865" s="65" t="e">
        <f t="shared" ca="1" si="137"/>
        <v>#N/A</v>
      </c>
      <c r="AI865" s="3" t="e">
        <f t="shared" ca="1" si="138"/>
        <v>#N/A</v>
      </c>
    </row>
    <row r="866" spans="7:35" ht="15" thickBot="1" x14ac:dyDescent="0.35">
      <c r="G866" s="3">
        <f t="shared" ca="1" si="130"/>
        <v>282</v>
      </c>
      <c r="H866" s="99">
        <f t="shared" ca="1" si="139"/>
        <v>45938</v>
      </c>
      <c r="I866" s="123">
        <f ca="1">HLOOKUP($H$4,'Met Data'!$A$2:$F$368,G866,FALSE)</f>
        <v>11.8708333333333</v>
      </c>
      <c r="J866" s="121">
        <f ca="1">HLOOKUP($H$4,'Met Data'!$H$2:$M$368,G866,FALSE)*L866</f>
        <v>4.18333333333333</v>
      </c>
      <c r="K866" s="100">
        <f ca="1">HLOOKUP($H$4,'Met Data'!$O$2:$T$368,G866,FALSE)</f>
        <v>2.0932595279969002</v>
      </c>
      <c r="L866">
        <f t="shared" ca="1" si="131"/>
        <v>1</v>
      </c>
      <c r="N866" t="e">
        <f t="shared" ca="1" si="132"/>
        <v>#N/A</v>
      </c>
      <c r="O866" t="e">
        <f t="shared" ca="1" si="133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4"/>
        <v>0</v>
      </c>
      <c r="AE866">
        <f t="shared" ca="1" si="135"/>
        <v>0</v>
      </c>
      <c r="AG866" s="65" t="e">
        <f t="shared" ca="1" si="136"/>
        <v>#N/A</v>
      </c>
      <c r="AH866" s="65" t="e">
        <f t="shared" ca="1" si="137"/>
        <v>#N/A</v>
      </c>
      <c r="AI866" s="3" t="e">
        <f t="shared" ca="1" si="138"/>
        <v>#N/A</v>
      </c>
    </row>
    <row r="867" spans="7:35" ht="15" thickBot="1" x14ac:dyDescent="0.35">
      <c r="G867" s="3">
        <f t="shared" ca="1" si="130"/>
        <v>283</v>
      </c>
      <c r="H867" s="99">
        <f t="shared" ca="1" si="139"/>
        <v>45939</v>
      </c>
      <c r="I867" s="123">
        <f ca="1">HLOOKUP($H$4,'Met Data'!$A$2:$F$368,G867,FALSE)</f>
        <v>11.529166666666599</v>
      </c>
      <c r="J867" s="121">
        <f ca="1">HLOOKUP($H$4,'Met Data'!$H$2:$M$368,G867,FALSE)*L867</f>
        <v>2.2166666666666601</v>
      </c>
      <c r="K867" s="100">
        <f ca="1">HLOOKUP($H$4,'Met Data'!$O$2:$T$368,G867,FALSE)</f>
        <v>2.3166472445358202</v>
      </c>
      <c r="L867">
        <f t="shared" ca="1" si="131"/>
        <v>1</v>
      </c>
      <c r="N867" t="e">
        <f t="shared" ca="1" si="132"/>
        <v>#N/A</v>
      </c>
      <c r="O867" t="e">
        <f t="shared" ca="1" si="133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4"/>
        <v>0</v>
      </c>
      <c r="AE867">
        <f t="shared" ca="1" si="135"/>
        <v>0</v>
      </c>
      <c r="AG867" s="65" t="e">
        <f t="shared" ca="1" si="136"/>
        <v>#N/A</v>
      </c>
      <c r="AH867" s="65" t="e">
        <f t="shared" ca="1" si="137"/>
        <v>#N/A</v>
      </c>
      <c r="AI867" s="3" t="e">
        <f t="shared" ca="1" si="138"/>
        <v>#N/A</v>
      </c>
    </row>
    <row r="868" spans="7:35" ht="15" thickBot="1" x14ac:dyDescent="0.35">
      <c r="G868" s="3">
        <f t="shared" ca="1" si="130"/>
        <v>284</v>
      </c>
      <c r="H868" s="99">
        <f t="shared" ca="1" si="139"/>
        <v>45940</v>
      </c>
      <c r="I868" s="123">
        <f ca="1">HLOOKUP($H$4,'Met Data'!$A$2:$F$368,G868,FALSE)</f>
        <v>11.316666666666601</v>
      </c>
      <c r="J868" s="121">
        <f ca="1">HLOOKUP($H$4,'Met Data'!$H$2:$M$368,G868,FALSE)*L868</f>
        <v>2.9833333333333298</v>
      </c>
      <c r="K868" s="100">
        <f ca="1">HLOOKUP($H$4,'Met Data'!$O$2:$T$368,G868,FALSE)</f>
        <v>2.57259273420483</v>
      </c>
      <c r="L868">
        <f t="shared" ca="1" si="131"/>
        <v>1</v>
      </c>
      <c r="N868" t="e">
        <f t="shared" ca="1" si="132"/>
        <v>#N/A</v>
      </c>
      <c r="O868" t="e">
        <f t="shared" ca="1" si="133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4"/>
        <v>0</v>
      </c>
      <c r="AE868">
        <f t="shared" ca="1" si="135"/>
        <v>0</v>
      </c>
      <c r="AG868" s="65" t="e">
        <f t="shared" ca="1" si="136"/>
        <v>#N/A</v>
      </c>
      <c r="AH868" s="65" t="e">
        <f t="shared" ca="1" si="137"/>
        <v>#N/A</v>
      </c>
      <c r="AI868" s="3" t="e">
        <f t="shared" ca="1" si="138"/>
        <v>#N/A</v>
      </c>
    </row>
    <row r="869" spans="7:35" ht="15" thickBot="1" x14ac:dyDescent="0.35">
      <c r="G869" s="3">
        <f t="shared" ca="1" si="130"/>
        <v>285</v>
      </c>
      <c r="H869" s="99">
        <f t="shared" ca="1" si="139"/>
        <v>45941</v>
      </c>
      <c r="I869" s="123">
        <f ca="1">HLOOKUP($H$4,'Met Data'!$A$2:$F$368,G869,FALSE)</f>
        <v>12.466666666666599</v>
      </c>
      <c r="J869" s="121">
        <f ca="1">HLOOKUP($H$4,'Met Data'!$H$2:$M$368,G869,FALSE)*L869</f>
        <v>3.5333333333333301</v>
      </c>
      <c r="K869" s="100">
        <f ca="1">HLOOKUP($H$4,'Met Data'!$O$2:$T$368,G869,FALSE)</f>
        <v>2.44735536591925</v>
      </c>
      <c r="L869">
        <f t="shared" ca="1" si="131"/>
        <v>1</v>
      </c>
      <c r="N869" t="e">
        <f t="shared" ca="1" si="132"/>
        <v>#N/A</v>
      </c>
      <c r="O869" t="e">
        <f t="shared" ca="1" si="133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4"/>
        <v>0</v>
      </c>
      <c r="AE869">
        <f t="shared" ca="1" si="135"/>
        <v>0</v>
      </c>
      <c r="AG869" s="65" t="e">
        <f t="shared" ca="1" si="136"/>
        <v>#N/A</v>
      </c>
      <c r="AH869" s="65" t="e">
        <f t="shared" ca="1" si="137"/>
        <v>#N/A</v>
      </c>
      <c r="AI869" s="3" t="e">
        <f t="shared" ca="1" si="138"/>
        <v>#N/A</v>
      </c>
    </row>
    <row r="870" spans="7:35" ht="15" thickBot="1" x14ac:dyDescent="0.35">
      <c r="G870" s="3">
        <f t="shared" ca="1" si="130"/>
        <v>286</v>
      </c>
      <c r="H870" s="99">
        <f t="shared" ca="1" si="139"/>
        <v>45942</v>
      </c>
      <c r="I870" s="123">
        <f ca="1">HLOOKUP($H$4,'Met Data'!$A$2:$F$368,G870,FALSE)</f>
        <v>12.566666666666601</v>
      </c>
      <c r="J870" s="121">
        <f ca="1">HLOOKUP($H$4,'Met Data'!$H$2:$M$368,G870,FALSE)*L870</f>
        <v>1.88333333333333</v>
      </c>
      <c r="K870" s="100">
        <f ca="1">HLOOKUP($H$4,'Met Data'!$O$2:$T$368,G870,FALSE)</f>
        <v>2.6706436990123898</v>
      </c>
      <c r="L870">
        <f t="shared" ca="1" si="131"/>
        <v>1</v>
      </c>
      <c r="N870" t="e">
        <f t="shared" ca="1" si="132"/>
        <v>#N/A</v>
      </c>
      <c r="O870" t="e">
        <f t="shared" ca="1" si="133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4"/>
        <v>0</v>
      </c>
      <c r="AE870">
        <f t="shared" ca="1" si="135"/>
        <v>0</v>
      </c>
      <c r="AG870" s="65" t="e">
        <f t="shared" ca="1" si="136"/>
        <v>#N/A</v>
      </c>
      <c r="AH870" s="65" t="e">
        <f t="shared" ca="1" si="137"/>
        <v>#N/A</v>
      </c>
      <c r="AI870" s="3" t="e">
        <f t="shared" ca="1" si="138"/>
        <v>#N/A</v>
      </c>
    </row>
    <row r="871" spans="7:35" ht="15" thickBot="1" x14ac:dyDescent="0.35">
      <c r="G871" s="3">
        <f t="shared" ca="1" si="130"/>
        <v>287</v>
      </c>
      <c r="H871" s="99">
        <f t="shared" ca="1" si="139"/>
        <v>45943</v>
      </c>
      <c r="I871" s="123">
        <f ca="1">HLOOKUP($H$4,'Met Data'!$A$2:$F$368,G871,FALSE)</f>
        <v>12.133333333333301</v>
      </c>
      <c r="J871" s="121">
        <f ca="1">HLOOKUP($H$4,'Met Data'!$H$2:$M$368,G871,FALSE)*L871</f>
        <v>2.6666666666666599</v>
      </c>
      <c r="K871" s="100">
        <f ca="1">HLOOKUP($H$4,'Met Data'!$O$2:$T$368,G871,FALSE)</f>
        <v>1.9257972512671799</v>
      </c>
      <c r="L871">
        <f t="shared" ca="1" si="131"/>
        <v>1</v>
      </c>
      <c r="N871" t="e">
        <f t="shared" ca="1" si="132"/>
        <v>#N/A</v>
      </c>
      <c r="O871" t="e">
        <f t="shared" ca="1" si="133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4"/>
        <v>0</v>
      </c>
      <c r="AE871">
        <f t="shared" ca="1" si="135"/>
        <v>0</v>
      </c>
      <c r="AG871" s="65" t="e">
        <f t="shared" ca="1" si="136"/>
        <v>#N/A</v>
      </c>
      <c r="AH871" s="65" t="e">
        <f t="shared" ca="1" si="137"/>
        <v>#N/A</v>
      </c>
      <c r="AI871" s="3" t="e">
        <f t="shared" ca="1" si="138"/>
        <v>#N/A</v>
      </c>
    </row>
    <row r="872" spans="7:35" ht="15" thickBot="1" x14ac:dyDescent="0.35">
      <c r="G872" s="3">
        <f t="shared" ca="1" si="130"/>
        <v>288</v>
      </c>
      <c r="H872" s="99">
        <f t="shared" ca="1" si="139"/>
        <v>45944</v>
      </c>
      <c r="I872" s="123">
        <f ca="1">HLOOKUP($H$4,'Met Data'!$A$2:$F$368,G872,FALSE)</f>
        <v>12.762499999999999</v>
      </c>
      <c r="J872" s="121">
        <f ca="1">HLOOKUP($H$4,'Met Data'!$H$2:$M$368,G872,FALSE)*L872</f>
        <v>3.6333333333333302</v>
      </c>
      <c r="K872" s="100">
        <f ca="1">HLOOKUP($H$4,'Met Data'!$O$2:$T$368,G872,FALSE)</f>
        <v>2.2182002807721002</v>
      </c>
      <c r="L872">
        <f t="shared" ca="1" si="131"/>
        <v>1</v>
      </c>
      <c r="N872" t="e">
        <f t="shared" ca="1" si="132"/>
        <v>#N/A</v>
      </c>
      <c r="O872" t="e">
        <f t="shared" ca="1" si="133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4"/>
        <v>0</v>
      </c>
      <c r="AE872">
        <f t="shared" ca="1" si="135"/>
        <v>0</v>
      </c>
      <c r="AG872" s="65" t="e">
        <f t="shared" ca="1" si="136"/>
        <v>#N/A</v>
      </c>
      <c r="AH872" s="65" t="e">
        <f t="shared" ca="1" si="137"/>
        <v>#N/A</v>
      </c>
      <c r="AI872" s="3" t="e">
        <f t="shared" ca="1" si="138"/>
        <v>#N/A</v>
      </c>
    </row>
    <row r="873" spans="7:35" ht="15" thickBot="1" x14ac:dyDescent="0.35">
      <c r="G873" s="3">
        <f t="shared" ca="1" si="130"/>
        <v>289</v>
      </c>
      <c r="H873" s="99">
        <f t="shared" ca="1" si="139"/>
        <v>45945</v>
      </c>
      <c r="I873" s="123">
        <f ca="1">HLOOKUP($H$4,'Met Data'!$A$2:$F$368,G873,FALSE)</f>
        <v>12.675000000000001</v>
      </c>
      <c r="J873" s="121">
        <f ca="1">HLOOKUP($H$4,'Met Data'!$H$2:$M$368,G873,FALSE)*L873</f>
        <v>4.2166666666666597</v>
      </c>
      <c r="K873" s="100">
        <f ca="1">HLOOKUP($H$4,'Met Data'!$O$2:$T$368,G873,FALSE)</f>
        <v>2.3809243707544998</v>
      </c>
      <c r="L873">
        <f t="shared" ca="1" si="131"/>
        <v>1</v>
      </c>
      <c r="N873" t="e">
        <f t="shared" ca="1" si="132"/>
        <v>#N/A</v>
      </c>
      <c r="O873" t="e">
        <f t="shared" ca="1" si="133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4"/>
        <v>0</v>
      </c>
      <c r="AE873">
        <f t="shared" ca="1" si="135"/>
        <v>0</v>
      </c>
      <c r="AG873" s="65" t="e">
        <f t="shared" ca="1" si="136"/>
        <v>#N/A</v>
      </c>
      <c r="AH873" s="65" t="e">
        <f t="shared" ca="1" si="137"/>
        <v>#N/A</v>
      </c>
      <c r="AI873" s="3" t="e">
        <f t="shared" ca="1" si="138"/>
        <v>#N/A</v>
      </c>
    </row>
    <row r="874" spans="7:35" ht="15" thickBot="1" x14ac:dyDescent="0.35">
      <c r="G874" s="3">
        <f t="shared" ca="1" si="130"/>
        <v>290</v>
      </c>
      <c r="H874" s="99">
        <f t="shared" ca="1" si="139"/>
        <v>45946</v>
      </c>
      <c r="I874" s="123">
        <f ca="1">HLOOKUP($H$4,'Met Data'!$A$2:$F$368,G874,FALSE)</f>
        <v>12.3041666666666</v>
      </c>
      <c r="J874" s="121">
        <f ca="1">HLOOKUP($H$4,'Met Data'!$H$2:$M$368,G874,FALSE)*L874</f>
        <v>1.4666666666666599</v>
      </c>
      <c r="K874" s="100">
        <f ca="1">HLOOKUP($H$4,'Met Data'!$O$2:$T$368,G874,FALSE)</f>
        <v>2.7800377367024298</v>
      </c>
      <c r="L874">
        <f t="shared" ca="1" si="131"/>
        <v>1</v>
      </c>
      <c r="N874" t="e">
        <f t="shared" ca="1" si="132"/>
        <v>#N/A</v>
      </c>
      <c r="O874" t="e">
        <f t="shared" ca="1" si="133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4"/>
        <v>0</v>
      </c>
      <c r="AE874">
        <f t="shared" ca="1" si="135"/>
        <v>0</v>
      </c>
      <c r="AG874" s="65" t="e">
        <f t="shared" ca="1" si="136"/>
        <v>#N/A</v>
      </c>
      <c r="AH874" s="65" t="e">
        <f t="shared" ca="1" si="137"/>
        <v>#N/A</v>
      </c>
      <c r="AI874" s="3" t="e">
        <f t="shared" ca="1" si="138"/>
        <v>#N/A</v>
      </c>
    </row>
    <row r="875" spans="7:35" ht="15" thickBot="1" x14ac:dyDescent="0.35">
      <c r="G875" s="3">
        <f t="shared" ca="1" si="130"/>
        <v>291</v>
      </c>
      <c r="H875" s="99">
        <f t="shared" ca="1" si="139"/>
        <v>45947</v>
      </c>
      <c r="I875" s="123">
        <f ca="1">HLOOKUP($H$4,'Met Data'!$A$2:$F$368,G875,FALSE)</f>
        <v>12.987499999999899</v>
      </c>
      <c r="J875" s="121">
        <f ca="1">HLOOKUP($H$4,'Met Data'!$H$2:$M$368,G875,FALSE)*L875</f>
        <v>2.75</v>
      </c>
      <c r="K875" s="100">
        <f ca="1">HLOOKUP($H$4,'Met Data'!$O$2:$T$368,G875,FALSE)</f>
        <v>2.65151934906442</v>
      </c>
      <c r="L875">
        <f t="shared" ca="1" si="131"/>
        <v>1</v>
      </c>
      <c r="N875" t="e">
        <f t="shared" ca="1" si="132"/>
        <v>#N/A</v>
      </c>
      <c r="O875" t="e">
        <f t="shared" ca="1" si="133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4"/>
        <v>0</v>
      </c>
      <c r="AE875">
        <f t="shared" ca="1" si="135"/>
        <v>0</v>
      </c>
      <c r="AG875" s="65" t="e">
        <f t="shared" ca="1" si="136"/>
        <v>#N/A</v>
      </c>
      <c r="AH875" s="65" t="e">
        <f t="shared" ca="1" si="137"/>
        <v>#N/A</v>
      </c>
      <c r="AI875" s="3" t="e">
        <f t="shared" ca="1" si="138"/>
        <v>#N/A</v>
      </c>
    </row>
    <row r="876" spans="7:35" ht="15" thickBot="1" x14ac:dyDescent="0.35">
      <c r="G876" s="3">
        <f t="shared" ca="1" si="130"/>
        <v>292</v>
      </c>
      <c r="H876" s="99">
        <f t="shared" ca="1" si="139"/>
        <v>45948</v>
      </c>
      <c r="I876" s="123">
        <f ca="1">HLOOKUP($H$4,'Met Data'!$A$2:$F$368,G876,FALSE)</f>
        <v>12.7416666666666</v>
      </c>
      <c r="J876" s="121">
        <f ca="1">HLOOKUP($H$4,'Met Data'!$H$2:$M$368,G876,FALSE)*L876</f>
        <v>3.0666666666666602</v>
      </c>
      <c r="K876" s="100">
        <f ca="1">HLOOKUP($H$4,'Met Data'!$O$2:$T$368,G876,FALSE)</f>
        <v>2.2346438003254501</v>
      </c>
      <c r="L876">
        <f t="shared" ca="1" si="131"/>
        <v>1</v>
      </c>
      <c r="N876" t="e">
        <f t="shared" ca="1" si="132"/>
        <v>#N/A</v>
      </c>
      <c r="O876" t="e">
        <f t="shared" ca="1" si="133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4"/>
        <v>0</v>
      </c>
      <c r="AE876">
        <f t="shared" ca="1" si="135"/>
        <v>0</v>
      </c>
      <c r="AG876" s="65" t="e">
        <f t="shared" ca="1" si="136"/>
        <v>#N/A</v>
      </c>
      <c r="AH876" s="65" t="e">
        <f t="shared" ca="1" si="137"/>
        <v>#N/A</v>
      </c>
      <c r="AI876" s="3" t="e">
        <f t="shared" ca="1" si="138"/>
        <v>#N/A</v>
      </c>
    </row>
    <row r="877" spans="7:35" ht="15" thickBot="1" x14ac:dyDescent="0.35">
      <c r="G877" s="3">
        <f t="shared" ca="1" si="130"/>
        <v>293</v>
      </c>
      <c r="H877" s="99">
        <f t="shared" ca="1" si="139"/>
        <v>45949</v>
      </c>
      <c r="I877" s="123">
        <f ca="1">HLOOKUP($H$4,'Met Data'!$A$2:$F$368,G877,FALSE)</f>
        <v>12.154166666666599</v>
      </c>
      <c r="J877" s="121">
        <f ca="1">HLOOKUP($H$4,'Met Data'!$H$2:$M$368,G877,FALSE)*L877</f>
        <v>1.1000000000000001</v>
      </c>
      <c r="K877" s="100">
        <f ca="1">HLOOKUP($H$4,'Met Data'!$O$2:$T$368,G877,FALSE)</f>
        <v>2.9905003990183601</v>
      </c>
      <c r="L877">
        <f t="shared" ca="1" si="131"/>
        <v>1</v>
      </c>
      <c r="N877" t="e">
        <f t="shared" ca="1" si="132"/>
        <v>#N/A</v>
      </c>
      <c r="O877" t="e">
        <f t="shared" ca="1" si="133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4"/>
        <v>0</v>
      </c>
      <c r="AE877">
        <f t="shared" ca="1" si="135"/>
        <v>0</v>
      </c>
      <c r="AG877" s="65" t="e">
        <f t="shared" ca="1" si="136"/>
        <v>#N/A</v>
      </c>
      <c r="AH877" s="65" t="e">
        <f t="shared" ca="1" si="137"/>
        <v>#N/A</v>
      </c>
      <c r="AI877" s="3" t="e">
        <f t="shared" ca="1" si="138"/>
        <v>#N/A</v>
      </c>
    </row>
    <row r="878" spans="7:35" ht="15" thickBot="1" x14ac:dyDescent="0.35">
      <c r="G878" s="3">
        <f t="shared" ca="1" si="130"/>
        <v>294</v>
      </c>
      <c r="H878" s="99">
        <f t="shared" ca="1" si="139"/>
        <v>45950</v>
      </c>
      <c r="I878" s="123">
        <f ca="1">HLOOKUP($H$4,'Met Data'!$A$2:$F$368,G878,FALSE)</f>
        <v>12.6666666666666</v>
      </c>
      <c r="J878" s="121">
        <f ca="1">HLOOKUP($H$4,'Met Data'!$H$2:$M$368,G878,FALSE)*L878</f>
        <v>1.13333333333333</v>
      </c>
      <c r="K878" s="100">
        <f ca="1">HLOOKUP($H$4,'Met Data'!$O$2:$T$368,G878,FALSE)</f>
        <v>2.7134262355768599</v>
      </c>
      <c r="L878">
        <f t="shared" ca="1" si="131"/>
        <v>1</v>
      </c>
      <c r="N878" t="e">
        <f t="shared" ca="1" si="132"/>
        <v>#N/A</v>
      </c>
      <c r="O878" t="e">
        <f t="shared" ca="1" si="133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4"/>
        <v>0</v>
      </c>
      <c r="AE878">
        <f t="shared" ca="1" si="135"/>
        <v>0</v>
      </c>
      <c r="AG878" s="65" t="e">
        <f t="shared" ca="1" si="136"/>
        <v>#N/A</v>
      </c>
      <c r="AH878" s="65" t="e">
        <f t="shared" ca="1" si="137"/>
        <v>#N/A</v>
      </c>
      <c r="AI878" s="3" t="e">
        <f t="shared" ca="1" si="138"/>
        <v>#N/A</v>
      </c>
    </row>
    <row r="879" spans="7:35" ht="15" thickBot="1" x14ac:dyDescent="0.35">
      <c r="G879" s="3">
        <f t="shared" ca="1" si="130"/>
        <v>295</v>
      </c>
      <c r="H879" s="99">
        <f t="shared" ca="1" si="139"/>
        <v>45951</v>
      </c>
      <c r="I879" s="123">
        <f ca="1">HLOOKUP($H$4,'Met Data'!$A$2:$F$368,G879,FALSE)</f>
        <v>12.4916666666666</v>
      </c>
      <c r="J879" s="121">
        <f ca="1">HLOOKUP($H$4,'Met Data'!$H$2:$M$368,G879,FALSE)*L879</f>
        <v>0.51666666666666605</v>
      </c>
      <c r="K879" s="100">
        <f ca="1">HLOOKUP($H$4,'Met Data'!$O$2:$T$368,G879,FALSE)</f>
        <v>2.2874725559703002</v>
      </c>
      <c r="L879">
        <f t="shared" ca="1" si="131"/>
        <v>1</v>
      </c>
      <c r="N879" t="e">
        <f t="shared" ca="1" si="132"/>
        <v>#N/A</v>
      </c>
      <c r="O879" t="e">
        <f t="shared" ca="1" si="133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4"/>
        <v>0</v>
      </c>
      <c r="AE879">
        <f t="shared" ca="1" si="135"/>
        <v>0</v>
      </c>
      <c r="AG879" s="65" t="e">
        <f t="shared" ca="1" si="136"/>
        <v>#N/A</v>
      </c>
      <c r="AH879" s="65" t="e">
        <f t="shared" ca="1" si="137"/>
        <v>#N/A</v>
      </c>
      <c r="AI879" s="3" t="e">
        <f t="shared" ca="1" si="138"/>
        <v>#N/A</v>
      </c>
    </row>
    <row r="880" spans="7:35" ht="15" thickBot="1" x14ac:dyDescent="0.35">
      <c r="G880" s="3">
        <f t="shared" ref="G880:G943" ca="1" si="140">H880-DATE(YEAR(H880),1,0)+1</f>
        <v>296</v>
      </c>
      <c r="H880" s="99">
        <f t="shared" ca="1" si="139"/>
        <v>45952</v>
      </c>
      <c r="I880" s="123">
        <f ca="1">HLOOKUP($H$4,'Met Data'!$A$2:$F$368,G880,FALSE)</f>
        <v>12.925000000000001</v>
      </c>
      <c r="J880" s="121">
        <f ca="1">HLOOKUP($H$4,'Met Data'!$H$2:$M$368,G880,FALSE)*L880</f>
        <v>3.7166666666666601</v>
      </c>
      <c r="K880" s="100">
        <f ca="1">HLOOKUP($H$4,'Met Data'!$O$2:$T$368,G880,FALSE)</f>
        <v>2.31884542682567</v>
      </c>
      <c r="L880">
        <f t="shared" ref="L880:L943" ca="1" si="141">IF(H880&lt;$B$31,$J$3,$J$4)</f>
        <v>1</v>
      </c>
      <c r="N880" t="e">
        <f t="shared" ref="N880:N943" ca="1" si="142">IF(P880&lt;$P$3,TRUE,FALSE)</f>
        <v>#N/A</v>
      </c>
      <c r="O880" t="e">
        <f t="shared" ref="O880:O943" ca="1" si="143">AND(IF(P880&gt;($P$2-1),TRUE,FALSE),IF(P880&lt;($P$3+1),TRUE,FALSE))</f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ref="AD880:AD943" ca="1" si="144">IFERROR(P880,$AD$4)</f>
        <v>0</v>
      </c>
      <c r="AE880">
        <f t="shared" ref="AE880:AE943" ca="1" si="145">IFERROR(U880,0)</f>
        <v>0</v>
      </c>
      <c r="AG880" s="65" t="e">
        <f t="shared" ref="AG880:AG943" ca="1" si="146">Q879+S880+T880+U880</f>
        <v>#N/A</v>
      </c>
      <c r="AH880" s="65" t="e">
        <f t="shared" ref="AH880:AH943" ca="1" si="147">Q880+R880+X880</f>
        <v>#N/A</v>
      </c>
      <c r="AI880" s="3" t="e">
        <f t="shared" ref="AI880:AI943" ca="1" si="148">AH880-AG880</f>
        <v>#N/A</v>
      </c>
    </row>
    <row r="881" spans="7:35" ht="15" thickBot="1" x14ac:dyDescent="0.35">
      <c r="G881" s="3">
        <f t="shared" ca="1" si="140"/>
        <v>297</v>
      </c>
      <c r="H881" s="99">
        <f t="shared" ca="1" si="139"/>
        <v>45953</v>
      </c>
      <c r="I881" s="123">
        <f ca="1">HLOOKUP($H$4,'Met Data'!$A$2:$F$368,G881,FALSE)</f>
        <v>12.2291666666666</v>
      </c>
      <c r="J881" s="121">
        <f ca="1">HLOOKUP($H$4,'Met Data'!$H$2:$M$368,G881,FALSE)*L881</f>
        <v>2.8333333333333299</v>
      </c>
      <c r="K881" s="100">
        <f ca="1">HLOOKUP($H$4,'Met Data'!$O$2:$T$368,G881,FALSE)</f>
        <v>2.7150999093147798</v>
      </c>
      <c r="L881">
        <f t="shared" ca="1" si="141"/>
        <v>1</v>
      </c>
      <c r="N881" t="e">
        <f t="shared" ca="1" si="142"/>
        <v>#N/A</v>
      </c>
      <c r="O881" t="e">
        <f t="shared" ca="1" si="143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ca="1" si="144"/>
        <v>0</v>
      </c>
      <c r="AE881">
        <f t="shared" ca="1" si="145"/>
        <v>0</v>
      </c>
      <c r="AG881" s="65" t="e">
        <f t="shared" ca="1" si="146"/>
        <v>#N/A</v>
      </c>
      <c r="AH881" s="65" t="e">
        <f t="shared" ca="1" si="147"/>
        <v>#N/A</v>
      </c>
      <c r="AI881" s="3" t="e">
        <f t="shared" ca="1" si="148"/>
        <v>#N/A</v>
      </c>
    </row>
    <row r="882" spans="7:35" ht="15" thickBot="1" x14ac:dyDescent="0.35">
      <c r="G882" s="3">
        <f t="shared" ca="1" si="140"/>
        <v>298</v>
      </c>
      <c r="H882" s="99">
        <f t="shared" ca="1" si="139"/>
        <v>45954</v>
      </c>
      <c r="I882" s="123">
        <f ca="1">HLOOKUP($H$4,'Met Data'!$A$2:$F$368,G882,FALSE)</f>
        <v>12.2708333333333</v>
      </c>
      <c r="J882" s="121">
        <f ca="1">HLOOKUP($H$4,'Met Data'!$H$2:$M$368,G882,FALSE)*L882</f>
        <v>0.85</v>
      </c>
      <c r="K882" s="100">
        <f ca="1">HLOOKUP($H$4,'Met Data'!$O$2:$T$368,G882,FALSE)</f>
        <v>2.95103134032406</v>
      </c>
      <c r="L882">
        <f t="shared" ca="1" si="141"/>
        <v>1</v>
      </c>
      <c r="N882" t="e">
        <f t="shared" ca="1" si="142"/>
        <v>#N/A</v>
      </c>
      <c r="O882" t="e">
        <f t="shared" ca="1" si="143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4"/>
        <v>0</v>
      </c>
      <c r="AE882">
        <f t="shared" ca="1" si="145"/>
        <v>0</v>
      </c>
      <c r="AG882" s="65" t="e">
        <f t="shared" ca="1" si="146"/>
        <v>#N/A</v>
      </c>
      <c r="AH882" s="65" t="e">
        <f t="shared" ca="1" si="147"/>
        <v>#N/A</v>
      </c>
      <c r="AI882" s="3" t="e">
        <f t="shared" ca="1" si="148"/>
        <v>#N/A</v>
      </c>
    </row>
    <row r="883" spans="7:35" ht="15" thickBot="1" x14ac:dyDescent="0.35">
      <c r="G883" s="3">
        <f t="shared" ca="1" si="140"/>
        <v>299</v>
      </c>
      <c r="H883" s="99">
        <f t="shared" ca="1" si="139"/>
        <v>45955</v>
      </c>
      <c r="I883" s="123">
        <f ca="1">HLOOKUP($H$4,'Met Data'!$A$2:$F$368,G883,FALSE)</f>
        <v>12.858333333333301</v>
      </c>
      <c r="J883" s="121">
        <f ca="1">HLOOKUP($H$4,'Met Data'!$H$2:$M$368,G883,FALSE)*L883</f>
        <v>1.0333333333333301</v>
      </c>
      <c r="K883" s="100">
        <f ca="1">HLOOKUP($H$4,'Met Data'!$O$2:$T$368,G883,FALSE)</f>
        <v>2.6842724832832401</v>
      </c>
      <c r="L883">
        <f t="shared" ca="1" si="141"/>
        <v>1</v>
      </c>
      <c r="N883" t="e">
        <f t="shared" ca="1" si="142"/>
        <v>#N/A</v>
      </c>
      <c r="O883" t="e">
        <f t="shared" ca="1" si="143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4"/>
        <v>0</v>
      </c>
      <c r="AE883">
        <f t="shared" ca="1" si="145"/>
        <v>0</v>
      </c>
      <c r="AG883" s="65" t="e">
        <f t="shared" ca="1" si="146"/>
        <v>#N/A</v>
      </c>
      <c r="AH883" s="65" t="e">
        <f t="shared" ca="1" si="147"/>
        <v>#N/A</v>
      </c>
      <c r="AI883" s="3" t="e">
        <f t="shared" ca="1" si="148"/>
        <v>#N/A</v>
      </c>
    </row>
    <row r="884" spans="7:35" ht="15" thickBot="1" x14ac:dyDescent="0.35">
      <c r="G884" s="3">
        <f t="shared" ca="1" si="140"/>
        <v>300</v>
      </c>
      <c r="H884" s="99">
        <f t="shared" ca="1" si="139"/>
        <v>45956</v>
      </c>
      <c r="I884" s="123">
        <f ca="1">HLOOKUP($H$4,'Met Data'!$A$2:$F$368,G884,FALSE)</f>
        <v>13.7708333333333</v>
      </c>
      <c r="J884" s="121">
        <f ca="1">HLOOKUP($H$4,'Met Data'!$H$2:$M$368,G884,FALSE)*L884</f>
        <v>3.5166666666666599</v>
      </c>
      <c r="K884" s="100">
        <f ca="1">HLOOKUP($H$4,'Met Data'!$O$2:$T$368,G884,FALSE)</f>
        <v>2.91343955355575</v>
      </c>
      <c r="L884">
        <f t="shared" ca="1" si="141"/>
        <v>1</v>
      </c>
      <c r="N884" t="e">
        <f t="shared" ca="1" si="142"/>
        <v>#N/A</v>
      </c>
      <c r="O884" t="e">
        <f t="shared" ca="1" si="143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4"/>
        <v>0</v>
      </c>
      <c r="AE884">
        <f t="shared" ca="1" si="145"/>
        <v>0</v>
      </c>
      <c r="AG884" s="65" t="e">
        <f t="shared" ca="1" si="146"/>
        <v>#N/A</v>
      </c>
      <c r="AH884" s="65" t="e">
        <f t="shared" ca="1" si="147"/>
        <v>#N/A</v>
      </c>
      <c r="AI884" s="3" t="e">
        <f t="shared" ca="1" si="148"/>
        <v>#N/A</v>
      </c>
    </row>
    <row r="885" spans="7:35" ht="15" thickBot="1" x14ac:dyDescent="0.35">
      <c r="G885" s="3">
        <f t="shared" ca="1" si="140"/>
        <v>301</v>
      </c>
      <c r="H885" s="99">
        <f t="shared" ca="1" si="139"/>
        <v>45957</v>
      </c>
      <c r="I885" s="123">
        <f ca="1">HLOOKUP($H$4,'Met Data'!$A$2:$F$368,G885,FALSE)</f>
        <v>13.899999999999901</v>
      </c>
      <c r="J885" s="121">
        <f ca="1">HLOOKUP($H$4,'Met Data'!$H$2:$M$368,G885,FALSE)*L885</f>
        <v>4.75</v>
      </c>
      <c r="K885" s="100">
        <f ca="1">HLOOKUP($H$4,'Met Data'!$O$2:$T$368,G885,FALSE)</f>
        <v>2.4549016141153701</v>
      </c>
      <c r="L885">
        <f t="shared" ca="1" si="141"/>
        <v>1</v>
      </c>
      <c r="N885" t="e">
        <f t="shared" ca="1" si="142"/>
        <v>#N/A</v>
      </c>
      <c r="O885" t="e">
        <f t="shared" ca="1" si="143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4"/>
        <v>0</v>
      </c>
      <c r="AE885">
        <f t="shared" ca="1" si="145"/>
        <v>0</v>
      </c>
      <c r="AG885" s="65" t="e">
        <f t="shared" ca="1" si="146"/>
        <v>#N/A</v>
      </c>
      <c r="AH885" s="65" t="e">
        <f t="shared" ca="1" si="147"/>
        <v>#N/A</v>
      </c>
      <c r="AI885" s="3" t="e">
        <f t="shared" ca="1" si="148"/>
        <v>#N/A</v>
      </c>
    </row>
    <row r="886" spans="7:35" ht="15" thickBot="1" x14ac:dyDescent="0.35">
      <c r="G886" s="3">
        <f t="shared" ca="1" si="140"/>
        <v>302</v>
      </c>
      <c r="H886" s="99">
        <f t="shared" ca="1" si="139"/>
        <v>45958</v>
      </c>
      <c r="I886" s="123">
        <f ca="1">HLOOKUP($H$4,'Met Data'!$A$2:$F$368,G886,FALSE)</f>
        <v>13.425000000000001</v>
      </c>
      <c r="J886" s="121">
        <f ca="1">HLOOKUP($H$4,'Met Data'!$H$2:$M$368,G886,FALSE)*L886</f>
        <v>5.6333333333333302</v>
      </c>
      <c r="K886" s="100">
        <f ca="1">HLOOKUP($H$4,'Met Data'!$O$2:$T$368,G886,FALSE)</f>
        <v>2.5803220554406501</v>
      </c>
      <c r="L886">
        <f t="shared" ca="1" si="141"/>
        <v>1</v>
      </c>
      <c r="N886" t="e">
        <f t="shared" ca="1" si="142"/>
        <v>#N/A</v>
      </c>
      <c r="O886" t="e">
        <f t="shared" ca="1" si="143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4"/>
        <v>0</v>
      </c>
      <c r="AE886">
        <f t="shared" ca="1" si="145"/>
        <v>0</v>
      </c>
      <c r="AG886" s="65" t="e">
        <f t="shared" ca="1" si="146"/>
        <v>#N/A</v>
      </c>
      <c r="AH886" s="65" t="e">
        <f t="shared" ca="1" si="147"/>
        <v>#N/A</v>
      </c>
      <c r="AI886" s="3" t="e">
        <f t="shared" ca="1" si="148"/>
        <v>#N/A</v>
      </c>
    </row>
    <row r="887" spans="7:35" ht="15" thickBot="1" x14ac:dyDescent="0.35">
      <c r="G887" s="3">
        <f t="shared" ca="1" si="140"/>
        <v>303</v>
      </c>
      <c r="H887" s="99">
        <f t="shared" ca="1" si="139"/>
        <v>45959</v>
      </c>
      <c r="I887" s="123">
        <f ca="1">HLOOKUP($H$4,'Met Data'!$A$2:$F$368,G887,FALSE)</f>
        <v>13.9625</v>
      </c>
      <c r="J887" s="121">
        <f ca="1">HLOOKUP($H$4,'Met Data'!$H$2:$M$368,G887,FALSE)*L887</f>
        <v>3.7833333333333301</v>
      </c>
      <c r="K887" s="100">
        <f ca="1">HLOOKUP($H$4,'Met Data'!$O$2:$T$368,G887,FALSE)</f>
        <v>2.91115304555708</v>
      </c>
      <c r="L887">
        <f t="shared" ca="1" si="141"/>
        <v>1</v>
      </c>
      <c r="N887" t="e">
        <f t="shared" ca="1" si="142"/>
        <v>#N/A</v>
      </c>
      <c r="O887" t="e">
        <f t="shared" ca="1" si="143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4"/>
        <v>0</v>
      </c>
      <c r="AE887">
        <f t="shared" ca="1" si="145"/>
        <v>0</v>
      </c>
      <c r="AG887" s="65" t="e">
        <f t="shared" ca="1" si="146"/>
        <v>#N/A</v>
      </c>
      <c r="AH887" s="65" t="e">
        <f t="shared" ca="1" si="147"/>
        <v>#N/A</v>
      </c>
      <c r="AI887" s="3" t="e">
        <f t="shared" ca="1" si="148"/>
        <v>#N/A</v>
      </c>
    </row>
    <row r="888" spans="7:35" ht="15" thickBot="1" x14ac:dyDescent="0.35">
      <c r="G888" s="3">
        <f t="shared" ca="1" si="140"/>
        <v>304</v>
      </c>
      <c r="H888" s="99">
        <f t="shared" ca="1" si="139"/>
        <v>45960</v>
      </c>
      <c r="I888" s="123">
        <f ca="1">HLOOKUP($H$4,'Met Data'!$A$2:$F$368,G888,FALSE)</f>
        <v>13.045833333333301</v>
      </c>
      <c r="J888" s="121">
        <f ca="1">HLOOKUP($H$4,'Met Data'!$H$2:$M$368,G888,FALSE)*L888</f>
        <v>0.39999999999999902</v>
      </c>
      <c r="K888" s="100">
        <f ca="1">HLOOKUP($H$4,'Met Data'!$O$2:$T$368,G888,FALSE)</f>
        <v>3.19138361024571</v>
      </c>
      <c r="L888">
        <f t="shared" ca="1" si="141"/>
        <v>1</v>
      </c>
      <c r="N888" t="e">
        <f t="shared" ca="1" si="142"/>
        <v>#N/A</v>
      </c>
      <c r="O888" t="e">
        <f t="shared" ca="1" si="143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4"/>
        <v>0</v>
      </c>
      <c r="AE888">
        <f t="shared" ca="1" si="145"/>
        <v>0</v>
      </c>
      <c r="AG888" s="65" t="e">
        <f t="shared" ca="1" si="146"/>
        <v>#N/A</v>
      </c>
      <c r="AH888" s="65" t="e">
        <f t="shared" ca="1" si="147"/>
        <v>#N/A</v>
      </c>
      <c r="AI888" s="3" t="e">
        <f t="shared" ca="1" si="148"/>
        <v>#N/A</v>
      </c>
    </row>
    <row r="889" spans="7:35" ht="15" thickBot="1" x14ac:dyDescent="0.35">
      <c r="G889" s="3">
        <f t="shared" ca="1" si="140"/>
        <v>305</v>
      </c>
      <c r="H889" s="99">
        <f t="shared" ca="1" si="139"/>
        <v>45961</v>
      </c>
      <c r="I889" s="123">
        <f ca="1">HLOOKUP($H$4,'Met Data'!$A$2:$F$368,G889,FALSE)</f>
        <v>12.6166666666666</v>
      </c>
      <c r="J889" s="121">
        <f ca="1">HLOOKUP($H$4,'Met Data'!$H$2:$M$368,G889,FALSE)*L889</f>
        <v>3.4666666666666601</v>
      </c>
      <c r="K889" s="100">
        <f ca="1">HLOOKUP($H$4,'Met Data'!$O$2:$T$368,G889,FALSE)</f>
        <v>3.1814806222099299</v>
      </c>
      <c r="L889">
        <f t="shared" ca="1" si="141"/>
        <v>1</v>
      </c>
      <c r="N889" t="e">
        <f t="shared" ca="1" si="142"/>
        <v>#N/A</v>
      </c>
      <c r="O889" t="e">
        <f t="shared" ca="1" si="143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4"/>
        <v>0</v>
      </c>
      <c r="AE889">
        <f t="shared" ca="1" si="145"/>
        <v>0</v>
      </c>
      <c r="AG889" s="65" t="e">
        <f t="shared" ca="1" si="146"/>
        <v>#N/A</v>
      </c>
      <c r="AH889" s="65" t="e">
        <f t="shared" ca="1" si="147"/>
        <v>#N/A</v>
      </c>
      <c r="AI889" s="3" t="e">
        <f t="shared" ca="1" si="148"/>
        <v>#N/A</v>
      </c>
    </row>
    <row r="890" spans="7:35" ht="15" thickBot="1" x14ac:dyDescent="0.35">
      <c r="G890" s="3">
        <f t="shared" ca="1" si="140"/>
        <v>306</v>
      </c>
      <c r="H890" s="99">
        <f t="shared" ca="1" si="139"/>
        <v>45962</v>
      </c>
      <c r="I890" s="123">
        <f ca="1">HLOOKUP($H$4,'Met Data'!$A$2:$F$368,G890,FALSE)</f>
        <v>12.4791666666666</v>
      </c>
      <c r="J890" s="121">
        <f ca="1">HLOOKUP($H$4,'Met Data'!$H$2:$M$368,G890,FALSE)*L890</f>
        <v>2.68333333333333</v>
      </c>
      <c r="K890" s="100">
        <f ca="1">HLOOKUP($H$4,'Met Data'!$O$2:$T$368,G890,FALSE)</f>
        <v>3.1007141373476301</v>
      </c>
      <c r="L890">
        <f t="shared" ca="1" si="141"/>
        <v>1</v>
      </c>
      <c r="N890" t="e">
        <f t="shared" ca="1" si="142"/>
        <v>#N/A</v>
      </c>
      <c r="O890" t="e">
        <f t="shared" ca="1" si="143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4"/>
        <v>0</v>
      </c>
      <c r="AE890">
        <f t="shared" ca="1" si="145"/>
        <v>0</v>
      </c>
      <c r="AG890" s="65" t="e">
        <f t="shared" ca="1" si="146"/>
        <v>#N/A</v>
      </c>
      <c r="AH890" s="65" t="e">
        <f t="shared" ca="1" si="147"/>
        <v>#N/A</v>
      </c>
      <c r="AI890" s="3" t="e">
        <f t="shared" ca="1" si="148"/>
        <v>#N/A</v>
      </c>
    </row>
    <row r="891" spans="7:35" ht="15" thickBot="1" x14ac:dyDescent="0.35">
      <c r="G891" s="3">
        <f t="shared" ca="1" si="140"/>
        <v>307</v>
      </c>
      <c r="H891" s="99">
        <f t="shared" ca="1" si="139"/>
        <v>45963</v>
      </c>
      <c r="I891" s="123">
        <f ca="1">HLOOKUP($H$4,'Met Data'!$A$2:$F$368,G891,FALSE)</f>
        <v>13.3125</v>
      </c>
      <c r="J891" s="121">
        <f ca="1">HLOOKUP($H$4,'Met Data'!$H$2:$M$368,G891,FALSE)*L891</f>
        <v>1.68333333333333</v>
      </c>
      <c r="K891" s="100">
        <f ca="1">HLOOKUP($H$4,'Met Data'!$O$2:$T$368,G891,FALSE)</f>
        <v>3.50405600149278</v>
      </c>
      <c r="L891">
        <f t="shared" ca="1" si="141"/>
        <v>1</v>
      </c>
      <c r="N891" t="e">
        <f t="shared" ca="1" si="142"/>
        <v>#N/A</v>
      </c>
      <c r="O891" t="e">
        <f t="shared" ca="1" si="143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4"/>
        <v>0</v>
      </c>
      <c r="AE891">
        <f t="shared" ca="1" si="145"/>
        <v>0</v>
      </c>
      <c r="AG891" s="65" t="e">
        <f t="shared" ca="1" si="146"/>
        <v>#N/A</v>
      </c>
      <c r="AH891" s="65" t="e">
        <f t="shared" ca="1" si="147"/>
        <v>#N/A</v>
      </c>
      <c r="AI891" s="3" t="e">
        <f t="shared" ca="1" si="148"/>
        <v>#N/A</v>
      </c>
    </row>
    <row r="892" spans="7:35" ht="15" thickBot="1" x14ac:dyDescent="0.35">
      <c r="G892" s="3">
        <f t="shared" ca="1" si="140"/>
        <v>308</v>
      </c>
      <c r="H892" s="99">
        <f t="shared" ca="1" si="139"/>
        <v>45964</v>
      </c>
      <c r="I892" s="123">
        <f ca="1">HLOOKUP($H$4,'Met Data'!$A$2:$F$368,G892,FALSE)</f>
        <v>14.35</v>
      </c>
      <c r="J892" s="121">
        <f ca="1">HLOOKUP($H$4,'Met Data'!$H$2:$M$368,G892,FALSE)*L892</f>
        <v>5.1333333333333302</v>
      </c>
      <c r="K892" s="100">
        <f ca="1">HLOOKUP($H$4,'Met Data'!$O$2:$T$368,G892,FALSE)</f>
        <v>2.61745839191309</v>
      </c>
      <c r="L892">
        <f t="shared" ca="1" si="141"/>
        <v>1</v>
      </c>
      <c r="N892" t="e">
        <f t="shared" ca="1" si="142"/>
        <v>#N/A</v>
      </c>
      <c r="O892" t="e">
        <f t="shared" ca="1" si="143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4"/>
        <v>0</v>
      </c>
      <c r="AE892">
        <f t="shared" ca="1" si="145"/>
        <v>0</v>
      </c>
      <c r="AG892" s="65" t="e">
        <f t="shared" ca="1" si="146"/>
        <v>#N/A</v>
      </c>
      <c r="AH892" s="65" t="e">
        <f t="shared" ca="1" si="147"/>
        <v>#N/A</v>
      </c>
      <c r="AI892" s="3" t="e">
        <f t="shared" ca="1" si="148"/>
        <v>#N/A</v>
      </c>
    </row>
    <row r="893" spans="7:35" ht="15" thickBot="1" x14ac:dyDescent="0.35">
      <c r="G893" s="3">
        <f t="shared" ca="1" si="140"/>
        <v>309</v>
      </c>
      <c r="H893" s="99">
        <f t="shared" ca="1" si="139"/>
        <v>45965</v>
      </c>
      <c r="I893" s="123">
        <f ca="1">HLOOKUP($H$4,'Met Data'!$A$2:$F$368,G893,FALSE)</f>
        <v>13.875</v>
      </c>
      <c r="J893" s="121">
        <f ca="1">HLOOKUP($H$4,'Met Data'!$H$2:$M$368,G893,FALSE)*L893</f>
        <v>1.86666666666666</v>
      </c>
      <c r="K893" s="100">
        <f ca="1">HLOOKUP($H$4,'Met Data'!$O$2:$T$368,G893,FALSE)</f>
        <v>2.7392607073945601</v>
      </c>
      <c r="L893">
        <f t="shared" ca="1" si="141"/>
        <v>1</v>
      </c>
      <c r="N893" t="e">
        <f t="shared" ca="1" si="142"/>
        <v>#N/A</v>
      </c>
      <c r="O893" t="e">
        <f t="shared" ca="1" si="143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4"/>
        <v>0</v>
      </c>
      <c r="AE893">
        <f t="shared" ca="1" si="145"/>
        <v>0</v>
      </c>
      <c r="AG893" s="65" t="e">
        <f t="shared" ca="1" si="146"/>
        <v>#N/A</v>
      </c>
      <c r="AH893" s="65" t="e">
        <f t="shared" ca="1" si="147"/>
        <v>#N/A</v>
      </c>
      <c r="AI893" s="3" t="e">
        <f t="shared" ca="1" si="148"/>
        <v>#N/A</v>
      </c>
    </row>
    <row r="894" spans="7:35" ht="15" thickBot="1" x14ac:dyDescent="0.35">
      <c r="G894" s="3">
        <f t="shared" ca="1" si="140"/>
        <v>310</v>
      </c>
      <c r="H894" s="99">
        <f t="shared" ca="1" si="139"/>
        <v>45966</v>
      </c>
      <c r="I894" s="123">
        <f ca="1">HLOOKUP($H$4,'Met Data'!$A$2:$F$368,G894,FALSE)</f>
        <v>13.316666666666601</v>
      </c>
      <c r="J894" s="121">
        <f ca="1">HLOOKUP($H$4,'Met Data'!$H$2:$M$368,G894,FALSE)*L894</f>
        <v>1.13333333333333</v>
      </c>
      <c r="K894" s="100">
        <f ca="1">HLOOKUP($H$4,'Met Data'!$O$2:$T$368,G894,FALSE)</f>
        <v>3.4135545366379101</v>
      </c>
      <c r="L894">
        <f t="shared" ca="1" si="141"/>
        <v>1</v>
      </c>
      <c r="N894" t="e">
        <f t="shared" ca="1" si="142"/>
        <v>#N/A</v>
      </c>
      <c r="O894" t="e">
        <f t="shared" ca="1" si="143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4"/>
        <v>0</v>
      </c>
      <c r="AE894">
        <f t="shared" ca="1" si="145"/>
        <v>0</v>
      </c>
      <c r="AG894" s="65" t="e">
        <f t="shared" ca="1" si="146"/>
        <v>#N/A</v>
      </c>
      <c r="AH894" s="65" t="e">
        <f t="shared" ca="1" si="147"/>
        <v>#N/A</v>
      </c>
      <c r="AI894" s="3" t="e">
        <f t="shared" ca="1" si="148"/>
        <v>#N/A</v>
      </c>
    </row>
    <row r="895" spans="7:35" ht="15" thickBot="1" x14ac:dyDescent="0.35">
      <c r="G895" s="3">
        <f t="shared" ca="1" si="140"/>
        <v>311</v>
      </c>
      <c r="H895" s="99">
        <f t="shared" ca="1" si="139"/>
        <v>45967</v>
      </c>
      <c r="I895" s="123">
        <f ca="1">HLOOKUP($H$4,'Met Data'!$A$2:$F$368,G895,FALSE)</f>
        <v>13.1454545454545</v>
      </c>
      <c r="J895" s="121">
        <f ca="1">HLOOKUP($H$4,'Met Data'!$H$2:$M$368,G895,FALSE)*L895</f>
        <v>0.472727272727272</v>
      </c>
      <c r="K895" s="100">
        <f ca="1">HLOOKUP($H$4,'Met Data'!$O$2:$T$368,G895,FALSE)</f>
        <v>3.2963131788019302</v>
      </c>
      <c r="L895">
        <f t="shared" ca="1" si="141"/>
        <v>1</v>
      </c>
      <c r="N895" t="e">
        <f t="shared" ca="1" si="142"/>
        <v>#N/A</v>
      </c>
      <c r="O895" t="e">
        <f t="shared" ca="1" si="143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4"/>
        <v>0</v>
      </c>
      <c r="AE895">
        <f t="shared" ca="1" si="145"/>
        <v>0</v>
      </c>
      <c r="AG895" s="65" t="e">
        <f t="shared" ca="1" si="146"/>
        <v>#N/A</v>
      </c>
      <c r="AH895" s="65" t="e">
        <f t="shared" ca="1" si="147"/>
        <v>#N/A</v>
      </c>
      <c r="AI895" s="3" t="e">
        <f t="shared" ca="1" si="148"/>
        <v>#N/A</v>
      </c>
    </row>
    <row r="896" spans="7:35" ht="15" thickBot="1" x14ac:dyDescent="0.35">
      <c r="G896" s="3">
        <f t="shared" ca="1" si="140"/>
        <v>312</v>
      </c>
      <c r="H896" s="99">
        <f t="shared" ca="1" si="139"/>
        <v>45968</v>
      </c>
      <c r="I896" s="123">
        <f ca="1">HLOOKUP($H$4,'Met Data'!$A$2:$F$368,G896,FALSE)</f>
        <v>13.4166666666666</v>
      </c>
      <c r="J896" s="121">
        <f ca="1">HLOOKUP($H$4,'Met Data'!$H$2:$M$368,G896,FALSE)*L896</f>
        <v>2.35</v>
      </c>
      <c r="K896" s="100">
        <f ca="1">HLOOKUP($H$4,'Met Data'!$O$2:$T$368,G896,FALSE)</f>
        <v>3.43315852526095</v>
      </c>
      <c r="L896">
        <f t="shared" ca="1" si="141"/>
        <v>1</v>
      </c>
      <c r="N896" t="e">
        <f t="shared" ca="1" si="142"/>
        <v>#N/A</v>
      </c>
      <c r="O896" t="e">
        <f t="shared" ca="1" si="143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4"/>
        <v>0</v>
      </c>
      <c r="AE896">
        <f t="shared" ca="1" si="145"/>
        <v>0</v>
      </c>
      <c r="AG896" s="65" t="e">
        <f t="shared" ca="1" si="146"/>
        <v>#N/A</v>
      </c>
      <c r="AH896" s="65" t="e">
        <f t="shared" ca="1" si="147"/>
        <v>#N/A</v>
      </c>
      <c r="AI896" s="3" t="e">
        <f t="shared" ca="1" si="148"/>
        <v>#N/A</v>
      </c>
    </row>
    <row r="897" spans="7:35" ht="15" thickBot="1" x14ac:dyDescent="0.35">
      <c r="G897" s="3">
        <f t="shared" ca="1" si="140"/>
        <v>313</v>
      </c>
      <c r="H897" s="99">
        <f t="shared" ca="1" si="139"/>
        <v>45969</v>
      </c>
      <c r="I897" s="123">
        <f ca="1">HLOOKUP($H$4,'Met Data'!$A$2:$F$368,G897,FALSE)</f>
        <v>13.8708333333333</v>
      </c>
      <c r="J897" s="121">
        <f ca="1">HLOOKUP($H$4,'Met Data'!$H$2:$M$368,G897,FALSE)*L897</f>
        <v>2.86666666666666</v>
      </c>
      <c r="K897" s="100">
        <f ca="1">HLOOKUP($H$4,'Met Data'!$O$2:$T$368,G897,FALSE)</f>
        <v>3.09770464623969</v>
      </c>
      <c r="L897">
        <f t="shared" ca="1" si="141"/>
        <v>1</v>
      </c>
      <c r="N897" t="e">
        <f t="shared" ca="1" si="142"/>
        <v>#N/A</v>
      </c>
      <c r="O897" t="e">
        <f t="shared" ca="1" si="143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4"/>
        <v>0</v>
      </c>
      <c r="AE897">
        <f t="shared" ca="1" si="145"/>
        <v>0</v>
      </c>
      <c r="AG897" s="65" t="e">
        <f t="shared" ca="1" si="146"/>
        <v>#N/A</v>
      </c>
      <c r="AH897" s="65" t="e">
        <f t="shared" ca="1" si="147"/>
        <v>#N/A</v>
      </c>
      <c r="AI897" s="3" t="e">
        <f t="shared" ca="1" si="148"/>
        <v>#N/A</v>
      </c>
    </row>
    <row r="898" spans="7:35" ht="15" thickBot="1" x14ac:dyDescent="0.35">
      <c r="G898" s="3">
        <f t="shared" ca="1" si="140"/>
        <v>314</v>
      </c>
      <c r="H898" s="99">
        <f t="shared" ca="1" si="139"/>
        <v>45970</v>
      </c>
      <c r="I898" s="123">
        <f ca="1">HLOOKUP($H$4,'Met Data'!$A$2:$F$368,G898,FALSE)</f>
        <v>14.158333333333299</v>
      </c>
      <c r="J898" s="121">
        <f ca="1">HLOOKUP($H$4,'Met Data'!$H$2:$M$368,G898,FALSE)*L898</f>
        <v>3.2166666666666601</v>
      </c>
      <c r="K898" s="100">
        <f ca="1">HLOOKUP($H$4,'Met Data'!$O$2:$T$368,G898,FALSE)</f>
        <v>3.3024968395707299</v>
      </c>
      <c r="L898">
        <f t="shared" ca="1" si="141"/>
        <v>1</v>
      </c>
      <c r="N898" t="e">
        <f t="shared" ca="1" si="142"/>
        <v>#N/A</v>
      </c>
      <c r="O898" t="e">
        <f t="shared" ca="1" si="143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4"/>
        <v>0</v>
      </c>
      <c r="AE898">
        <f t="shared" ca="1" si="145"/>
        <v>0</v>
      </c>
      <c r="AG898" s="65" t="e">
        <f t="shared" ca="1" si="146"/>
        <v>#N/A</v>
      </c>
      <c r="AH898" s="65" t="e">
        <f t="shared" ca="1" si="147"/>
        <v>#N/A</v>
      </c>
      <c r="AI898" s="3" t="e">
        <f t="shared" ca="1" si="148"/>
        <v>#N/A</v>
      </c>
    </row>
    <row r="899" spans="7:35" ht="15" thickBot="1" x14ac:dyDescent="0.35">
      <c r="G899" s="3">
        <f t="shared" ca="1" si="140"/>
        <v>315</v>
      </c>
      <c r="H899" s="99">
        <f t="shared" ca="1" si="139"/>
        <v>45971</v>
      </c>
      <c r="I899" s="123">
        <f ca="1">HLOOKUP($H$4,'Met Data'!$A$2:$F$368,G899,FALSE)</f>
        <v>13.6666666666666</v>
      </c>
      <c r="J899" s="121">
        <f ca="1">HLOOKUP($H$4,'Met Data'!$H$2:$M$368,G899,FALSE)*L899</f>
        <v>2.0499999999999998</v>
      </c>
      <c r="K899" s="100">
        <f ca="1">HLOOKUP($H$4,'Met Data'!$O$2:$T$368,G899,FALSE)</f>
        <v>2.6586912182490101</v>
      </c>
      <c r="L899">
        <f t="shared" ca="1" si="141"/>
        <v>1</v>
      </c>
      <c r="N899" t="e">
        <f t="shared" ca="1" si="142"/>
        <v>#N/A</v>
      </c>
      <c r="O899" t="e">
        <f t="shared" ca="1" si="143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4"/>
        <v>0</v>
      </c>
      <c r="AE899">
        <f t="shared" ca="1" si="145"/>
        <v>0</v>
      </c>
      <c r="AG899" s="65" t="e">
        <f t="shared" ca="1" si="146"/>
        <v>#N/A</v>
      </c>
      <c r="AH899" s="65" t="e">
        <f t="shared" ca="1" si="147"/>
        <v>#N/A</v>
      </c>
      <c r="AI899" s="3" t="e">
        <f t="shared" ca="1" si="148"/>
        <v>#N/A</v>
      </c>
    </row>
    <row r="900" spans="7:35" ht="15" thickBot="1" x14ac:dyDescent="0.35">
      <c r="G900" s="3">
        <f t="shared" ca="1" si="140"/>
        <v>316</v>
      </c>
      <c r="H900" s="99">
        <f t="shared" ca="1" si="139"/>
        <v>45972</v>
      </c>
      <c r="I900" s="123">
        <f ca="1">HLOOKUP($H$4,'Met Data'!$A$2:$F$368,G900,FALSE)</f>
        <v>13.8958333333333</v>
      </c>
      <c r="J900" s="121">
        <f ca="1">HLOOKUP($H$4,'Met Data'!$H$2:$M$368,G900,FALSE)*L900</f>
        <v>3.94999999999999</v>
      </c>
      <c r="K900" s="100">
        <f ca="1">HLOOKUP($H$4,'Met Data'!$O$2:$T$368,G900,FALSE)</f>
        <v>2.87577977788037</v>
      </c>
      <c r="L900">
        <f t="shared" ca="1" si="141"/>
        <v>1</v>
      </c>
      <c r="N900" t="e">
        <f t="shared" ca="1" si="142"/>
        <v>#N/A</v>
      </c>
      <c r="O900" t="e">
        <f t="shared" ca="1" si="143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4"/>
        <v>0</v>
      </c>
      <c r="AE900">
        <f t="shared" ca="1" si="145"/>
        <v>0</v>
      </c>
      <c r="AG900" s="65" t="e">
        <f t="shared" ca="1" si="146"/>
        <v>#N/A</v>
      </c>
      <c r="AH900" s="65" t="e">
        <f t="shared" ca="1" si="147"/>
        <v>#N/A</v>
      </c>
      <c r="AI900" s="3" t="e">
        <f t="shared" ca="1" si="148"/>
        <v>#N/A</v>
      </c>
    </row>
    <row r="901" spans="7:35" ht="15" thickBot="1" x14ac:dyDescent="0.35">
      <c r="G901" s="3">
        <f t="shared" ca="1" si="140"/>
        <v>317</v>
      </c>
      <c r="H901" s="99">
        <f t="shared" ca="1" si="139"/>
        <v>45973</v>
      </c>
      <c r="I901" s="123">
        <f ca="1">HLOOKUP($H$4,'Met Data'!$A$2:$F$368,G901,FALSE)</f>
        <v>13.0625</v>
      </c>
      <c r="J901" s="121">
        <f ca="1">HLOOKUP($H$4,'Met Data'!$H$2:$M$368,G901,FALSE)*L901</f>
        <v>3.0666666666666602</v>
      </c>
      <c r="K901" s="100">
        <f ca="1">HLOOKUP($H$4,'Met Data'!$O$2:$T$368,G901,FALSE)</f>
        <v>2.8947392121826798</v>
      </c>
      <c r="L901">
        <f t="shared" ca="1" si="141"/>
        <v>1</v>
      </c>
      <c r="N901" t="e">
        <f t="shared" ca="1" si="142"/>
        <v>#N/A</v>
      </c>
      <c r="O901" t="e">
        <f t="shared" ca="1" si="143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4"/>
        <v>0</v>
      </c>
      <c r="AE901">
        <f t="shared" ca="1" si="145"/>
        <v>0</v>
      </c>
      <c r="AG901" s="65" t="e">
        <f t="shared" ca="1" si="146"/>
        <v>#N/A</v>
      </c>
      <c r="AH901" s="65" t="e">
        <f t="shared" ca="1" si="147"/>
        <v>#N/A</v>
      </c>
      <c r="AI901" s="3" t="e">
        <f t="shared" ca="1" si="148"/>
        <v>#N/A</v>
      </c>
    </row>
    <row r="902" spans="7:35" ht="15" thickBot="1" x14ac:dyDescent="0.35">
      <c r="G902" s="3">
        <f t="shared" ca="1" si="140"/>
        <v>318</v>
      </c>
      <c r="H902" s="99">
        <f t="shared" ca="1" si="139"/>
        <v>45974</v>
      </c>
      <c r="I902" s="123">
        <f ca="1">HLOOKUP($H$4,'Met Data'!$A$2:$F$368,G902,FALSE)</f>
        <v>12.55</v>
      </c>
      <c r="J902" s="121">
        <f ca="1">HLOOKUP($H$4,'Met Data'!$H$2:$M$368,G902,FALSE)*L902</f>
        <v>1.2</v>
      </c>
      <c r="K902" s="100">
        <f ca="1">HLOOKUP($H$4,'Met Data'!$O$2:$T$368,G902,FALSE)</f>
        <v>3.2727192045008802</v>
      </c>
      <c r="L902">
        <f t="shared" ca="1" si="141"/>
        <v>1</v>
      </c>
      <c r="N902" t="e">
        <f t="shared" ca="1" si="142"/>
        <v>#N/A</v>
      </c>
      <c r="O902" t="e">
        <f t="shared" ca="1" si="143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4"/>
        <v>0</v>
      </c>
      <c r="AE902">
        <f t="shared" ca="1" si="145"/>
        <v>0</v>
      </c>
      <c r="AG902" s="65" t="e">
        <f t="shared" ca="1" si="146"/>
        <v>#N/A</v>
      </c>
      <c r="AH902" s="65" t="e">
        <f t="shared" ca="1" si="147"/>
        <v>#N/A</v>
      </c>
      <c r="AI902" s="3" t="e">
        <f t="shared" ca="1" si="148"/>
        <v>#N/A</v>
      </c>
    </row>
    <row r="903" spans="7:35" ht="15" thickBot="1" x14ac:dyDescent="0.35">
      <c r="G903" s="3">
        <f t="shared" ca="1" si="140"/>
        <v>319</v>
      </c>
      <c r="H903" s="99">
        <f t="shared" ca="1" si="139"/>
        <v>45975</v>
      </c>
      <c r="I903" s="123">
        <f ca="1">HLOOKUP($H$4,'Met Data'!$A$2:$F$368,G903,FALSE)</f>
        <v>12.591666666666599</v>
      </c>
      <c r="J903" s="121">
        <f ca="1">HLOOKUP($H$4,'Met Data'!$H$2:$M$368,G903,FALSE)*L903</f>
        <v>1.25</v>
      </c>
      <c r="K903" s="100">
        <f ca="1">HLOOKUP($H$4,'Met Data'!$O$2:$T$368,G903,FALSE)</f>
        <v>3.2542764283054399</v>
      </c>
      <c r="L903">
        <f t="shared" ca="1" si="141"/>
        <v>1</v>
      </c>
      <c r="N903" t="e">
        <f t="shared" ca="1" si="142"/>
        <v>#N/A</v>
      </c>
      <c r="O903" t="e">
        <f t="shared" ca="1" si="143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4"/>
        <v>0</v>
      </c>
      <c r="AE903">
        <f t="shared" ca="1" si="145"/>
        <v>0</v>
      </c>
      <c r="AG903" s="65" t="e">
        <f t="shared" ca="1" si="146"/>
        <v>#N/A</v>
      </c>
      <c r="AH903" s="65" t="e">
        <f t="shared" ca="1" si="147"/>
        <v>#N/A</v>
      </c>
      <c r="AI903" s="3" t="e">
        <f t="shared" ca="1" si="148"/>
        <v>#N/A</v>
      </c>
    </row>
    <row r="904" spans="7:35" ht="15" thickBot="1" x14ac:dyDescent="0.35">
      <c r="G904" s="3">
        <f t="shared" ca="1" si="140"/>
        <v>320</v>
      </c>
      <c r="H904" s="99">
        <f t="shared" ref="H904:H967" ca="1" si="149">H903+1</f>
        <v>45976</v>
      </c>
      <c r="I904" s="123">
        <f ca="1">HLOOKUP($H$4,'Met Data'!$A$2:$F$368,G904,FALSE)</f>
        <v>13.462499999999901</v>
      </c>
      <c r="J904" s="121">
        <f ca="1">HLOOKUP($H$4,'Met Data'!$H$2:$M$368,G904,FALSE)*L904</f>
        <v>2.0666666666666602</v>
      </c>
      <c r="K904" s="100">
        <f ca="1">HLOOKUP($H$4,'Met Data'!$O$2:$T$368,G904,FALSE)</f>
        <v>3.39036465144653</v>
      </c>
      <c r="L904">
        <f t="shared" ca="1" si="141"/>
        <v>1</v>
      </c>
      <c r="N904" t="e">
        <f t="shared" ca="1" si="142"/>
        <v>#N/A</v>
      </c>
      <c r="O904" t="e">
        <f t="shared" ca="1" si="143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4"/>
        <v>0</v>
      </c>
      <c r="AE904">
        <f t="shared" ca="1" si="145"/>
        <v>0</v>
      </c>
      <c r="AG904" s="65" t="e">
        <f t="shared" ca="1" si="146"/>
        <v>#N/A</v>
      </c>
      <c r="AH904" s="65" t="e">
        <f t="shared" ca="1" si="147"/>
        <v>#N/A</v>
      </c>
      <c r="AI904" s="3" t="e">
        <f t="shared" ca="1" si="148"/>
        <v>#N/A</v>
      </c>
    </row>
    <row r="905" spans="7:35" ht="15" thickBot="1" x14ac:dyDescent="0.35">
      <c r="G905" s="3">
        <f t="shared" ca="1" si="140"/>
        <v>321</v>
      </c>
      <c r="H905" s="99">
        <f t="shared" ca="1" si="149"/>
        <v>45977</v>
      </c>
      <c r="I905" s="123">
        <f ca="1">HLOOKUP($H$4,'Met Data'!$A$2:$F$368,G905,FALSE)</f>
        <v>14.7458333333333</v>
      </c>
      <c r="J905" s="121">
        <f ca="1">HLOOKUP($H$4,'Met Data'!$H$2:$M$368,G905,FALSE)*L905</f>
        <v>5.2166666666666597</v>
      </c>
      <c r="K905" s="100">
        <f ca="1">HLOOKUP($H$4,'Met Data'!$O$2:$T$368,G905,FALSE)</f>
        <v>3.3940384004400501</v>
      </c>
      <c r="L905">
        <f t="shared" ca="1" si="141"/>
        <v>1</v>
      </c>
      <c r="N905" t="e">
        <f t="shared" ca="1" si="142"/>
        <v>#N/A</v>
      </c>
      <c r="O905" t="e">
        <f t="shared" ca="1" si="143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4"/>
        <v>0</v>
      </c>
      <c r="AE905">
        <f t="shared" ca="1" si="145"/>
        <v>0</v>
      </c>
      <c r="AG905" s="65" t="e">
        <f t="shared" ca="1" si="146"/>
        <v>#N/A</v>
      </c>
      <c r="AH905" s="65" t="e">
        <f t="shared" ca="1" si="147"/>
        <v>#N/A</v>
      </c>
      <c r="AI905" s="3" t="e">
        <f t="shared" ca="1" si="148"/>
        <v>#N/A</v>
      </c>
    </row>
    <row r="906" spans="7:35" ht="15" thickBot="1" x14ac:dyDescent="0.35">
      <c r="G906" s="3">
        <f t="shared" ca="1" si="140"/>
        <v>322</v>
      </c>
      <c r="H906" s="99">
        <f t="shared" ca="1" si="149"/>
        <v>45978</v>
      </c>
      <c r="I906" s="123">
        <f ca="1">HLOOKUP($H$4,'Met Data'!$A$2:$F$368,G906,FALSE)</f>
        <v>14.945833333333301</v>
      </c>
      <c r="J906" s="121">
        <f ca="1">HLOOKUP($H$4,'Met Data'!$H$2:$M$368,G906,FALSE)*L906</f>
        <v>5.3333333333333304</v>
      </c>
      <c r="K906" s="100">
        <f ca="1">HLOOKUP($H$4,'Met Data'!$O$2:$T$368,G906,FALSE)</f>
        <v>2.86263659321907</v>
      </c>
      <c r="L906">
        <f t="shared" ca="1" si="141"/>
        <v>1</v>
      </c>
      <c r="N906" t="e">
        <f t="shared" ca="1" si="142"/>
        <v>#N/A</v>
      </c>
      <c r="O906" t="e">
        <f t="shared" ca="1" si="143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4"/>
        <v>0</v>
      </c>
      <c r="AE906">
        <f t="shared" ca="1" si="145"/>
        <v>0</v>
      </c>
      <c r="AG906" s="65" t="e">
        <f t="shared" ca="1" si="146"/>
        <v>#N/A</v>
      </c>
      <c r="AH906" s="65" t="e">
        <f t="shared" ca="1" si="147"/>
        <v>#N/A</v>
      </c>
      <c r="AI906" s="3" t="e">
        <f t="shared" ca="1" si="148"/>
        <v>#N/A</v>
      </c>
    </row>
    <row r="907" spans="7:35" ht="15" thickBot="1" x14ac:dyDescent="0.35">
      <c r="G907" s="3">
        <f t="shared" ca="1" si="140"/>
        <v>323</v>
      </c>
      <c r="H907" s="99">
        <f t="shared" ca="1" si="149"/>
        <v>45979</v>
      </c>
      <c r="I907" s="123">
        <f ca="1">HLOOKUP($H$4,'Met Data'!$A$2:$F$368,G907,FALSE)</f>
        <v>14.45</v>
      </c>
      <c r="J907" s="121">
        <f ca="1">HLOOKUP($H$4,'Met Data'!$H$2:$M$368,G907,FALSE)*L907</f>
        <v>6.0833333333333304</v>
      </c>
      <c r="K907" s="100">
        <f ca="1">HLOOKUP($H$4,'Met Data'!$O$2:$T$368,G907,FALSE)</f>
        <v>3.2654882571522399</v>
      </c>
      <c r="L907">
        <f t="shared" ca="1" si="141"/>
        <v>1</v>
      </c>
      <c r="N907" t="e">
        <f t="shared" ca="1" si="142"/>
        <v>#N/A</v>
      </c>
      <c r="O907" t="e">
        <f t="shared" ca="1" si="143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4"/>
        <v>0</v>
      </c>
      <c r="AE907">
        <f t="shared" ca="1" si="145"/>
        <v>0</v>
      </c>
      <c r="AG907" s="65" t="e">
        <f t="shared" ca="1" si="146"/>
        <v>#N/A</v>
      </c>
      <c r="AH907" s="65" t="e">
        <f t="shared" ca="1" si="147"/>
        <v>#N/A</v>
      </c>
      <c r="AI907" s="3" t="e">
        <f t="shared" ca="1" si="148"/>
        <v>#N/A</v>
      </c>
    </row>
    <row r="908" spans="7:35" ht="15" thickBot="1" x14ac:dyDescent="0.35">
      <c r="G908" s="3">
        <f t="shared" ca="1" si="140"/>
        <v>324</v>
      </c>
      <c r="H908" s="99">
        <f t="shared" ca="1" si="149"/>
        <v>45980</v>
      </c>
      <c r="I908" s="123">
        <f ca="1">HLOOKUP($H$4,'Met Data'!$A$2:$F$368,G908,FALSE)</f>
        <v>13.941666666666601</v>
      </c>
      <c r="J908" s="121">
        <f ca="1">HLOOKUP($H$4,'Met Data'!$H$2:$M$368,G908,FALSE)*L908</f>
        <v>0.98333333333333295</v>
      </c>
      <c r="K908" s="100">
        <f ca="1">HLOOKUP($H$4,'Met Data'!$O$2:$T$368,G908,FALSE)</f>
        <v>3.5976260978488002</v>
      </c>
      <c r="L908">
        <f t="shared" ca="1" si="141"/>
        <v>1</v>
      </c>
      <c r="N908" t="e">
        <f t="shared" ca="1" si="142"/>
        <v>#N/A</v>
      </c>
      <c r="O908" t="e">
        <f t="shared" ca="1" si="143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4"/>
        <v>0</v>
      </c>
      <c r="AE908">
        <f t="shared" ca="1" si="145"/>
        <v>0</v>
      </c>
      <c r="AG908" s="65" t="e">
        <f t="shared" ca="1" si="146"/>
        <v>#N/A</v>
      </c>
      <c r="AH908" s="65" t="e">
        <f t="shared" ca="1" si="147"/>
        <v>#N/A</v>
      </c>
      <c r="AI908" s="3" t="e">
        <f t="shared" ca="1" si="148"/>
        <v>#N/A</v>
      </c>
    </row>
    <row r="909" spans="7:35" ht="15" thickBot="1" x14ac:dyDescent="0.35">
      <c r="G909" s="3">
        <f t="shared" ca="1" si="140"/>
        <v>325</v>
      </c>
      <c r="H909" s="99">
        <f t="shared" ca="1" si="149"/>
        <v>45981</v>
      </c>
      <c r="I909" s="123">
        <f ca="1">HLOOKUP($H$4,'Met Data'!$A$2:$F$368,G909,FALSE)</f>
        <v>14.1208333333333</v>
      </c>
      <c r="J909" s="121">
        <f ca="1">HLOOKUP($H$4,'Met Data'!$H$2:$M$368,G909,FALSE)*L909</f>
        <v>2.36666666666666</v>
      </c>
      <c r="K909" s="100">
        <f ca="1">HLOOKUP($H$4,'Met Data'!$O$2:$T$368,G909,FALSE)</f>
        <v>3.2574752266568199</v>
      </c>
      <c r="L909">
        <f t="shared" ca="1" si="141"/>
        <v>1</v>
      </c>
      <c r="N909" t="e">
        <f t="shared" ca="1" si="142"/>
        <v>#N/A</v>
      </c>
      <c r="O909" t="e">
        <f t="shared" ca="1" si="143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4"/>
        <v>0</v>
      </c>
      <c r="AE909">
        <f t="shared" ca="1" si="145"/>
        <v>0</v>
      </c>
      <c r="AG909" s="65" t="e">
        <f t="shared" ca="1" si="146"/>
        <v>#N/A</v>
      </c>
      <c r="AH909" s="65" t="e">
        <f t="shared" ca="1" si="147"/>
        <v>#N/A</v>
      </c>
      <c r="AI909" s="3" t="e">
        <f t="shared" ca="1" si="148"/>
        <v>#N/A</v>
      </c>
    </row>
    <row r="910" spans="7:35" ht="15" thickBot="1" x14ac:dyDescent="0.35">
      <c r="G910" s="3">
        <f t="shared" ca="1" si="140"/>
        <v>326</v>
      </c>
      <c r="H910" s="99">
        <f t="shared" ca="1" si="149"/>
        <v>45982</v>
      </c>
      <c r="I910" s="123">
        <f ca="1">HLOOKUP($H$4,'Met Data'!$A$2:$F$368,G910,FALSE)</f>
        <v>14.2</v>
      </c>
      <c r="J910" s="121">
        <f ca="1">HLOOKUP($H$4,'Met Data'!$H$2:$M$368,G910,FALSE)*L910</f>
        <v>1.4166666666666601</v>
      </c>
      <c r="K910" s="100">
        <f ca="1">HLOOKUP($H$4,'Met Data'!$O$2:$T$368,G910,FALSE)</f>
        <v>3.2248407363783</v>
      </c>
      <c r="L910">
        <f t="shared" ca="1" si="141"/>
        <v>1</v>
      </c>
      <c r="N910" t="e">
        <f t="shared" ca="1" si="142"/>
        <v>#N/A</v>
      </c>
      <c r="O910" t="e">
        <f t="shared" ca="1" si="143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4"/>
        <v>0</v>
      </c>
      <c r="AE910">
        <f t="shared" ca="1" si="145"/>
        <v>0</v>
      </c>
      <c r="AG910" s="65" t="e">
        <f t="shared" ca="1" si="146"/>
        <v>#N/A</v>
      </c>
      <c r="AH910" s="65" t="e">
        <f t="shared" ca="1" si="147"/>
        <v>#N/A</v>
      </c>
      <c r="AI910" s="3" t="e">
        <f t="shared" ca="1" si="148"/>
        <v>#N/A</v>
      </c>
    </row>
    <row r="911" spans="7:35" ht="15" thickBot="1" x14ac:dyDescent="0.35">
      <c r="G911" s="3">
        <f t="shared" ca="1" si="140"/>
        <v>327</v>
      </c>
      <c r="H911" s="99">
        <f t="shared" ca="1" si="149"/>
        <v>45983</v>
      </c>
      <c r="I911" s="123">
        <f ca="1">HLOOKUP($H$4,'Met Data'!$A$2:$F$368,G911,FALSE)</f>
        <v>14.2916666666666</v>
      </c>
      <c r="J911" s="121">
        <f ca="1">HLOOKUP($H$4,'Met Data'!$H$2:$M$368,G911,FALSE)*L911</f>
        <v>1.2333333333333301</v>
      </c>
      <c r="K911" s="100">
        <f ca="1">HLOOKUP($H$4,'Met Data'!$O$2:$T$368,G911,FALSE)</f>
        <v>3.2303061956604</v>
      </c>
      <c r="L911">
        <f t="shared" ca="1" si="141"/>
        <v>1</v>
      </c>
      <c r="N911" t="e">
        <f t="shared" ca="1" si="142"/>
        <v>#N/A</v>
      </c>
      <c r="O911" t="e">
        <f t="shared" ca="1" si="143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4"/>
        <v>0</v>
      </c>
      <c r="AE911">
        <f t="shared" ca="1" si="145"/>
        <v>0</v>
      </c>
      <c r="AG911" s="65" t="e">
        <f t="shared" ca="1" si="146"/>
        <v>#N/A</v>
      </c>
      <c r="AH911" s="65" t="e">
        <f t="shared" ca="1" si="147"/>
        <v>#N/A</v>
      </c>
      <c r="AI911" s="3" t="e">
        <f t="shared" ca="1" si="148"/>
        <v>#N/A</v>
      </c>
    </row>
    <row r="912" spans="7:35" ht="15" thickBot="1" x14ac:dyDescent="0.35">
      <c r="G912" s="3">
        <f t="shared" ca="1" si="140"/>
        <v>328</v>
      </c>
      <c r="H912" s="99">
        <f t="shared" ca="1" si="149"/>
        <v>45984</v>
      </c>
      <c r="I912" s="123">
        <f ca="1">HLOOKUP($H$4,'Met Data'!$A$2:$F$368,G912,FALSE)</f>
        <v>14.8666666666666</v>
      </c>
      <c r="J912" s="121">
        <f ca="1">HLOOKUP($H$4,'Met Data'!$H$2:$M$368,G912,FALSE)*L912</f>
        <v>0.21666666666666601</v>
      </c>
      <c r="K912" s="100">
        <f ca="1">HLOOKUP($H$4,'Met Data'!$O$2:$T$368,G912,FALSE)</f>
        <v>3.8851743269165699</v>
      </c>
      <c r="L912">
        <f t="shared" ca="1" si="141"/>
        <v>1</v>
      </c>
      <c r="N912" t="e">
        <f t="shared" ca="1" si="142"/>
        <v>#N/A</v>
      </c>
      <c r="O912" t="e">
        <f t="shared" ca="1" si="143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4"/>
        <v>0</v>
      </c>
      <c r="AE912">
        <f t="shared" ca="1" si="145"/>
        <v>0</v>
      </c>
      <c r="AG912" s="65" t="e">
        <f t="shared" ca="1" si="146"/>
        <v>#N/A</v>
      </c>
      <c r="AH912" s="65" t="e">
        <f t="shared" ca="1" si="147"/>
        <v>#N/A</v>
      </c>
      <c r="AI912" s="3" t="e">
        <f t="shared" ca="1" si="148"/>
        <v>#N/A</v>
      </c>
    </row>
    <row r="913" spans="7:35" ht="15" thickBot="1" x14ac:dyDescent="0.35">
      <c r="G913" s="3">
        <f t="shared" ca="1" si="140"/>
        <v>329</v>
      </c>
      <c r="H913" s="99">
        <f t="shared" ca="1" si="149"/>
        <v>45985</v>
      </c>
      <c r="I913" s="123">
        <f ca="1">HLOOKUP($H$4,'Met Data'!$A$2:$F$368,G913,FALSE)</f>
        <v>14.875</v>
      </c>
      <c r="J913" s="121">
        <f ca="1">HLOOKUP($H$4,'Met Data'!$H$2:$M$368,G913,FALSE)*L913</f>
        <v>1.8333333333333299</v>
      </c>
      <c r="K913" s="100">
        <f ca="1">HLOOKUP($H$4,'Met Data'!$O$2:$T$368,G913,FALSE)</f>
        <v>3.3424019609463702</v>
      </c>
      <c r="L913">
        <f t="shared" ca="1" si="141"/>
        <v>1</v>
      </c>
      <c r="N913" t="e">
        <f t="shared" ca="1" si="142"/>
        <v>#N/A</v>
      </c>
      <c r="O913" t="e">
        <f t="shared" ca="1" si="143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4"/>
        <v>0</v>
      </c>
      <c r="AE913">
        <f t="shared" ca="1" si="145"/>
        <v>0</v>
      </c>
      <c r="AG913" s="65" t="e">
        <f t="shared" ca="1" si="146"/>
        <v>#N/A</v>
      </c>
      <c r="AH913" s="65" t="e">
        <f t="shared" ca="1" si="147"/>
        <v>#N/A</v>
      </c>
      <c r="AI913" s="3" t="e">
        <f t="shared" ca="1" si="148"/>
        <v>#N/A</v>
      </c>
    </row>
    <row r="914" spans="7:35" ht="15" thickBot="1" x14ac:dyDescent="0.35">
      <c r="G914" s="3">
        <f t="shared" ca="1" si="140"/>
        <v>330</v>
      </c>
      <c r="H914" s="99">
        <f t="shared" ca="1" si="149"/>
        <v>45986</v>
      </c>
      <c r="I914" s="123">
        <f ca="1">HLOOKUP($H$4,'Met Data'!$A$2:$F$368,G914,FALSE)</f>
        <v>15.8125</v>
      </c>
      <c r="J914" s="121">
        <f ca="1">HLOOKUP($H$4,'Met Data'!$H$2:$M$368,G914,FALSE)*L914</f>
        <v>2.0166666666666599</v>
      </c>
      <c r="K914" s="100">
        <f ca="1">HLOOKUP($H$4,'Met Data'!$O$2:$T$368,G914,FALSE)</f>
        <v>3.2688322627941302</v>
      </c>
      <c r="L914">
        <f t="shared" ca="1" si="141"/>
        <v>1</v>
      </c>
      <c r="N914" t="e">
        <f t="shared" ca="1" si="142"/>
        <v>#N/A</v>
      </c>
      <c r="O914" t="e">
        <f t="shared" ca="1" si="143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4"/>
        <v>0</v>
      </c>
      <c r="AE914">
        <f t="shared" ca="1" si="145"/>
        <v>0</v>
      </c>
      <c r="AG914" s="65" t="e">
        <f t="shared" ca="1" si="146"/>
        <v>#N/A</v>
      </c>
      <c r="AH914" s="65" t="e">
        <f t="shared" ca="1" si="147"/>
        <v>#N/A</v>
      </c>
      <c r="AI914" s="3" t="e">
        <f t="shared" ca="1" si="148"/>
        <v>#N/A</v>
      </c>
    </row>
    <row r="915" spans="7:35" ht="15" thickBot="1" x14ac:dyDescent="0.35">
      <c r="G915" s="3">
        <f t="shared" ca="1" si="140"/>
        <v>331</v>
      </c>
      <c r="H915" s="99">
        <f t="shared" ca="1" si="149"/>
        <v>45987</v>
      </c>
      <c r="I915" s="123">
        <f ca="1">HLOOKUP($H$4,'Met Data'!$A$2:$F$368,G915,FALSE)</f>
        <v>15.945833333333301</v>
      </c>
      <c r="J915" s="121">
        <f ca="1">HLOOKUP($H$4,'Met Data'!$H$2:$M$368,G915,FALSE)*L915</f>
        <v>5.8833333333333302</v>
      </c>
      <c r="K915" s="100">
        <f ca="1">HLOOKUP($H$4,'Met Data'!$O$2:$T$368,G915,FALSE)</f>
        <v>3.26798762006384</v>
      </c>
      <c r="L915">
        <f t="shared" ca="1" si="141"/>
        <v>1</v>
      </c>
      <c r="N915" t="e">
        <f t="shared" ca="1" si="142"/>
        <v>#N/A</v>
      </c>
      <c r="O915" t="e">
        <f t="shared" ca="1" si="143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4"/>
        <v>0</v>
      </c>
      <c r="AE915">
        <f t="shared" ca="1" si="145"/>
        <v>0</v>
      </c>
      <c r="AG915" s="65" t="e">
        <f t="shared" ca="1" si="146"/>
        <v>#N/A</v>
      </c>
      <c r="AH915" s="65" t="e">
        <f t="shared" ca="1" si="147"/>
        <v>#N/A</v>
      </c>
      <c r="AI915" s="3" t="e">
        <f t="shared" ca="1" si="148"/>
        <v>#N/A</v>
      </c>
    </row>
    <row r="916" spans="7:35" ht="15" thickBot="1" x14ac:dyDescent="0.35">
      <c r="G916" s="3">
        <f t="shared" ca="1" si="140"/>
        <v>332</v>
      </c>
      <c r="H916" s="99">
        <f t="shared" ca="1" si="149"/>
        <v>45988</v>
      </c>
      <c r="I916" s="123">
        <f ca="1">HLOOKUP($H$4,'Met Data'!$A$2:$F$368,G916,FALSE)</f>
        <v>16.279166666666601</v>
      </c>
      <c r="J916" s="121">
        <f ca="1">HLOOKUP($H$4,'Met Data'!$H$2:$M$368,G916,FALSE)*L916</f>
        <v>1.4833333333333301</v>
      </c>
      <c r="K916" s="100">
        <f ca="1">HLOOKUP($H$4,'Met Data'!$O$2:$T$368,G916,FALSE)</f>
        <v>3.19082213890132</v>
      </c>
      <c r="L916">
        <f t="shared" ca="1" si="141"/>
        <v>1</v>
      </c>
      <c r="N916" t="e">
        <f t="shared" ca="1" si="142"/>
        <v>#N/A</v>
      </c>
      <c r="O916" t="e">
        <f t="shared" ca="1" si="143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4"/>
        <v>0</v>
      </c>
      <c r="AE916">
        <f t="shared" ca="1" si="145"/>
        <v>0</v>
      </c>
      <c r="AG916" s="65" t="e">
        <f t="shared" ca="1" si="146"/>
        <v>#N/A</v>
      </c>
      <c r="AH916" s="65" t="e">
        <f t="shared" ca="1" si="147"/>
        <v>#N/A</v>
      </c>
      <c r="AI916" s="3" t="e">
        <f t="shared" ca="1" si="148"/>
        <v>#N/A</v>
      </c>
    </row>
    <row r="917" spans="7:35" ht="15" thickBot="1" x14ac:dyDescent="0.35">
      <c r="G917" s="3">
        <f t="shared" ca="1" si="140"/>
        <v>333</v>
      </c>
      <c r="H917" s="99">
        <f t="shared" ca="1" si="149"/>
        <v>45989</v>
      </c>
      <c r="I917" s="123">
        <f ca="1">HLOOKUP($H$4,'Met Data'!$A$2:$F$368,G917,FALSE)</f>
        <v>16.070833333333301</v>
      </c>
      <c r="J917" s="121">
        <f ca="1">HLOOKUP($H$4,'Met Data'!$H$2:$M$368,G917,FALSE)*L917</f>
        <v>7.43333333333333</v>
      </c>
      <c r="K917" s="100">
        <f ca="1">HLOOKUP($H$4,'Met Data'!$O$2:$T$368,G917,FALSE)</f>
        <v>3.00999975823754</v>
      </c>
      <c r="L917">
        <f t="shared" ca="1" si="141"/>
        <v>1</v>
      </c>
      <c r="N917" t="e">
        <f t="shared" ca="1" si="142"/>
        <v>#N/A</v>
      </c>
      <c r="O917" t="e">
        <f t="shared" ca="1" si="143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4"/>
        <v>0</v>
      </c>
      <c r="AE917">
        <f t="shared" ca="1" si="145"/>
        <v>0</v>
      </c>
      <c r="AG917" s="65" t="e">
        <f t="shared" ca="1" si="146"/>
        <v>#N/A</v>
      </c>
      <c r="AH917" s="65" t="e">
        <f t="shared" ca="1" si="147"/>
        <v>#N/A</v>
      </c>
      <c r="AI917" s="3" t="e">
        <f t="shared" ca="1" si="148"/>
        <v>#N/A</v>
      </c>
    </row>
    <row r="918" spans="7:35" ht="15" thickBot="1" x14ac:dyDescent="0.35">
      <c r="G918" s="3">
        <f t="shared" ca="1" si="140"/>
        <v>334</v>
      </c>
      <c r="H918" s="99">
        <f t="shared" ca="1" si="149"/>
        <v>45990</v>
      </c>
      <c r="I918" s="123">
        <f ca="1">HLOOKUP($H$4,'Met Data'!$A$2:$F$368,G918,FALSE)</f>
        <v>15.033333333333299</v>
      </c>
      <c r="J918" s="121">
        <f ca="1">HLOOKUP($H$4,'Met Data'!$H$2:$M$368,G918,FALSE)*L918</f>
        <v>0.66666666666666596</v>
      </c>
      <c r="K918" s="100">
        <f ca="1">HLOOKUP($H$4,'Met Data'!$O$2:$T$368,G918,FALSE)</f>
        <v>4.1701433642644803</v>
      </c>
      <c r="L918">
        <f t="shared" ca="1" si="141"/>
        <v>1</v>
      </c>
      <c r="N918" t="e">
        <f t="shared" ca="1" si="142"/>
        <v>#N/A</v>
      </c>
      <c r="O918" t="e">
        <f t="shared" ca="1" si="143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4"/>
        <v>0</v>
      </c>
      <c r="AE918">
        <f t="shared" ca="1" si="145"/>
        <v>0</v>
      </c>
      <c r="AG918" s="65" t="e">
        <f t="shared" ca="1" si="146"/>
        <v>#N/A</v>
      </c>
      <c r="AH918" s="65" t="e">
        <f t="shared" ca="1" si="147"/>
        <v>#N/A</v>
      </c>
      <c r="AI918" s="3" t="e">
        <f t="shared" ca="1" si="148"/>
        <v>#N/A</v>
      </c>
    </row>
    <row r="919" spans="7:35" ht="15" thickBot="1" x14ac:dyDescent="0.35">
      <c r="G919" s="3">
        <f t="shared" ca="1" si="140"/>
        <v>335</v>
      </c>
      <c r="H919" s="99">
        <f t="shared" ca="1" si="149"/>
        <v>45991</v>
      </c>
      <c r="I919" s="123">
        <f ca="1">HLOOKUP($H$4,'Met Data'!$A$2:$F$368,G919,FALSE)</f>
        <v>16.1166666666666</v>
      </c>
      <c r="J919" s="121">
        <f ca="1">HLOOKUP($H$4,'Met Data'!$H$2:$M$368,G919,FALSE)*L919</f>
        <v>5.2333333333333298</v>
      </c>
      <c r="K919" s="100">
        <f ca="1">HLOOKUP($H$4,'Met Data'!$O$2:$T$368,G919,FALSE)</f>
        <v>3.7664149911337801</v>
      </c>
      <c r="L919">
        <f t="shared" ca="1" si="141"/>
        <v>1</v>
      </c>
      <c r="N919" t="e">
        <f t="shared" ca="1" si="142"/>
        <v>#N/A</v>
      </c>
      <c r="O919" t="e">
        <f t="shared" ca="1" si="143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4"/>
        <v>0</v>
      </c>
      <c r="AE919">
        <f t="shared" ca="1" si="145"/>
        <v>0</v>
      </c>
      <c r="AG919" s="65" t="e">
        <f t="shared" ca="1" si="146"/>
        <v>#N/A</v>
      </c>
      <c r="AH919" s="65" t="e">
        <f t="shared" ca="1" si="147"/>
        <v>#N/A</v>
      </c>
      <c r="AI919" s="3" t="e">
        <f t="shared" ca="1" si="148"/>
        <v>#N/A</v>
      </c>
    </row>
    <row r="920" spans="7:35" ht="15" thickBot="1" x14ac:dyDescent="0.35">
      <c r="G920" s="3">
        <f t="shared" ca="1" si="140"/>
        <v>336</v>
      </c>
      <c r="H920" s="99">
        <f t="shared" ca="1" si="149"/>
        <v>45992</v>
      </c>
      <c r="I920" s="123">
        <f ca="1">HLOOKUP($H$4,'Met Data'!$A$2:$F$368,G920,FALSE)</f>
        <v>15.887499999999999</v>
      </c>
      <c r="J920" s="121">
        <f ca="1">HLOOKUP($H$4,'Met Data'!$H$2:$M$368,G920,FALSE)*L920</f>
        <v>6.75</v>
      </c>
      <c r="K920" s="100">
        <f ca="1">HLOOKUP($H$4,'Met Data'!$O$2:$T$368,G920,FALSE)</f>
        <v>3.2490041935251899</v>
      </c>
      <c r="L920">
        <f t="shared" ca="1" si="141"/>
        <v>1</v>
      </c>
      <c r="N920" t="e">
        <f t="shared" ca="1" si="142"/>
        <v>#N/A</v>
      </c>
      <c r="O920" t="e">
        <f t="shared" ca="1" si="143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4"/>
        <v>0</v>
      </c>
      <c r="AE920">
        <f t="shared" ca="1" si="145"/>
        <v>0</v>
      </c>
      <c r="AG920" s="65" t="e">
        <f t="shared" ca="1" si="146"/>
        <v>#N/A</v>
      </c>
      <c r="AH920" s="65" t="e">
        <f t="shared" ca="1" si="147"/>
        <v>#N/A</v>
      </c>
      <c r="AI920" s="3" t="e">
        <f t="shared" ca="1" si="148"/>
        <v>#N/A</v>
      </c>
    </row>
    <row r="921" spans="7:35" ht="15" thickBot="1" x14ac:dyDescent="0.35">
      <c r="G921" s="3">
        <f t="shared" ca="1" si="140"/>
        <v>337</v>
      </c>
      <c r="H921" s="99">
        <f t="shared" ca="1" si="149"/>
        <v>45993</v>
      </c>
      <c r="I921" s="123">
        <f ca="1">HLOOKUP($H$4,'Met Data'!$A$2:$F$368,G921,FALSE)</f>
        <v>16.1458333333333</v>
      </c>
      <c r="J921" s="121">
        <f ca="1">HLOOKUP($H$4,'Met Data'!$H$2:$M$368,G921,FALSE)*L921</f>
        <v>1.0833333333333299</v>
      </c>
      <c r="K921" s="100">
        <f ca="1">HLOOKUP($H$4,'Met Data'!$O$2:$T$368,G921,FALSE)</f>
        <v>3.8649058322152201</v>
      </c>
      <c r="L921">
        <f t="shared" ca="1" si="141"/>
        <v>1</v>
      </c>
      <c r="N921" t="e">
        <f t="shared" ca="1" si="142"/>
        <v>#N/A</v>
      </c>
      <c r="O921" t="e">
        <f t="shared" ca="1" si="143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4"/>
        <v>0</v>
      </c>
      <c r="AE921">
        <f t="shared" ca="1" si="145"/>
        <v>0</v>
      </c>
      <c r="AG921" s="65" t="e">
        <f t="shared" ca="1" si="146"/>
        <v>#N/A</v>
      </c>
      <c r="AH921" s="65" t="e">
        <f t="shared" ca="1" si="147"/>
        <v>#N/A</v>
      </c>
      <c r="AI921" s="3" t="e">
        <f t="shared" ca="1" si="148"/>
        <v>#N/A</v>
      </c>
    </row>
    <row r="922" spans="7:35" ht="15" thickBot="1" x14ac:dyDescent="0.35">
      <c r="G922" s="3">
        <f t="shared" ca="1" si="140"/>
        <v>338</v>
      </c>
      <c r="H922" s="99">
        <f t="shared" ca="1" si="149"/>
        <v>45994</v>
      </c>
      <c r="I922" s="123">
        <f ca="1">HLOOKUP($H$4,'Met Data'!$A$2:$F$368,G922,FALSE)</f>
        <v>16.0625</v>
      </c>
      <c r="J922" s="121">
        <f ca="1">HLOOKUP($H$4,'Met Data'!$H$2:$M$368,G922,FALSE)*L922</f>
        <v>2.2666666666666599</v>
      </c>
      <c r="K922" s="100">
        <f ca="1">HLOOKUP($H$4,'Met Data'!$O$2:$T$368,G922,FALSE)</f>
        <v>3.3633315244434101</v>
      </c>
      <c r="L922">
        <f t="shared" ca="1" si="141"/>
        <v>1</v>
      </c>
      <c r="N922" t="e">
        <f t="shared" ca="1" si="142"/>
        <v>#N/A</v>
      </c>
      <c r="O922" t="e">
        <f t="shared" ca="1" si="143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4"/>
        <v>0</v>
      </c>
      <c r="AE922">
        <f t="shared" ca="1" si="145"/>
        <v>0</v>
      </c>
      <c r="AG922" s="65" t="e">
        <f t="shared" ca="1" si="146"/>
        <v>#N/A</v>
      </c>
      <c r="AH922" s="65" t="e">
        <f t="shared" ca="1" si="147"/>
        <v>#N/A</v>
      </c>
      <c r="AI922" s="3" t="e">
        <f t="shared" ca="1" si="148"/>
        <v>#N/A</v>
      </c>
    </row>
    <row r="923" spans="7:35" ht="15" thickBot="1" x14ac:dyDescent="0.35">
      <c r="G923" s="3">
        <f t="shared" ca="1" si="140"/>
        <v>339</v>
      </c>
      <c r="H923" s="99">
        <f t="shared" ca="1" si="149"/>
        <v>45995</v>
      </c>
      <c r="I923" s="123">
        <f ca="1">HLOOKUP($H$4,'Met Data'!$A$2:$F$368,G923,FALSE)</f>
        <v>16.591666666666601</v>
      </c>
      <c r="J923" s="121">
        <f ca="1">HLOOKUP($H$4,'Met Data'!$H$2:$M$368,G923,FALSE)*L923</f>
        <v>3.0333333333333301</v>
      </c>
      <c r="K923" s="100">
        <f ca="1">HLOOKUP($H$4,'Met Data'!$O$2:$T$368,G923,FALSE)</f>
        <v>3.8332290024095501</v>
      </c>
      <c r="L923">
        <f t="shared" ca="1" si="141"/>
        <v>1</v>
      </c>
      <c r="N923" t="e">
        <f t="shared" ca="1" si="142"/>
        <v>#N/A</v>
      </c>
      <c r="O923" t="e">
        <f t="shared" ca="1" si="143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4"/>
        <v>0</v>
      </c>
      <c r="AE923">
        <f t="shared" ca="1" si="145"/>
        <v>0</v>
      </c>
      <c r="AG923" s="65" t="e">
        <f t="shared" ca="1" si="146"/>
        <v>#N/A</v>
      </c>
      <c r="AH923" s="65" t="e">
        <f t="shared" ca="1" si="147"/>
        <v>#N/A</v>
      </c>
      <c r="AI923" s="3" t="e">
        <f t="shared" ca="1" si="148"/>
        <v>#N/A</v>
      </c>
    </row>
    <row r="924" spans="7:35" ht="15" thickBot="1" x14ac:dyDescent="0.35">
      <c r="G924" s="3">
        <f t="shared" ca="1" si="140"/>
        <v>340</v>
      </c>
      <c r="H924" s="99">
        <f t="shared" ca="1" si="149"/>
        <v>45996</v>
      </c>
      <c r="I924" s="123">
        <f ca="1">HLOOKUP($H$4,'Met Data'!$A$2:$F$368,G924,FALSE)</f>
        <v>16.441666666666599</v>
      </c>
      <c r="J924" s="121">
        <f ca="1">HLOOKUP($H$4,'Met Data'!$H$2:$M$368,G924,FALSE)*L924</f>
        <v>1.0833333333333299</v>
      </c>
      <c r="K924" s="100">
        <f ca="1">HLOOKUP($H$4,'Met Data'!$O$2:$T$368,G924,FALSE)</f>
        <v>3.3753600087216298</v>
      </c>
      <c r="L924">
        <f t="shared" ca="1" si="141"/>
        <v>1</v>
      </c>
      <c r="N924" t="e">
        <f t="shared" ca="1" si="142"/>
        <v>#N/A</v>
      </c>
      <c r="O924" t="e">
        <f t="shared" ca="1" si="143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4"/>
        <v>0</v>
      </c>
      <c r="AE924">
        <f t="shared" ca="1" si="145"/>
        <v>0</v>
      </c>
      <c r="AG924" s="65" t="e">
        <f t="shared" ca="1" si="146"/>
        <v>#N/A</v>
      </c>
      <c r="AH924" s="65" t="e">
        <f t="shared" ca="1" si="147"/>
        <v>#N/A</v>
      </c>
      <c r="AI924" s="3" t="e">
        <f t="shared" ca="1" si="148"/>
        <v>#N/A</v>
      </c>
    </row>
    <row r="925" spans="7:35" ht="15" thickBot="1" x14ac:dyDescent="0.35">
      <c r="G925" s="3">
        <f t="shared" ca="1" si="140"/>
        <v>341</v>
      </c>
      <c r="H925" s="99">
        <f t="shared" ca="1" si="149"/>
        <v>45997</v>
      </c>
      <c r="I925" s="123">
        <f ca="1">HLOOKUP($H$4,'Met Data'!$A$2:$F$368,G925,FALSE)</f>
        <v>16.454166666666602</v>
      </c>
      <c r="J925" s="121">
        <f ca="1">HLOOKUP($H$4,'Met Data'!$H$2:$M$368,G925,FALSE)*L925</f>
        <v>2.61666666666666</v>
      </c>
      <c r="K925" s="100">
        <f ca="1">HLOOKUP($H$4,'Met Data'!$O$2:$T$368,G925,FALSE)</f>
        <v>2.8811659068389401</v>
      </c>
      <c r="L925">
        <f t="shared" ca="1" si="141"/>
        <v>1</v>
      </c>
      <c r="N925" t="e">
        <f t="shared" ca="1" si="142"/>
        <v>#N/A</v>
      </c>
      <c r="O925" t="e">
        <f t="shared" ca="1" si="143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4"/>
        <v>0</v>
      </c>
      <c r="AE925">
        <f t="shared" ca="1" si="145"/>
        <v>0</v>
      </c>
      <c r="AG925" s="65" t="e">
        <f t="shared" ca="1" si="146"/>
        <v>#N/A</v>
      </c>
      <c r="AH925" s="65" t="e">
        <f t="shared" ca="1" si="147"/>
        <v>#N/A</v>
      </c>
      <c r="AI925" s="3" t="e">
        <f t="shared" ca="1" si="148"/>
        <v>#N/A</v>
      </c>
    </row>
    <row r="926" spans="7:35" ht="15" thickBot="1" x14ac:dyDescent="0.35">
      <c r="G926" s="3">
        <f t="shared" ca="1" si="140"/>
        <v>342</v>
      </c>
      <c r="H926" s="99">
        <f t="shared" ca="1" si="149"/>
        <v>45998</v>
      </c>
      <c r="I926" s="123">
        <f ca="1">HLOOKUP($H$4,'Met Data'!$A$2:$F$368,G926,FALSE)</f>
        <v>15.879166666666601</v>
      </c>
      <c r="J926" s="121">
        <f ca="1">HLOOKUP($H$4,'Met Data'!$H$2:$M$368,G926,FALSE)*L926</f>
        <v>3.1</v>
      </c>
      <c r="K926" s="100">
        <f ca="1">HLOOKUP($H$4,'Met Data'!$O$2:$T$368,G926,FALSE)</f>
        <v>3.4185168625157498</v>
      </c>
      <c r="L926">
        <f t="shared" ca="1" si="141"/>
        <v>1</v>
      </c>
      <c r="N926" t="e">
        <f t="shared" ca="1" si="142"/>
        <v>#N/A</v>
      </c>
      <c r="O926" t="e">
        <f t="shared" ca="1" si="143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4"/>
        <v>0</v>
      </c>
      <c r="AE926">
        <f t="shared" ca="1" si="145"/>
        <v>0</v>
      </c>
      <c r="AG926" s="65" t="e">
        <f t="shared" ca="1" si="146"/>
        <v>#N/A</v>
      </c>
      <c r="AH926" s="65" t="e">
        <f t="shared" ca="1" si="147"/>
        <v>#N/A</v>
      </c>
      <c r="AI926" s="3" t="e">
        <f t="shared" ca="1" si="148"/>
        <v>#N/A</v>
      </c>
    </row>
    <row r="927" spans="7:35" ht="15" thickBot="1" x14ac:dyDescent="0.35">
      <c r="G927" s="3">
        <f t="shared" ca="1" si="140"/>
        <v>343</v>
      </c>
      <c r="H927" s="99">
        <f t="shared" ca="1" si="149"/>
        <v>45999</v>
      </c>
      <c r="I927" s="123">
        <f ca="1">HLOOKUP($H$4,'Met Data'!$A$2:$F$368,G927,FALSE)</f>
        <v>15.259090909090901</v>
      </c>
      <c r="J927" s="121">
        <f ca="1">HLOOKUP($H$4,'Met Data'!$H$2:$M$368,G927,FALSE)*L927</f>
        <v>6.1090909090908996</v>
      </c>
      <c r="K927" s="100">
        <f ca="1">HLOOKUP($H$4,'Met Data'!$O$2:$T$368,G927,FALSE)</f>
        <v>2.9122766026990501</v>
      </c>
      <c r="L927">
        <f t="shared" ca="1" si="141"/>
        <v>1</v>
      </c>
      <c r="N927" t="e">
        <f t="shared" ca="1" si="142"/>
        <v>#N/A</v>
      </c>
      <c r="O927" t="e">
        <f t="shared" ca="1" si="143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4"/>
        <v>0</v>
      </c>
      <c r="AE927">
        <f t="shared" ca="1" si="145"/>
        <v>0</v>
      </c>
      <c r="AG927" s="65" t="e">
        <f t="shared" ca="1" si="146"/>
        <v>#N/A</v>
      </c>
      <c r="AH927" s="65" t="e">
        <f t="shared" ca="1" si="147"/>
        <v>#N/A</v>
      </c>
      <c r="AI927" s="3" t="e">
        <f t="shared" ca="1" si="148"/>
        <v>#N/A</v>
      </c>
    </row>
    <row r="928" spans="7:35" ht="15" thickBot="1" x14ac:dyDescent="0.35">
      <c r="G928" s="3">
        <f t="shared" ca="1" si="140"/>
        <v>344</v>
      </c>
      <c r="H928" s="99">
        <f t="shared" ca="1" si="149"/>
        <v>46000</v>
      </c>
      <c r="I928" s="123">
        <f ca="1">HLOOKUP($H$4,'Met Data'!$A$2:$F$368,G928,FALSE)</f>
        <v>15.9125</v>
      </c>
      <c r="J928" s="121">
        <f ca="1">HLOOKUP($H$4,'Met Data'!$H$2:$M$368,G928,FALSE)*L928</f>
        <v>1.7833333333333301</v>
      </c>
      <c r="K928" s="100">
        <f ca="1">HLOOKUP($H$4,'Met Data'!$O$2:$T$368,G928,FALSE)</f>
        <v>3.7124167377990198</v>
      </c>
      <c r="L928">
        <f t="shared" ca="1" si="141"/>
        <v>1</v>
      </c>
      <c r="N928" t="e">
        <f t="shared" ca="1" si="142"/>
        <v>#N/A</v>
      </c>
      <c r="O928" t="e">
        <f t="shared" ca="1" si="143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4"/>
        <v>0</v>
      </c>
      <c r="AE928">
        <f t="shared" ca="1" si="145"/>
        <v>0</v>
      </c>
      <c r="AG928" s="65" t="e">
        <f t="shared" ca="1" si="146"/>
        <v>#N/A</v>
      </c>
      <c r="AH928" s="65" t="e">
        <f t="shared" ca="1" si="147"/>
        <v>#N/A</v>
      </c>
      <c r="AI928" s="3" t="e">
        <f t="shared" ca="1" si="148"/>
        <v>#N/A</v>
      </c>
    </row>
    <row r="929" spans="7:35" ht="15" thickBot="1" x14ac:dyDescent="0.35">
      <c r="G929" s="3">
        <f t="shared" ca="1" si="140"/>
        <v>345</v>
      </c>
      <c r="H929" s="99">
        <f t="shared" ca="1" si="149"/>
        <v>46001</v>
      </c>
      <c r="I929" s="123">
        <f ca="1">HLOOKUP($H$4,'Met Data'!$A$2:$F$368,G929,FALSE)</f>
        <v>16.720833333333299</v>
      </c>
      <c r="J929" s="121">
        <f ca="1">HLOOKUP($H$4,'Met Data'!$H$2:$M$368,G929,FALSE)*L929</f>
        <v>6.61666666666666</v>
      </c>
      <c r="K929" s="100">
        <f ca="1">HLOOKUP($H$4,'Met Data'!$O$2:$T$368,G929,FALSE)</f>
        <v>3.19412245919293</v>
      </c>
      <c r="L929">
        <f t="shared" ca="1" si="141"/>
        <v>1</v>
      </c>
      <c r="N929" t="e">
        <f t="shared" ca="1" si="142"/>
        <v>#N/A</v>
      </c>
      <c r="O929" t="e">
        <f t="shared" ca="1" si="143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4"/>
        <v>0</v>
      </c>
      <c r="AE929">
        <f t="shared" ca="1" si="145"/>
        <v>0</v>
      </c>
      <c r="AG929" s="65" t="e">
        <f t="shared" ca="1" si="146"/>
        <v>#N/A</v>
      </c>
      <c r="AH929" s="65" t="e">
        <f t="shared" ca="1" si="147"/>
        <v>#N/A</v>
      </c>
      <c r="AI929" s="3" t="e">
        <f t="shared" ca="1" si="148"/>
        <v>#N/A</v>
      </c>
    </row>
    <row r="930" spans="7:35" ht="15" thickBot="1" x14ac:dyDescent="0.35">
      <c r="G930" s="3">
        <f t="shared" ca="1" si="140"/>
        <v>346</v>
      </c>
      <c r="H930" s="99">
        <f t="shared" ca="1" si="149"/>
        <v>46002</v>
      </c>
      <c r="I930" s="123">
        <f ca="1">HLOOKUP($H$4,'Met Data'!$A$2:$F$368,G930,FALSE)</f>
        <v>17.529166666666601</v>
      </c>
      <c r="J930" s="121">
        <f ca="1">HLOOKUP($H$4,'Met Data'!$H$2:$M$368,G930,FALSE)*L930</f>
        <v>2.0333333333333301</v>
      </c>
      <c r="K930" s="100">
        <f ca="1">HLOOKUP($H$4,'Met Data'!$O$2:$T$368,G930,FALSE)</f>
        <v>3.0664285414958901</v>
      </c>
      <c r="L930">
        <f t="shared" ca="1" si="141"/>
        <v>1</v>
      </c>
      <c r="N930" t="e">
        <f t="shared" ca="1" si="142"/>
        <v>#N/A</v>
      </c>
      <c r="O930" t="e">
        <f t="shared" ca="1" si="143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4"/>
        <v>0</v>
      </c>
      <c r="AE930">
        <f t="shared" ca="1" si="145"/>
        <v>0</v>
      </c>
      <c r="AG930" s="65" t="e">
        <f t="shared" ca="1" si="146"/>
        <v>#N/A</v>
      </c>
      <c r="AH930" s="65" t="e">
        <f t="shared" ca="1" si="147"/>
        <v>#N/A</v>
      </c>
      <c r="AI930" s="3" t="e">
        <f t="shared" ca="1" si="148"/>
        <v>#N/A</v>
      </c>
    </row>
    <row r="931" spans="7:35" ht="15" thickBot="1" x14ac:dyDescent="0.35">
      <c r="G931" s="3">
        <f t="shared" ca="1" si="140"/>
        <v>347</v>
      </c>
      <c r="H931" s="99">
        <f t="shared" ca="1" si="149"/>
        <v>46003</v>
      </c>
      <c r="I931" s="123">
        <f ca="1">HLOOKUP($H$4,'Met Data'!$A$2:$F$368,G931,FALSE)</f>
        <v>17.004166666666599</v>
      </c>
      <c r="J931" s="121">
        <f ca="1">HLOOKUP($H$4,'Met Data'!$H$2:$M$368,G931,FALSE)*L931</f>
        <v>2.4666666666666601</v>
      </c>
      <c r="K931" s="100">
        <f ca="1">HLOOKUP($H$4,'Met Data'!$O$2:$T$368,G931,FALSE)</f>
        <v>3.6044975025694099</v>
      </c>
      <c r="L931">
        <f t="shared" ca="1" si="141"/>
        <v>1</v>
      </c>
      <c r="N931" t="e">
        <f t="shared" ca="1" si="142"/>
        <v>#N/A</v>
      </c>
      <c r="O931" t="e">
        <f t="shared" ca="1" si="143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4"/>
        <v>0</v>
      </c>
      <c r="AE931">
        <f t="shared" ca="1" si="145"/>
        <v>0</v>
      </c>
      <c r="AG931" s="65" t="e">
        <f t="shared" ca="1" si="146"/>
        <v>#N/A</v>
      </c>
      <c r="AH931" s="65" t="e">
        <f t="shared" ca="1" si="147"/>
        <v>#N/A</v>
      </c>
      <c r="AI931" s="3" t="e">
        <f t="shared" ca="1" si="148"/>
        <v>#N/A</v>
      </c>
    </row>
    <row r="932" spans="7:35" ht="15" thickBot="1" x14ac:dyDescent="0.35">
      <c r="G932" s="3">
        <f t="shared" ca="1" si="140"/>
        <v>348</v>
      </c>
      <c r="H932" s="99">
        <f t="shared" ca="1" si="149"/>
        <v>46004</v>
      </c>
      <c r="I932" s="123">
        <f ca="1">HLOOKUP($H$4,'Met Data'!$A$2:$F$368,G932,FALSE)</f>
        <v>16.883333333333301</v>
      </c>
      <c r="J932" s="121">
        <f ca="1">HLOOKUP($H$4,'Met Data'!$H$2:$M$368,G932,FALSE)*L932</f>
        <v>1.7333333333333301</v>
      </c>
      <c r="K932" s="100">
        <f ca="1">HLOOKUP($H$4,'Met Data'!$O$2:$T$368,G932,FALSE)</f>
        <v>4.1436131117359496</v>
      </c>
      <c r="L932">
        <f t="shared" ca="1" si="141"/>
        <v>1</v>
      </c>
      <c r="N932" t="e">
        <f t="shared" ca="1" si="142"/>
        <v>#N/A</v>
      </c>
      <c r="O932" t="e">
        <f t="shared" ca="1" si="143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4"/>
        <v>0</v>
      </c>
      <c r="AE932">
        <f t="shared" ca="1" si="145"/>
        <v>0</v>
      </c>
      <c r="AG932" s="65" t="e">
        <f t="shared" ca="1" si="146"/>
        <v>#N/A</v>
      </c>
      <c r="AH932" s="65" t="e">
        <f t="shared" ca="1" si="147"/>
        <v>#N/A</v>
      </c>
      <c r="AI932" s="3" t="e">
        <f t="shared" ca="1" si="148"/>
        <v>#N/A</v>
      </c>
    </row>
    <row r="933" spans="7:35" ht="15" thickBot="1" x14ac:dyDescent="0.35">
      <c r="G933" s="3">
        <f t="shared" ca="1" si="140"/>
        <v>349</v>
      </c>
      <c r="H933" s="99">
        <f t="shared" ca="1" si="149"/>
        <v>46005</v>
      </c>
      <c r="I933" s="123">
        <f ca="1">HLOOKUP($H$4,'Met Data'!$A$2:$F$368,G933,FALSE)</f>
        <v>16.191666666666599</v>
      </c>
      <c r="J933" s="121">
        <f ca="1">HLOOKUP($H$4,'Met Data'!$H$2:$M$368,G933,FALSE)*L933</f>
        <v>1.5333333333333301</v>
      </c>
      <c r="K933" s="100">
        <f ca="1">HLOOKUP($H$4,'Met Data'!$O$2:$T$368,G933,FALSE)</f>
        <v>3.8138486605430502</v>
      </c>
      <c r="L933">
        <f t="shared" ca="1" si="141"/>
        <v>1</v>
      </c>
      <c r="N933" t="e">
        <f t="shared" ca="1" si="142"/>
        <v>#N/A</v>
      </c>
      <c r="O933" t="e">
        <f t="shared" ca="1" si="143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4"/>
        <v>0</v>
      </c>
      <c r="AE933">
        <f t="shared" ca="1" si="145"/>
        <v>0</v>
      </c>
      <c r="AG933" s="65" t="e">
        <f t="shared" ca="1" si="146"/>
        <v>#N/A</v>
      </c>
      <c r="AH933" s="65" t="e">
        <f t="shared" ca="1" si="147"/>
        <v>#N/A</v>
      </c>
      <c r="AI933" s="3" t="e">
        <f t="shared" ca="1" si="148"/>
        <v>#N/A</v>
      </c>
    </row>
    <row r="934" spans="7:35" ht="15" thickBot="1" x14ac:dyDescent="0.35">
      <c r="G934" s="3">
        <f t="shared" ca="1" si="140"/>
        <v>350</v>
      </c>
      <c r="H934" s="99">
        <f t="shared" ca="1" si="149"/>
        <v>46006</v>
      </c>
      <c r="I934" s="123">
        <f ca="1">HLOOKUP($H$4,'Met Data'!$A$2:$F$368,G934,FALSE)</f>
        <v>15.754166666666601</v>
      </c>
      <c r="J934" s="121">
        <f ca="1">HLOOKUP($H$4,'Met Data'!$H$2:$M$368,G934,FALSE)*L934</f>
        <v>4.9166666666666599</v>
      </c>
      <c r="K934" s="100">
        <f ca="1">HLOOKUP($H$4,'Met Data'!$O$2:$T$368,G934,FALSE)</f>
        <v>4.2245531095694204</v>
      </c>
      <c r="L934">
        <f t="shared" ca="1" si="141"/>
        <v>1</v>
      </c>
      <c r="N934" t="e">
        <f t="shared" ca="1" si="142"/>
        <v>#N/A</v>
      </c>
      <c r="O934" t="e">
        <f t="shared" ca="1" si="143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4"/>
        <v>0</v>
      </c>
      <c r="AE934">
        <f t="shared" ca="1" si="145"/>
        <v>0</v>
      </c>
      <c r="AG934" s="65" t="e">
        <f t="shared" ca="1" si="146"/>
        <v>#N/A</v>
      </c>
      <c r="AH934" s="65" t="e">
        <f t="shared" ca="1" si="147"/>
        <v>#N/A</v>
      </c>
      <c r="AI934" s="3" t="e">
        <f t="shared" ca="1" si="148"/>
        <v>#N/A</v>
      </c>
    </row>
    <row r="935" spans="7:35" ht="15" thickBot="1" x14ac:dyDescent="0.35">
      <c r="G935" s="3">
        <f t="shared" ca="1" si="140"/>
        <v>351</v>
      </c>
      <c r="H935" s="99">
        <f t="shared" ca="1" si="149"/>
        <v>46007</v>
      </c>
      <c r="I935" s="123">
        <f ca="1">HLOOKUP($H$4,'Met Data'!$A$2:$F$368,G935,FALSE)</f>
        <v>16.766666666666602</v>
      </c>
      <c r="J935" s="121">
        <f ca="1">HLOOKUP($H$4,'Met Data'!$H$2:$M$368,G935,FALSE)*L935</f>
        <v>1.5999999999999901</v>
      </c>
      <c r="K935" s="100">
        <f ca="1">HLOOKUP($H$4,'Met Data'!$O$2:$T$368,G935,FALSE)</f>
        <v>4.0567025040665996</v>
      </c>
      <c r="L935">
        <f t="shared" ca="1" si="141"/>
        <v>1</v>
      </c>
      <c r="N935" t="e">
        <f t="shared" ca="1" si="142"/>
        <v>#N/A</v>
      </c>
      <c r="O935" t="e">
        <f t="shared" ca="1" si="143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4"/>
        <v>0</v>
      </c>
      <c r="AE935">
        <f t="shared" ca="1" si="145"/>
        <v>0</v>
      </c>
      <c r="AG935" s="65" t="e">
        <f t="shared" ca="1" si="146"/>
        <v>#N/A</v>
      </c>
      <c r="AH935" s="65" t="e">
        <f t="shared" ca="1" si="147"/>
        <v>#N/A</v>
      </c>
      <c r="AI935" s="3" t="e">
        <f t="shared" ca="1" si="148"/>
        <v>#N/A</v>
      </c>
    </row>
    <row r="936" spans="7:35" ht="15" thickBot="1" x14ac:dyDescent="0.35">
      <c r="G936" s="3">
        <f t="shared" ca="1" si="140"/>
        <v>352</v>
      </c>
      <c r="H936" s="99">
        <f t="shared" ca="1" si="149"/>
        <v>46008</v>
      </c>
      <c r="I936" s="123">
        <f ca="1">HLOOKUP($H$4,'Met Data'!$A$2:$F$368,G936,FALSE)</f>
        <v>16.766666666666602</v>
      </c>
      <c r="J936" s="121">
        <f ca="1">HLOOKUP($H$4,'Met Data'!$H$2:$M$368,G936,FALSE)*L936</f>
        <v>4.3166666666666602</v>
      </c>
      <c r="K936" s="100">
        <f ca="1">HLOOKUP($H$4,'Met Data'!$O$2:$T$368,G936,FALSE)</f>
        <v>3.8858032497445998</v>
      </c>
      <c r="L936">
        <f t="shared" ca="1" si="141"/>
        <v>1</v>
      </c>
      <c r="N936" t="e">
        <f t="shared" ca="1" si="142"/>
        <v>#N/A</v>
      </c>
      <c r="O936" t="e">
        <f t="shared" ca="1" si="143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4"/>
        <v>0</v>
      </c>
      <c r="AE936">
        <f t="shared" ca="1" si="145"/>
        <v>0</v>
      </c>
      <c r="AG936" s="65" t="e">
        <f t="shared" ca="1" si="146"/>
        <v>#N/A</v>
      </c>
      <c r="AH936" s="65" t="e">
        <f t="shared" ca="1" si="147"/>
        <v>#N/A</v>
      </c>
      <c r="AI936" s="3" t="e">
        <f t="shared" ca="1" si="148"/>
        <v>#N/A</v>
      </c>
    </row>
    <row r="937" spans="7:35" ht="15" thickBot="1" x14ac:dyDescent="0.35">
      <c r="G937" s="3">
        <f t="shared" ca="1" si="140"/>
        <v>353</v>
      </c>
      <c r="H937" s="99">
        <f t="shared" ca="1" si="149"/>
        <v>46009</v>
      </c>
      <c r="I937" s="123">
        <f ca="1">HLOOKUP($H$4,'Met Data'!$A$2:$F$368,G937,FALSE)</f>
        <v>17.191666666666599</v>
      </c>
      <c r="J937" s="121">
        <f ca="1">HLOOKUP($H$4,'Met Data'!$H$2:$M$368,G937,FALSE)*L937</f>
        <v>1.25</v>
      </c>
      <c r="K937" s="100">
        <f ca="1">HLOOKUP($H$4,'Met Data'!$O$2:$T$368,G937,FALSE)</f>
        <v>3.5439221574521702</v>
      </c>
      <c r="L937">
        <f t="shared" ca="1" si="141"/>
        <v>1</v>
      </c>
      <c r="N937" t="e">
        <f t="shared" ca="1" si="142"/>
        <v>#N/A</v>
      </c>
      <c r="O937" t="e">
        <f t="shared" ca="1" si="143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4"/>
        <v>0</v>
      </c>
      <c r="AE937">
        <f t="shared" ca="1" si="145"/>
        <v>0</v>
      </c>
      <c r="AG937" s="65" t="e">
        <f t="shared" ca="1" si="146"/>
        <v>#N/A</v>
      </c>
      <c r="AH937" s="65" t="e">
        <f t="shared" ca="1" si="147"/>
        <v>#N/A</v>
      </c>
      <c r="AI937" s="3" t="e">
        <f t="shared" ca="1" si="148"/>
        <v>#N/A</v>
      </c>
    </row>
    <row r="938" spans="7:35" ht="15" thickBot="1" x14ac:dyDescent="0.35">
      <c r="G938" s="3">
        <f t="shared" ca="1" si="140"/>
        <v>354</v>
      </c>
      <c r="H938" s="99">
        <f t="shared" ca="1" si="149"/>
        <v>46010</v>
      </c>
      <c r="I938" s="123">
        <f ca="1">HLOOKUP($H$4,'Met Data'!$A$2:$F$368,G938,FALSE)</f>
        <v>16.725000000000001</v>
      </c>
      <c r="J938" s="121">
        <f ca="1">HLOOKUP($H$4,'Met Data'!$H$2:$M$368,G938,FALSE)*L938</f>
        <v>6.43333333333333</v>
      </c>
      <c r="K938" s="100">
        <f ca="1">HLOOKUP($H$4,'Met Data'!$O$2:$T$368,G938,FALSE)</f>
        <v>2.7226403112081199</v>
      </c>
      <c r="L938">
        <f t="shared" ca="1" si="141"/>
        <v>1</v>
      </c>
      <c r="N938" t="e">
        <f t="shared" ca="1" si="142"/>
        <v>#N/A</v>
      </c>
      <c r="O938" t="e">
        <f t="shared" ca="1" si="143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4"/>
        <v>0</v>
      </c>
      <c r="AE938">
        <f t="shared" ca="1" si="145"/>
        <v>0</v>
      </c>
      <c r="AG938" s="65" t="e">
        <f t="shared" ca="1" si="146"/>
        <v>#N/A</v>
      </c>
      <c r="AH938" s="65" t="e">
        <f t="shared" ca="1" si="147"/>
        <v>#N/A</v>
      </c>
      <c r="AI938" s="3" t="e">
        <f t="shared" ca="1" si="148"/>
        <v>#N/A</v>
      </c>
    </row>
    <row r="939" spans="7:35" ht="15" thickBot="1" x14ac:dyDescent="0.35">
      <c r="G939" s="3">
        <f t="shared" ca="1" si="140"/>
        <v>355</v>
      </c>
      <c r="H939" s="99">
        <f t="shared" ca="1" si="149"/>
        <v>46011</v>
      </c>
      <c r="I939" s="123">
        <f ca="1">HLOOKUP($H$4,'Met Data'!$A$2:$F$368,G939,FALSE)</f>
        <v>15.9625</v>
      </c>
      <c r="J939" s="121">
        <f ca="1">HLOOKUP($H$4,'Met Data'!$H$2:$M$368,G939,FALSE)*L939</f>
        <v>4.3333333333333304</v>
      </c>
      <c r="K939" s="100">
        <f ca="1">HLOOKUP($H$4,'Met Data'!$O$2:$T$368,G939,FALSE)</f>
        <v>3.7253118866284498</v>
      </c>
      <c r="L939">
        <f t="shared" ca="1" si="141"/>
        <v>1</v>
      </c>
      <c r="N939" t="e">
        <f t="shared" ca="1" si="142"/>
        <v>#N/A</v>
      </c>
      <c r="O939" t="e">
        <f t="shared" ca="1" si="143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4"/>
        <v>0</v>
      </c>
      <c r="AE939">
        <f t="shared" ca="1" si="145"/>
        <v>0</v>
      </c>
      <c r="AG939" s="65" t="e">
        <f t="shared" ca="1" si="146"/>
        <v>#N/A</v>
      </c>
      <c r="AH939" s="65" t="e">
        <f t="shared" ca="1" si="147"/>
        <v>#N/A</v>
      </c>
      <c r="AI939" s="3" t="e">
        <f t="shared" ca="1" si="148"/>
        <v>#N/A</v>
      </c>
    </row>
    <row r="940" spans="7:35" ht="15" thickBot="1" x14ac:dyDescent="0.35">
      <c r="G940" s="3">
        <f t="shared" ca="1" si="140"/>
        <v>356</v>
      </c>
      <c r="H940" s="99">
        <f t="shared" ca="1" si="149"/>
        <v>46012</v>
      </c>
      <c r="I940" s="123">
        <f ca="1">HLOOKUP($H$4,'Met Data'!$A$2:$F$368,G940,FALSE)</f>
        <v>16.074999999999999</v>
      </c>
      <c r="J940" s="121">
        <f ca="1">HLOOKUP($H$4,'Met Data'!$H$2:$M$368,G940,FALSE)*L940</f>
        <v>0.89999999999999902</v>
      </c>
      <c r="K940" s="100">
        <f ca="1">HLOOKUP($H$4,'Met Data'!$O$2:$T$368,G940,FALSE)</f>
        <v>3.69045556475041</v>
      </c>
      <c r="L940">
        <f t="shared" ca="1" si="141"/>
        <v>1</v>
      </c>
      <c r="N940" t="e">
        <f t="shared" ca="1" si="142"/>
        <v>#N/A</v>
      </c>
      <c r="O940" t="e">
        <f t="shared" ca="1" si="143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4"/>
        <v>0</v>
      </c>
      <c r="AE940">
        <f t="shared" ca="1" si="145"/>
        <v>0</v>
      </c>
      <c r="AG940" s="65" t="e">
        <f t="shared" ca="1" si="146"/>
        <v>#N/A</v>
      </c>
      <c r="AH940" s="65" t="e">
        <f t="shared" ca="1" si="147"/>
        <v>#N/A</v>
      </c>
      <c r="AI940" s="3" t="e">
        <f t="shared" ca="1" si="148"/>
        <v>#N/A</v>
      </c>
    </row>
    <row r="941" spans="7:35" ht="15" thickBot="1" x14ac:dyDescent="0.35">
      <c r="G941" s="3">
        <f t="shared" ca="1" si="140"/>
        <v>357</v>
      </c>
      <c r="H941" s="99">
        <f t="shared" ca="1" si="149"/>
        <v>46013</v>
      </c>
      <c r="I941" s="123">
        <f ca="1">HLOOKUP($H$4,'Met Data'!$A$2:$F$368,G941,FALSE)</f>
        <v>16.1458333333333</v>
      </c>
      <c r="J941" s="121">
        <f ca="1">HLOOKUP($H$4,'Met Data'!$H$2:$M$368,G941,FALSE)*L941</f>
        <v>0.78333333333333299</v>
      </c>
      <c r="K941" s="100">
        <f ca="1">HLOOKUP($H$4,'Met Data'!$O$2:$T$368,G941,FALSE)</f>
        <v>3.66376320931905</v>
      </c>
      <c r="L941">
        <f t="shared" ca="1" si="141"/>
        <v>1</v>
      </c>
      <c r="N941" t="e">
        <f t="shared" ca="1" si="142"/>
        <v>#N/A</v>
      </c>
      <c r="O941" t="e">
        <f t="shared" ca="1" si="143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4"/>
        <v>0</v>
      </c>
      <c r="AE941">
        <f t="shared" ca="1" si="145"/>
        <v>0</v>
      </c>
      <c r="AG941" s="65" t="e">
        <f t="shared" ca="1" si="146"/>
        <v>#N/A</v>
      </c>
      <c r="AH941" s="65" t="e">
        <f t="shared" ca="1" si="147"/>
        <v>#N/A</v>
      </c>
      <c r="AI941" s="3" t="e">
        <f t="shared" ca="1" si="148"/>
        <v>#N/A</v>
      </c>
    </row>
    <row r="942" spans="7:35" ht="15" thickBot="1" x14ac:dyDescent="0.35">
      <c r="G942" s="3">
        <f t="shared" ca="1" si="140"/>
        <v>358</v>
      </c>
      <c r="H942" s="99">
        <f t="shared" ca="1" si="149"/>
        <v>46014</v>
      </c>
      <c r="I942" s="123">
        <f ca="1">HLOOKUP($H$4,'Met Data'!$A$2:$F$368,G942,FALSE)</f>
        <v>16.820833333333301</v>
      </c>
      <c r="J942" s="121">
        <f ca="1">HLOOKUP($H$4,'Met Data'!$H$2:$M$368,G942,FALSE)*L942</f>
        <v>1.1666666666666601</v>
      </c>
      <c r="K942" s="100">
        <f ca="1">HLOOKUP($H$4,'Met Data'!$O$2:$T$368,G942,FALSE)</f>
        <v>4.2904592235930501</v>
      </c>
      <c r="L942">
        <f t="shared" ca="1" si="141"/>
        <v>1</v>
      </c>
      <c r="N942" t="e">
        <f t="shared" ca="1" si="142"/>
        <v>#N/A</v>
      </c>
      <c r="O942" t="e">
        <f t="shared" ca="1" si="143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4"/>
        <v>0</v>
      </c>
      <c r="AE942">
        <f t="shared" ca="1" si="145"/>
        <v>0</v>
      </c>
      <c r="AG942" s="65" t="e">
        <f t="shared" ca="1" si="146"/>
        <v>#N/A</v>
      </c>
      <c r="AH942" s="65" t="e">
        <f t="shared" ca="1" si="147"/>
        <v>#N/A</v>
      </c>
      <c r="AI942" s="3" t="e">
        <f t="shared" ca="1" si="148"/>
        <v>#N/A</v>
      </c>
    </row>
    <row r="943" spans="7:35" ht="15" thickBot="1" x14ac:dyDescent="0.35">
      <c r="G943" s="3">
        <f t="shared" ca="1" si="140"/>
        <v>359</v>
      </c>
      <c r="H943" s="99">
        <f t="shared" ca="1" si="149"/>
        <v>46015</v>
      </c>
      <c r="I943" s="123">
        <f ca="1">HLOOKUP($H$4,'Met Data'!$A$2:$F$368,G943,FALSE)</f>
        <v>16.883333333333301</v>
      </c>
      <c r="J943" s="121">
        <f ca="1">HLOOKUP($H$4,'Met Data'!$H$2:$M$368,G943,FALSE)*L943</f>
        <v>4.1499999999999897</v>
      </c>
      <c r="K943" s="100">
        <f ca="1">HLOOKUP($H$4,'Met Data'!$O$2:$T$368,G943,FALSE)</f>
        <v>3.61274265774352</v>
      </c>
      <c r="L943">
        <f t="shared" ca="1" si="141"/>
        <v>1</v>
      </c>
      <c r="N943" t="e">
        <f t="shared" ca="1" si="142"/>
        <v>#N/A</v>
      </c>
      <c r="O943" t="e">
        <f t="shared" ca="1" si="143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4"/>
        <v>0</v>
      </c>
      <c r="AE943">
        <f t="shared" ca="1" si="145"/>
        <v>0</v>
      </c>
      <c r="AG943" s="65" t="e">
        <f t="shared" ca="1" si="146"/>
        <v>#N/A</v>
      </c>
      <c r="AH943" s="65" t="e">
        <f t="shared" ca="1" si="147"/>
        <v>#N/A</v>
      </c>
      <c r="AI943" s="3" t="e">
        <f t="shared" ca="1" si="148"/>
        <v>#N/A</v>
      </c>
    </row>
    <row r="944" spans="7:35" ht="15" thickBot="1" x14ac:dyDescent="0.35">
      <c r="G944" s="3">
        <f t="shared" ref="G944:G999" ca="1" si="150">H944-DATE(YEAR(H944),1,0)+1</f>
        <v>360</v>
      </c>
      <c r="H944" s="99">
        <f t="shared" ca="1" si="149"/>
        <v>46016</v>
      </c>
      <c r="I944" s="123">
        <f ca="1">HLOOKUP($H$4,'Met Data'!$A$2:$F$368,G944,FALSE)</f>
        <v>17.399999999999999</v>
      </c>
      <c r="J944" s="121">
        <f ca="1">HLOOKUP($H$4,'Met Data'!$H$2:$M$368,G944,FALSE)*L944</f>
        <v>5.0166666666666604</v>
      </c>
      <c r="K944" s="100">
        <f ca="1">HLOOKUP($H$4,'Met Data'!$O$2:$T$368,G944,FALSE)</f>
        <v>4.09028075025509</v>
      </c>
      <c r="L944">
        <f t="shared" ref="L944:L999" ca="1" si="151">IF(H944&lt;$B$31,$J$3,$J$4)</f>
        <v>1</v>
      </c>
      <c r="N944" t="e">
        <f t="shared" ref="N944:N999" ca="1" si="152">IF(P944&lt;$P$3,TRUE,FALSE)</f>
        <v>#N/A</v>
      </c>
      <c r="O944" t="e">
        <f t="shared" ref="O944:O999" ca="1" si="153">AND(IF(P944&gt;($P$2-1),TRUE,FALSE),IF(P944&lt;($P$3+1),TRUE,FALSE))</f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ref="AD944:AD999" ca="1" si="154">IFERROR(P944,$AD$4)</f>
        <v>0</v>
      </c>
      <c r="AE944">
        <f t="shared" ref="AE944:AE999" ca="1" si="155">IFERROR(U944,0)</f>
        <v>0</v>
      </c>
      <c r="AG944" s="65" t="e">
        <f t="shared" ref="AG944:AG999" ca="1" si="156">Q943+S944+T944+U944</f>
        <v>#N/A</v>
      </c>
      <c r="AH944" s="65" t="e">
        <f t="shared" ref="AH944:AH999" ca="1" si="157">Q944+R944+X944</f>
        <v>#N/A</v>
      </c>
      <c r="AI944" s="3" t="e">
        <f t="shared" ref="AI944:AI999" ca="1" si="158">AH944-AG944</f>
        <v>#N/A</v>
      </c>
    </row>
    <row r="945" spans="7:35" ht="15" thickBot="1" x14ac:dyDescent="0.35">
      <c r="G945" s="3">
        <f t="shared" ca="1" si="150"/>
        <v>361</v>
      </c>
      <c r="H945" s="99">
        <f t="shared" ca="1" si="149"/>
        <v>46017</v>
      </c>
      <c r="I945" s="123">
        <f ca="1">HLOOKUP($H$4,'Met Data'!$A$2:$F$368,G945,FALSE)</f>
        <v>17.920833333333299</v>
      </c>
      <c r="J945" s="121">
        <f ca="1">HLOOKUP($H$4,'Met Data'!$H$2:$M$368,G945,FALSE)*L945</f>
        <v>0.56666666666666599</v>
      </c>
      <c r="K945" s="100">
        <f ca="1">HLOOKUP($H$4,'Met Data'!$O$2:$T$368,G945,FALSE)</f>
        <v>4.1244552423616296</v>
      </c>
      <c r="L945">
        <f t="shared" ca="1" si="151"/>
        <v>1</v>
      </c>
      <c r="N945" t="e">
        <f t="shared" ca="1" si="152"/>
        <v>#N/A</v>
      </c>
      <c r="O945" t="e">
        <f t="shared" ca="1" si="153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ca="1" si="154"/>
        <v>0</v>
      </c>
      <c r="AE945">
        <f t="shared" ca="1" si="155"/>
        <v>0</v>
      </c>
      <c r="AG945" s="65" t="e">
        <f t="shared" ca="1" si="156"/>
        <v>#N/A</v>
      </c>
      <c r="AH945" s="65" t="e">
        <f t="shared" ca="1" si="157"/>
        <v>#N/A</v>
      </c>
      <c r="AI945" s="3" t="e">
        <f t="shared" ca="1" si="158"/>
        <v>#N/A</v>
      </c>
    </row>
    <row r="946" spans="7:35" ht="15" thickBot="1" x14ac:dyDescent="0.35">
      <c r="G946" s="3">
        <f t="shared" ca="1" si="150"/>
        <v>362</v>
      </c>
      <c r="H946" s="99">
        <f t="shared" ca="1" si="149"/>
        <v>46018</v>
      </c>
      <c r="I946" s="123">
        <f ca="1">HLOOKUP($H$4,'Met Data'!$A$2:$F$368,G946,FALSE)</f>
        <v>17.537500000000001</v>
      </c>
      <c r="J946" s="121">
        <f ca="1">HLOOKUP($H$4,'Met Data'!$H$2:$M$368,G946,FALSE)*L946</f>
        <v>1.2833333333333301</v>
      </c>
      <c r="K946" s="100">
        <f ca="1">HLOOKUP($H$4,'Met Data'!$O$2:$T$368,G946,FALSE)</f>
        <v>4.3692883234689903</v>
      </c>
      <c r="L946">
        <f t="shared" ca="1" si="151"/>
        <v>1</v>
      </c>
      <c r="N946" t="e">
        <f t="shared" ca="1" si="152"/>
        <v>#N/A</v>
      </c>
      <c r="O946" t="e">
        <f t="shared" ca="1" si="153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4"/>
        <v>0</v>
      </c>
      <c r="AE946">
        <f t="shared" ca="1" si="155"/>
        <v>0</v>
      </c>
      <c r="AG946" s="65" t="e">
        <f t="shared" ca="1" si="156"/>
        <v>#N/A</v>
      </c>
      <c r="AH946" s="65" t="e">
        <f t="shared" ca="1" si="157"/>
        <v>#N/A</v>
      </c>
      <c r="AI946" s="3" t="e">
        <f t="shared" ca="1" si="158"/>
        <v>#N/A</v>
      </c>
    </row>
    <row r="947" spans="7:35" ht="15" thickBot="1" x14ac:dyDescent="0.35">
      <c r="G947" s="3">
        <f t="shared" ca="1" si="150"/>
        <v>363</v>
      </c>
      <c r="H947" s="99">
        <f t="shared" ca="1" si="149"/>
        <v>46019</v>
      </c>
      <c r="I947" s="123">
        <f ca="1">HLOOKUP($H$4,'Met Data'!$A$2:$F$368,G947,FALSE)</f>
        <v>17.012499999999999</v>
      </c>
      <c r="J947" s="121">
        <f ca="1">HLOOKUP($H$4,'Met Data'!$H$2:$M$368,G947,FALSE)*L947</f>
        <v>1.5833333333333299</v>
      </c>
      <c r="K947" s="100">
        <f ca="1">HLOOKUP($H$4,'Met Data'!$O$2:$T$368,G947,FALSE)</f>
        <v>3.8686759650684999</v>
      </c>
      <c r="L947">
        <f t="shared" ca="1" si="151"/>
        <v>1</v>
      </c>
      <c r="N947" t="e">
        <f t="shared" ca="1" si="152"/>
        <v>#N/A</v>
      </c>
      <c r="O947" t="e">
        <f t="shared" ca="1" si="153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4"/>
        <v>0</v>
      </c>
      <c r="AE947">
        <f t="shared" ca="1" si="155"/>
        <v>0</v>
      </c>
      <c r="AG947" s="65" t="e">
        <f t="shared" ca="1" si="156"/>
        <v>#N/A</v>
      </c>
      <c r="AH947" s="65" t="e">
        <f t="shared" ca="1" si="157"/>
        <v>#N/A</v>
      </c>
      <c r="AI947" s="3" t="e">
        <f t="shared" ca="1" si="158"/>
        <v>#N/A</v>
      </c>
    </row>
    <row r="948" spans="7:35" ht="15" thickBot="1" x14ac:dyDescent="0.35">
      <c r="G948" s="3">
        <f t="shared" ca="1" si="150"/>
        <v>364</v>
      </c>
      <c r="H948" s="99">
        <f t="shared" ca="1" si="149"/>
        <v>46020</v>
      </c>
      <c r="I948" s="123">
        <f ca="1">HLOOKUP($H$4,'Met Data'!$A$2:$F$368,G948,FALSE)</f>
        <v>17.1041666666666</v>
      </c>
      <c r="J948" s="121">
        <f ca="1">HLOOKUP($H$4,'Met Data'!$H$2:$M$368,G948,FALSE)*L948</f>
        <v>4.2833333333333297</v>
      </c>
      <c r="K948" s="100">
        <f ca="1">HLOOKUP($H$4,'Met Data'!$O$2:$T$368,G948,FALSE)</f>
        <v>3.65125453231978</v>
      </c>
      <c r="L948">
        <f t="shared" ca="1" si="151"/>
        <v>1</v>
      </c>
      <c r="N948" t="e">
        <f t="shared" ca="1" si="152"/>
        <v>#N/A</v>
      </c>
      <c r="O948" t="e">
        <f t="shared" ca="1" si="153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4"/>
        <v>0</v>
      </c>
      <c r="AE948">
        <f t="shared" ca="1" si="155"/>
        <v>0</v>
      </c>
      <c r="AG948" s="65" t="e">
        <f t="shared" ca="1" si="156"/>
        <v>#N/A</v>
      </c>
      <c r="AH948" s="65" t="e">
        <f t="shared" ca="1" si="157"/>
        <v>#N/A</v>
      </c>
      <c r="AI948" s="3" t="e">
        <f t="shared" ca="1" si="158"/>
        <v>#N/A</v>
      </c>
    </row>
    <row r="949" spans="7:35" ht="15" thickBot="1" x14ac:dyDescent="0.35">
      <c r="G949" s="3">
        <f t="shared" ca="1" si="150"/>
        <v>365</v>
      </c>
      <c r="H949" s="99">
        <f t="shared" ca="1" si="149"/>
        <v>46021</v>
      </c>
      <c r="I949" s="123">
        <f ca="1">HLOOKUP($H$4,'Met Data'!$A$2:$F$368,G949,FALSE)</f>
        <v>17.0541666666666</v>
      </c>
      <c r="J949" s="121">
        <f ca="1">HLOOKUP($H$4,'Met Data'!$H$2:$M$368,G949,FALSE)*L949</f>
        <v>3.68333333333333</v>
      </c>
      <c r="K949" s="100">
        <f ca="1">HLOOKUP($H$4,'Met Data'!$O$2:$T$368,G949,FALSE)</f>
        <v>3.3111049356888498</v>
      </c>
      <c r="L949">
        <f t="shared" ca="1" si="151"/>
        <v>1</v>
      </c>
      <c r="N949" t="e">
        <f t="shared" ca="1" si="152"/>
        <v>#N/A</v>
      </c>
      <c r="O949" t="e">
        <f t="shared" ca="1" si="153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4"/>
        <v>0</v>
      </c>
      <c r="AE949">
        <f t="shared" ca="1" si="155"/>
        <v>0</v>
      </c>
      <c r="AG949" s="65" t="e">
        <f t="shared" ca="1" si="156"/>
        <v>#N/A</v>
      </c>
      <c r="AH949" s="65" t="e">
        <f t="shared" ca="1" si="157"/>
        <v>#N/A</v>
      </c>
      <c r="AI949" s="3" t="e">
        <f t="shared" ca="1" si="158"/>
        <v>#N/A</v>
      </c>
    </row>
    <row r="950" spans="7:35" ht="15" thickBot="1" x14ac:dyDescent="0.35">
      <c r="G950" s="3">
        <f t="shared" ca="1" si="150"/>
        <v>366</v>
      </c>
      <c r="H950" s="99">
        <f t="shared" ca="1" si="149"/>
        <v>46022</v>
      </c>
      <c r="I950" s="123">
        <f ca="1">HLOOKUP($H$4,'Met Data'!$A$2:$F$368,G950,FALSE)</f>
        <v>16.6875</v>
      </c>
      <c r="J950" s="121">
        <f ca="1">HLOOKUP($H$4,'Met Data'!$H$2:$M$368,G950,FALSE)*L950</f>
        <v>4.68333333333333</v>
      </c>
      <c r="K950" s="100">
        <f ca="1">HLOOKUP($H$4,'Met Data'!$O$2:$T$368,G950,FALSE)</f>
        <v>3.7095349810249001</v>
      </c>
      <c r="L950">
        <f t="shared" ca="1" si="151"/>
        <v>1</v>
      </c>
      <c r="N950" t="e">
        <f t="shared" ca="1" si="152"/>
        <v>#N/A</v>
      </c>
      <c r="O950" t="e">
        <f t="shared" ca="1" si="153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4"/>
        <v>0</v>
      </c>
      <c r="AE950">
        <f t="shared" ca="1" si="155"/>
        <v>0</v>
      </c>
      <c r="AG950" s="65" t="e">
        <f t="shared" ca="1" si="156"/>
        <v>#N/A</v>
      </c>
      <c r="AH950" s="65" t="e">
        <f t="shared" ca="1" si="157"/>
        <v>#N/A</v>
      </c>
      <c r="AI950" s="3" t="e">
        <f t="shared" ca="1" si="158"/>
        <v>#N/A</v>
      </c>
    </row>
    <row r="951" spans="7:35" ht="15" thickBot="1" x14ac:dyDescent="0.35">
      <c r="G951" s="3">
        <f t="shared" ca="1" si="150"/>
        <v>2</v>
      </c>
      <c r="H951" s="99">
        <f t="shared" ca="1" si="149"/>
        <v>46023</v>
      </c>
      <c r="I951" s="123">
        <f ca="1">HLOOKUP($H$4,'Met Data'!$A$2:$F$368,G951,FALSE)</f>
        <v>17.908333333333299</v>
      </c>
      <c r="J951" s="121">
        <f ca="1">HLOOKUP($H$4,'Met Data'!$H$2:$M$368,G951,FALSE)*L951</f>
        <v>2.5499999999999998</v>
      </c>
      <c r="K951" s="100">
        <f ca="1">HLOOKUP($H$4,'Met Data'!$O$2:$T$368,G951,FALSE)</f>
        <v>3.6545263506553698</v>
      </c>
      <c r="L951">
        <f t="shared" ca="1" si="151"/>
        <v>1</v>
      </c>
      <c r="N951" t="e">
        <f t="shared" ca="1" si="152"/>
        <v>#N/A</v>
      </c>
      <c r="O951" t="e">
        <f t="shared" ca="1" si="153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4"/>
        <v>0</v>
      </c>
      <c r="AE951">
        <f t="shared" ca="1" si="155"/>
        <v>0</v>
      </c>
      <c r="AG951" s="65" t="e">
        <f t="shared" ca="1" si="156"/>
        <v>#N/A</v>
      </c>
      <c r="AH951" s="65" t="e">
        <f t="shared" ca="1" si="157"/>
        <v>#N/A</v>
      </c>
      <c r="AI951" s="3" t="e">
        <f t="shared" ca="1" si="158"/>
        <v>#N/A</v>
      </c>
    </row>
    <row r="952" spans="7:35" ht="15" thickBot="1" x14ac:dyDescent="0.35">
      <c r="G952" s="3">
        <f t="shared" ca="1" si="150"/>
        <v>3</v>
      </c>
      <c r="H952" s="99">
        <f t="shared" ca="1" si="149"/>
        <v>46024</v>
      </c>
      <c r="I952" s="123">
        <f ca="1">HLOOKUP($H$4,'Met Data'!$A$2:$F$368,G952,FALSE)</f>
        <v>18.454166666666602</v>
      </c>
      <c r="J952" s="121">
        <f ca="1">HLOOKUP($H$4,'Met Data'!$H$2:$M$368,G952,FALSE)*L952</f>
        <v>2.3166666666666602</v>
      </c>
      <c r="K952" s="100">
        <f ca="1">HLOOKUP($H$4,'Met Data'!$O$2:$T$368,G952,FALSE)</f>
        <v>3.0374578661788201</v>
      </c>
      <c r="L952">
        <f t="shared" ca="1" si="151"/>
        <v>1</v>
      </c>
      <c r="N952" t="e">
        <f t="shared" ca="1" si="152"/>
        <v>#N/A</v>
      </c>
      <c r="O952" t="e">
        <f t="shared" ca="1" si="153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4"/>
        <v>0</v>
      </c>
      <c r="AE952">
        <f t="shared" ca="1" si="155"/>
        <v>0</v>
      </c>
      <c r="AG952" s="65" t="e">
        <f t="shared" ca="1" si="156"/>
        <v>#N/A</v>
      </c>
      <c r="AH952" s="65" t="e">
        <f t="shared" ca="1" si="157"/>
        <v>#N/A</v>
      </c>
      <c r="AI952" s="3" t="e">
        <f t="shared" ca="1" si="158"/>
        <v>#N/A</v>
      </c>
    </row>
    <row r="953" spans="7:35" ht="15" thickBot="1" x14ac:dyDescent="0.35">
      <c r="G953" s="3">
        <f t="shared" ca="1" si="150"/>
        <v>4</v>
      </c>
      <c r="H953" s="99">
        <f t="shared" ca="1" si="149"/>
        <v>46025</v>
      </c>
      <c r="I953" s="123">
        <f ca="1">HLOOKUP($H$4,'Met Data'!$A$2:$F$368,G953,FALSE)</f>
        <v>18.4916666666666</v>
      </c>
      <c r="J953" s="121">
        <f ca="1">HLOOKUP($H$4,'Met Data'!$H$2:$M$368,G953,FALSE)*L953</f>
        <v>6.6333333333333302</v>
      </c>
      <c r="K953" s="100">
        <f ca="1">HLOOKUP($H$4,'Met Data'!$O$2:$T$368,G953,FALSE)</f>
        <v>3.5424660833564698</v>
      </c>
      <c r="L953">
        <f t="shared" ca="1" si="151"/>
        <v>1</v>
      </c>
      <c r="N953" t="e">
        <f t="shared" ca="1" si="152"/>
        <v>#N/A</v>
      </c>
      <c r="O953" t="e">
        <f t="shared" ca="1" si="153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4"/>
        <v>0</v>
      </c>
      <c r="AE953">
        <f t="shared" ca="1" si="155"/>
        <v>0</v>
      </c>
      <c r="AG953" s="65" t="e">
        <f t="shared" ca="1" si="156"/>
        <v>#N/A</v>
      </c>
      <c r="AH953" s="65" t="e">
        <f t="shared" ca="1" si="157"/>
        <v>#N/A</v>
      </c>
      <c r="AI953" s="3" t="e">
        <f t="shared" ca="1" si="158"/>
        <v>#N/A</v>
      </c>
    </row>
    <row r="954" spans="7:35" ht="15" thickBot="1" x14ac:dyDescent="0.35">
      <c r="G954" s="3">
        <f t="shared" ca="1" si="150"/>
        <v>5</v>
      </c>
      <c r="H954" s="99">
        <f t="shared" ca="1" si="149"/>
        <v>46026</v>
      </c>
      <c r="I954" s="123">
        <f ca="1">HLOOKUP($H$4,'Met Data'!$A$2:$F$368,G954,FALSE)</f>
        <v>17</v>
      </c>
      <c r="J954" s="121">
        <f ca="1">HLOOKUP($H$4,'Met Data'!$H$2:$M$368,G954,FALSE)*L954</f>
        <v>1.93333333333333</v>
      </c>
      <c r="K954" s="100">
        <f ca="1">HLOOKUP($H$4,'Met Data'!$O$2:$T$368,G954,FALSE)</f>
        <v>4.6893309655458602</v>
      </c>
      <c r="L954">
        <f t="shared" ca="1" si="151"/>
        <v>1</v>
      </c>
      <c r="N954" t="e">
        <f t="shared" ca="1" si="152"/>
        <v>#N/A</v>
      </c>
      <c r="O954" t="e">
        <f t="shared" ca="1" si="153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4"/>
        <v>0</v>
      </c>
      <c r="AE954">
        <f t="shared" ca="1" si="155"/>
        <v>0</v>
      </c>
      <c r="AG954" s="65" t="e">
        <f t="shared" ca="1" si="156"/>
        <v>#N/A</v>
      </c>
      <c r="AH954" s="65" t="e">
        <f t="shared" ca="1" si="157"/>
        <v>#N/A</v>
      </c>
      <c r="AI954" s="3" t="e">
        <f t="shared" ca="1" si="158"/>
        <v>#N/A</v>
      </c>
    </row>
    <row r="955" spans="7:35" ht="15" thickBot="1" x14ac:dyDescent="0.35">
      <c r="G955" s="3">
        <f t="shared" ca="1" si="150"/>
        <v>6</v>
      </c>
      <c r="H955" s="99">
        <f t="shared" ca="1" si="149"/>
        <v>46027</v>
      </c>
      <c r="I955" s="123">
        <f ca="1">HLOOKUP($H$4,'Met Data'!$A$2:$F$368,G955,FALSE)</f>
        <v>16.4166666666666</v>
      </c>
      <c r="J955" s="121">
        <f ca="1">HLOOKUP($H$4,'Met Data'!$H$2:$M$368,G955,FALSE)*L955</f>
        <v>2.9833333333333298</v>
      </c>
      <c r="K955" s="100">
        <f ca="1">HLOOKUP($H$4,'Met Data'!$O$2:$T$368,G955,FALSE)</f>
        <v>4.0957861961112103</v>
      </c>
      <c r="L955">
        <f t="shared" ca="1" si="151"/>
        <v>1</v>
      </c>
      <c r="N955" t="e">
        <f t="shared" ca="1" si="152"/>
        <v>#N/A</v>
      </c>
      <c r="O955" t="e">
        <f t="shared" ca="1" si="153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4"/>
        <v>0</v>
      </c>
      <c r="AE955">
        <f t="shared" ca="1" si="155"/>
        <v>0</v>
      </c>
      <c r="AG955" s="65" t="e">
        <f t="shared" ca="1" si="156"/>
        <v>#N/A</v>
      </c>
      <c r="AH955" s="65" t="e">
        <f t="shared" ca="1" si="157"/>
        <v>#N/A</v>
      </c>
      <c r="AI955" s="3" t="e">
        <f t="shared" ca="1" si="158"/>
        <v>#N/A</v>
      </c>
    </row>
    <row r="956" spans="7:35" ht="15" thickBot="1" x14ac:dyDescent="0.35">
      <c r="G956" s="3">
        <f t="shared" ca="1" si="150"/>
        <v>7</v>
      </c>
      <c r="H956" s="99">
        <f t="shared" ca="1" si="149"/>
        <v>46028</v>
      </c>
      <c r="I956" s="123">
        <f ca="1">HLOOKUP($H$4,'Met Data'!$A$2:$F$368,G956,FALSE)</f>
        <v>17.629166666666599</v>
      </c>
      <c r="J956" s="121">
        <f ca="1">HLOOKUP($H$4,'Met Data'!$H$2:$M$368,G956,FALSE)*L956</f>
        <v>0.43333333333333302</v>
      </c>
      <c r="K956" s="100">
        <f ca="1">HLOOKUP($H$4,'Met Data'!$O$2:$T$368,G956,FALSE)</f>
        <v>4.0765351917680999</v>
      </c>
      <c r="L956">
        <f t="shared" ca="1" si="151"/>
        <v>1</v>
      </c>
      <c r="N956" t="e">
        <f t="shared" ca="1" si="152"/>
        <v>#N/A</v>
      </c>
      <c r="O956" t="e">
        <f t="shared" ca="1" si="153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4"/>
        <v>0</v>
      </c>
      <c r="AE956">
        <f t="shared" ca="1" si="155"/>
        <v>0</v>
      </c>
      <c r="AG956" s="65" t="e">
        <f t="shared" ca="1" si="156"/>
        <v>#N/A</v>
      </c>
      <c r="AH956" s="65" t="e">
        <f t="shared" ca="1" si="157"/>
        <v>#N/A</v>
      </c>
      <c r="AI956" s="3" t="e">
        <f t="shared" ca="1" si="158"/>
        <v>#N/A</v>
      </c>
    </row>
    <row r="957" spans="7:35" ht="15" thickBot="1" x14ac:dyDescent="0.35">
      <c r="G957" s="3">
        <f t="shared" ca="1" si="150"/>
        <v>8</v>
      </c>
      <c r="H957" s="99">
        <f t="shared" ca="1" si="149"/>
        <v>46029</v>
      </c>
      <c r="I957" s="123">
        <f ca="1">HLOOKUP($H$4,'Met Data'!$A$2:$F$368,G957,FALSE)</f>
        <v>17.004166666666599</v>
      </c>
      <c r="J957" s="121">
        <f ca="1">HLOOKUP($H$4,'Met Data'!$H$2:$M$368,G957,FALSE)*L957</f>
        <v>2.7833333333333301</v>
      </c>
      <c r="K957" s="100">
        <f ca="1">HLOOKUP($H$4,'Met Data'!$O$2:$T$368,G957,FALSE)</f>
        <v>3.5869881049730998</v>
      </c>
      <c r="L957">
        <f t="shared" ca="1" si="151"/>
        <v>1</v>
      </c>
      <c r="N957" t="e">
        <f t="shared" ca="1" si="152"/>
        <v>#N/A</v>
      </c>
      <c r="O957" t="e">
        <f t="shared" ca="1" si="153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4"/>
        <v>0</v>
      </c>
      <c r="AE957">
        <f t="shared" ca="1" si="155"/>
        <v>0</v>
      </c>
      <c r="AG957" s="65" t="e">
        <f t="shared" ca="1" si="156"/>
        <v>#N/A</v>
      </c>
      <c r="AH957" s="65" t="e">
        <f t="shared" ca="1" si="157"/>
        <v>#N/A</v>
      </c>
      <c r="AI957" s="3" t="e">
        <f t="shared" ca="1" si="158"/>
        <v>#N/A</v>
      </c>
    </row>
    <row r="958" spans="7:35" ht="15" thickBot="1" x14ac:dyDescent="0.35">
      <c r="G958" s="3">
        <f t="shared" ca="1" si="150"/>
        <v>9</v>
      </c>
      <c r="H958" s="99">
        <f t="shared" ca="1" si="149"/>
        <v>46030</v>
      </c>
      <c r="I958" s="123">
        <f ca="1">HLOOKUP($H$4,'Met Data'!$A$2:$F$368,G958,FALSE)</f>
        <v>17.433333333333302</v>
      </c>
      <c r="J958" s="121">
        <f ca="1">HLOOKUP($H$4,'Met Data'!$H$2:$M$368,G958,FALSE)*L958</f>
        <v>2.3833333333333302</v>
      </c>
      <c r="K958" s="100">
        <f ca="1">HLOOKUP($H$4,'Met Data'!$O$2:$T$368,G958,FALSE)</f>
        <v>4.2605807421289903</v>
      </c>
      <c r="L958">
        <f t="shared" ca="1" si="151"/>
        <v>1</v>
      </c>
      <c r="N958" t="e">
        <f t="shared" ca="1" si="152"/>
        <v>#N/A</v>
      </c>
      <c r="O958" t="e">
        <f t="shared" ca="1" si="153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4"/>
        <v>0</v>
      </c>
      <c r="AE958">
        <f t="shared" ca="1" si="155"/>
        <v>0</v>
      </c>
      <c r="AG958" s="65" t="e">
        <f t="shared" ca="1" si="156"/>
        <v>#N/A</v>
      </c>
      <c r="AH958" s="65" t="e">
        <f t="shared" ca="1" si="157"/>
        <v>#N/A</v>
      </c>
      <c r="AI958" s="3" t="e">
        <f t="shared" ca="1" si="158"/>
        <v>#N/A</v>
      </c>
    </row>
    <row r="959" spans="7:35" ht="15" thickBot="1" x14ac:dyDescent="0.35">
      <c r="G959" s="3">
        <f t="shared" ca="1" si="150"/>
        <v>10</v>
      </c>
      <c r="H959" s="99">
        <f t="shared" ca="1" si="149"/>
        <v>46031</v>
      </c>
      <c r="I959" s="123">
        <f ca="1">HLOOKUP($H$4,'Met Data'!$A$2:$F$368,G959,FALSE)</f>
        <v>17.0208333333333</v>
      </c>
      <c r="J959" s="121">
        <f ca="1">HLOOKUP($H$4,'Met Data'!$H$2:$M$368,G959,FALSE)*L959</f>
        <v>0.3</v>
      </c>
      <c r="K959" s="100">
        <f ca="1">HLOOKUP($H$4,'Met Data'!$O$2:$T$368,G959,FALSE)</f>
        <v>4.14669035003873</v>
      </c>
      <c r="L959">
        <f t="shared" ca="1" si="151"/>
        <v>1</v>
      </c>
      <c r="N959" t="e">
        <f t="shared" ca="1" si="152"/>
        <v>#N/A</v>
      </c>
      <c r="O959" t="e">
        <f t="shared" ca="1" si="153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4"/>
        <v>0</v>
      </c>
      <c r="AE959">
        <f t="shared" ca="1" si="155"/>
        <v>0</v>
      </c>
      <c r="AG959" s="65" t="e">
        <f t="shared" ca="1" si="156"/>
        <v>#N/A</v>
      </c>
      <c r="AH959" s="65" t="e">
        <f t="shared" ca="1" si="157"/>
        <v>#N/A</v>
      </c>
      <c r="AI959" s="3" t="e">
        <f t="shared" ca="1" si="158"/>
        <v>#N/A</v>
      </c>
    </row>
    <row r="960" spans="7:35" ht="15" thickBot="1" x14ac:dyDescent="0.35">
      <c r="G960" s="3">
        <f t="shared" ca="1" si="150"/>
        <v>11</v>
      </c>
      <c r="H960" s="99">
        <f t="shared" ca="1" si="149"/>
        <v>46032</v>
      </c>
      <c r="I960" s="123">
        <f ca="1">HLOOKUP($H$4,'Met Data'!$A$2:$F$368,G960,FALSE)</f>
        <v>17.6041666666666</v>
      </c>
      <c r="J960" s="121">
        <f ca="1">HLOOKUP($H$4,'Met Data'!$H$2:$M$368,G960,FALSE)*L960</f>
        <v>0.88333333333333297</v>
      </c>
      <c r="K960" s="100">
        <f ca="1">HLOOKUP($H$4,'Met Data'!$O$2:$T$368,G960,FALSE)</f>
        <v>3.4815515936566799</v>
      </c>
      <c r="L960">
        <f t="shared" ca="1" si="151"/>
        <v>1</v>
      </c>
      <c r="N960" t="e">
        <f t="shared" ca="1" si="152"/>
        <v>#N/A</v>
      </c>
      <c r="O960" t="e">
        <f t="shared" ca="1" si="153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4"/>
        <v>0</v>
      </c>
      <c r="AE960">
        <f t="shared" ca="1" si="155"/>
        <v>0</v>
      </c>
      <c r="AG960" s="65" t="e">
        <f t="shared" ca="1" si="156"/>
        <v>#N/A</v>
      </c>
      <c r="AH960" s="65" t="e">
        <f t="shared" ca="1" si="157"/>
        <v>#N/A</v>
      </c>
      <c r="AI960" s="3" t="e">
        <f t="shared" ca="1" si="158"/>
        <v>#N/A</v>
      </c>
    </row>
    <row r="961" spans="7:35" ht="15" thickBot="1" x14ac:dyDescent="0.35">
      <c r="G961" s="3">
        <f t="shared" ca="1" si="150"/>
        <v>12</v>
      </c>
      <c r="H961" s="99">
        <f t="shared" ca="1" si="149"/>
        <v>46033</v>
      </c>
      <c r="I961" s="123">
        <f ca="1">HLOOKUP($H$4,'Met Data'!$A$2:$F$368,G961,FALSE)</f>
        <v>17.654166666666601</v>
      </c>
      <c r="J961" s="121">
        <f ca="1">HLOOKUP($H$4,'Met Data'!$H$2:$M$368,G961,FALSE)*L961</f>
        <v>0.33333333333333298</v>
      </c>
      <c r="K961" s="100">
        <f ca="1">HLOOKUP($H$4,'Met Data'!$O$2:$T$368,G961,FALSE)</f>
        <v>4.1035718910061201</v>
      </c>
      <c r="L961">
        <f t="shared" ca="1" si="151"/>
        <v>1</v>
      </c>
      <c r="N961" t="e">
        <f t="shared" ca="1" si="152"/>
        <v>#N/A</v>
      </c>
      <c r="O961" t="e">
        <f t="shared" ca="1" si="153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4"/>
        <v>0</v>
      </c>
      <c r="AE961">
        <f t="shared" ca="1" si="155"/>
        <v>0</v>
      </c>
      <c r="AG961" s="65" t="e">
        <f t="shared" ca="1" si="156"/>
        <v>#N/A</v>
      </c>
      <c r="AH961" s="65" t="e">
        <f t="shared" ca="1" si="157"/>
        <v>#N/A</v>
      </c>
      <c r="AI961" s="3" t="e">
        <f t="shared" ca="1" si="158"/>
        <v>#N/A</v>
      </c>
    </row>
    <row r="962" spans="7:35" ht="15" thickBot="1" x14ac:dyDescent="0.35">
      <c r="G962" s="3">
        <f t="shared" ca="1" si="150"/>
        <v>13</v>
      </c>
      <c r="H962" s="99">
        <f t="shared" ca="1" si="149"/>
        <v>46034</v>
      </c>
      <c r="I962" s="123">
        <f ca="1">HLOOKUP($H$4,'Met Data'!$A$2:$F$368,G962,FALSE)</f>
        <v>18.175000000000001</v>
      </c>
      <c r="J962" s="121">
        <f ca="1">HLOOKUP($H$4,'Met Data'!$H$2:$M$368,G962,FALSE)*L962</f>
        <v>0.96666666666666601</v>
      </c>
      <c r="K962" s="100">
        <f ca="1">HLOOKUP($H$4,'Met Data'!$O$2:$T$368,G962,FALSE)</f>
        <v>3.7942004669494902</v>
      </c>
      <c r="L962">
        <f t="shared" ca="1" si="151"/>
        <v>1</v>
      </c>
      <c r="N962" t="e">
        <f t="shared" ca="1" si="152"/>
        <v>#N/A</v>
      </c>
      <c r="O962" t="e">
        <f t="shared" ca="1" si="153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4"/>
        <v>0</v>
      </c>
      <c r="AE962">
        <f t="shared" ca="1" si="155"/>
        <v>0</v>
      </c>
      <c r="AG962" s="65" t="e">
        <f t="shared" ca="1" si="156"/>
        <v>#N/A</v>
      </c>
      <c r="AH962" s="65" t="e">
        <f t="shared" ca="1" si="157"/>
        <v>#N/A</v>
      </c>
      <c r="AI962" s="3" t="e">
        <f t="shared" ca="1" si="158"/>
        <v>#N/A</v>
      </c>
    </row>
    <row r="963" spans="7:35" ht="15" thickBot="1" x14ac:dyDescent="0.35">
      <c r="G963" s="3">
        <f t="shared" ca="1" si="150"/>
        <v>14</v>
      </c>
      <c r="H963" s="99">
        <f t="shared" ca="1" si="149"/>
        <v>46035</v>
      </c>
      <c r="I963" s="123">
        <f ca="1">HLOOKUP($H$4,'Met Data'!$A$2:$F$368,G963,FALSE)</f>
        <v>17.883333333333301</v>
      </c>
      <c r="J963" s="121">
        <f ca="1">HLOOKUP($H$4,'Met Data'!$H$2:$M$368,G963,FALSE)*L963</f>
        <v>3.0333333333333301</v>
      </c>
      <c r="K963" s="100">
        <f ca="1">HLOOKUP($H$4,'Met Data'!$O$2:$T$368,G963,FALSE)</f>
        <v>3.9941259720520699</v>
      </c>
      <c r="L963">
        <f t="shared" ca="1" si="151"/>
        <v>1</v>
      </c>
      <c r="N963" t="e">
        <f t="shared" ca="1" si="152"/>
        <v>#N/A</v>
      </c>
      <c r="O963" t="e">
        <f t="shared" ca="1" si="153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4"/>
        <v>0</v>
      </c>
      <c r="AE963">
        <f t="shared" ca="1" si="155"/>
        <v>0</v>
      </c>
      <c r="AG963" s="65" t="e">
        <f t="shared" ca="1" si="156"/>
        <v>#N/A</v>
      </c>
      <c r="AH963" s="65" t="e">
        <f t="shared" ca="1" si="157"/>
        <v>#N/A</v>
      </c>
      <c r="AI963" s="3" t="e">
        <f t="shared" ca="1" si="158"/>
        <v>#N/A</v>
      </c>
    </row>
    <row r="964" spans="7:35" ht="15" thickBot="1" x14ac:dyDescent="0.35">
      <c r="G964" s="3">
        <f t="shared" ca="1" si="150"/>
        <v>15</v>
      </c>
      <c r="H964" s="99">
        <f t="shared" ca="1" si="149"/>
        <v>46036</v>
      </c>
      <c r="I964" s="123">
        <f ca="1">HLOOKUP($H$4,'Met Data'!$A$2:$F$368,G964,FALSE)</f>
        <v>17.279166666666601</v>
      </c>
      <c r="J964" s="121">
        <f ca="1">HLOOKUP($H$4,'Met Data'!$H$2:$M$368,G964,FALSE)*L964</f>
        <v>2.8833333333333302</v>
      </c>
      <c r="K964" s="100">
        <f ca="1">HLOOKUP($H$4,'Met Data'!$O$2:$T$368,G964,FALSE)</f>
        <v>4.3919546564694203</v>
      </c>
      <c r="L964">
        <f t="shared" ca="1" si="151"/>
        <v>1</v>
      </c>
      <c r="N964" t="e">
        <f t="shared" ca="1" si="152"/>
        <v>#N/A</v>
      </c>
      <c r="O964" t="e">
        <f t="shared" ca="1" si="153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4"/>
        <v>0</v>
      </c>
      <c r="AE964">
        <f t="shared" ca="1" si="155"/>
        <v>0</v>
      </c>
      <c r="AG964" s="65" t="e">
        <f t="shared" ca="1" si="156"/>
        <v>#N/A</v>
      </c>
      <c r="AH964" s="65" t="e">
        <f t="shared" ca="1" si="157"/>
        <v>#N/A</v>
      </c>
      <c r="AI964" s="3" t="e">
        <f t="shared" ca="1" si="158"/>
        <v>#N/A</v>
      </c>
    </row>
    <row r="965" spans="7:35" ht="15" thickBot="1" x14ac:dyDescent="0.35">
      <c r="G965" s="3">
        <f t="shared" ca="1" si="150"/>
        <v>16</v>
      </c>
      <c r="H965" s="99">
        <f t="shared" ca="1" si="149"/>
        <v>46037</v>
      </c>
      <c r="I965" s="123">
        <f ca="1">HLOOKUP($H$4,'Met Data'!$A$2:$F$368,G965,FALSE)</f>
        <v>17.5208333333333</v>
      </c>
      <c r="J965" s="121">
        <f ca="1">HLOOKUP($H$4,'Met Data'!$H$2:$M$368,G965,FALSE)*L965</f>
        <v>2.5833333333333299</v>
      </c>
      <c r="K965" s="100">
        <f ca="1">HLOOKUP($H$4,'Met Data'!$O$2:$T$368,G965,FALSE)</f>
        <v>4.2128718222508397</v>
      </c>
      <c r="L965">
        <f t="shared" ca="1" si="151"/>
        <v>1</v>
      </c>
      <c r="N965" t="e">
        <f t="shared" ca="1" si="152"/>
        <v>#N/A</v>
      </c>
      <c r="O965" t="e">
        <f t="shared" ca="1" si="153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4"/>
        <v>0</v>
      </c>
      <c r="AE965">
        <f t="shared" ca="1" si="155"/>
        <v>0</v>
      </c>
      <c r="AG965" s="65" t="e">
        <f t="shared" ca="1" si="156"/>
        <v>#N/A</v>
      </c>
      <c r="AH965" s="65" t="e">
        <f t="shared" ca="1" si="157"/>
        <v>#N/A</v>
      </c>
      <c r="AI965" s="3" t="e">
        <f t="shared" ca="1" si="158"/>
        <v>#N/A</v>
      </c>
    </row>
    <row r="966" spans="7:35" ht="15" thickBot="1" x14ac:dyDescent="0.35">
      <c r="G966" s="3">
        <f t="shared" ca="1" si="150"/>
        <v>17</v>
      </c>
      <c r="H966" s="99">
        <f t="shared" ca="1" si="149"/>
        <v>46038</v>
      </c>
      <c r="I966" s="123">
        <f ca="1">HLOOKUP($H$4,'Met Data'!$A$2:$F$368,G966,FALSE)</f>
        <v>17.970833333333299</v>
      </c>
      <c r="J966" s="121">
        <f ca="1">HLOOKUP($H$4,'Met Data'!$H$2:$M$368,G966,FALSE)*L966</f>
        <v>0.266666666666666</v>
      </c>
      <c r="K966" s="100">
        <f ca="1">HLOOKUP($H$4,'Met Data'!$O$2:$T$368,G966,FALSE)</f>
        <v>4.0252286180437302</v>
      </c>
      <c r="L966">
        <f t="shared" ca="1" si="151"/>
        <v>1</v>
      </c>
      <c r="N966" t="e">
        <f t="shared" ca="1" si="152"/>
        <v>#N/A</v>
      </c>
      <c r="O966" t="e">
        <f t="shared" ca="1" si="153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4"/>
        <v>0</v>
      </c>
      <c r="AE966">
        <f t="shared" ca="1" si="155"/>
        <v>0</v>
      </c>
      <c r="AG966" s="65" t="e">
        <f t="shared" ca="1" si="156"/>
        <v>#N/A</v>
      </c>
      <c r="AH966" s="65" t="e">
        <f t="shared" ca="1" si="157"/>
        <v>#N/A</v>
      </c>
      <c r="AI966" s="3" t="e">
        <f t="shared" ca="1" si="158"/>
        <v>#N/A</v>
      </c>
    </row>
    <row r="967" spans="7:35" ht="15" thickBot="1" x14ac:dyDescent="0.35">
      <c r="G967" s="3">
        <f t="shared" ca="1" si="150"/>
        <v>18</v>
      </c>
      <c r="H967" s="99">
        <f t="shared" ca="1" si="149"/>
        <v>46039</v>
      </c>
      <c r="I967" s="123">
        <f ca="1">HLOOKUP($H$4,'Met Data'!$A$2:$F$368,G967,FALSE)</f>
        <v>18.2708333333333</v>
      </c>
      <c r="J967" s="121">
        <f ca="1">HLOOKUP($H$4,'Met Data'!$H$2:$M$368,G967,FALSE)*L967</f>
        <v>1.81666666666666</v>
      </c>
      <c r="K967" s="100">
        <f ca="1">HLOOKUP($H$4,'Met Data'!$O$2:$T$368,G967,FALSE)</f>
        <v>4.3125410240098896</v>
      </c>
      <c r="L967">
        <f t="shared" ca="1" si="151"/>
        <v>1</v>
      </c>
      <c r="N967" t="e">
        <f t="shared" ca="1" si="152"/>
        <v>#N/A</v>
      </c>
      <c r="O967" t="e">
        <f t="shared" ca="1" si="153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4"/>
        <v>0</v>
      </c>
      <c r="AE967">
        <f t="shared" ca="1" si="155"/>
        <v>0</v>
      </c>
      <c r="AG967" s="65" t="e">
        <f t="shared" ca="1" si="156"/>
        <v>#N/A</v>
      </c>
      <c r="AH967" s="65" t="e">
        <f t="shared" ca="1" si="157"/>
        <v>#N/A</v>
      </c>
      <c r="AI967" s="3" t="e">
        <f t="shared" ca="1" si="158"/>
        <v>#N/A</v>
      </c>
    </row>
    <row r="968" spans="7:35" ht="15" thickBot="1" x14ac:dyDescent="0.35">
      <c r="G968" s="3">
        <f t="shared" ca="1" si="150"/>
        <v>19</v>
      </c>
      <c r="H968" s="99">
        <f t="shared" ref="H968:H999" ca="1" si="159">H967+1</f>
        <v>46040</v>
      </c>
      <c r="I968" s="123">
        <f ca="1">HLOOKUP($H$4,'Met Data'!$A$2:$F$368,G968,FALSE)</f>
        <v>17.954166666666602</v>
      </c>
      <c r="J968" s="121">
        <f ca="1">HLOOKUP($H$4,'Met Data'!$H$2:$M$368,G968,FALSE)*L968</f>
        <v>4.1499999999999897</v>
      </c>
      <c r="K968" s="100">
        <f ca="1">HLOOKUP($H$4,'Met Data'!$O$2:$T$368,G968,FALSE)</f>
        <v>3.9046074195490301</v>
      </c>
      <c r="L968">
        <f t="shared" ca="1" si="151"/>
        <v>1</v>
      </c>
      <c r="N968" t="e">
        <f t="shared" ca="1" si="152"/>
        <v>#N/A</v>
      </c>
      <c r="O968" t="e">
        <f t="shared" ca="1" si="153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4"/>
        <v>0</v>
      </c>
      <c r="AE968">
        <f t="shared" ca="1" si="155"/>
        <v>0</v>
      </c>
      <c r="AG968" s="65" t="e">
        <f t="shared" ca="1" si="156"/>
        <v>#N/A</v>
      </c>
      <c r="AH968" s="65" t="e">
        <f t="shared" ca="1" si="157"/>
        <v>#N/A</v>
      </c>
      <c r="AI968" s="3" t="e">
        <f t="shared" ca="1" si="158"/>
        <v>#N/A</v>
      </c>
    </row>
    <row r="969" spans="7:35" ht="15" thickBot="1" x14ac:dyDescent="0.35">
      <c r="G969" s="3">
        <f t="shared" ca="1" si="150"/>
        <v>20</v>
      </c>
      <c r="H969" s="99">
        <f t="shared" ca="1" si="159"/>
        <v>46041</v>
      </c>
      <c r="I969" s="123">
        <f ca="1">HLOOKUP($H$4,'Met Data'!$A$2:$F$368,G969,FALSE)</f>
        <v>18.454166666666602</v>
      </c>
      <c r="J969" s="121">
        <f ca="1">HLOOKUP($H$4,'Met Data'!$H$2:$M$368,G969,FALSE)*L969</f>
        <v>2.5166666666666599</v>
      </c>
      <c r="K969" s="100">
        <f ca="1">HLOOKUP($H$4,'Met Data'!$O$2:$T$368,G969,FALSE)</f>
        <v>4.0894627552594898</v>
      </c>
      <c r="L969">
        <f t="shared" ca="1" si="151"/>
        <v>1</v>
      </c>
      <c r="N969" t="e">
        <f t="shared" ca="1" si="152"/>
        <v>#N/A</v>
      </c>
      <c r="O969" t="e">
        <f t="shared" ca="1" si="153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4"/>
        <v>0</v>
      </c>
      <c r="AE969">
        <f t="shared" ca="1" si="155"/>
        <v>0</v>
      </c>
      <c r="AG969" s="65" t="e">
        <f t="shared" ca="1" si="156"/>
        <v>#N/A</v>
      </c>
      <c r="AH969" s="65" t="e">
        <f t="shared" ca="1" si="157"/>
        <v>#N/A</v>
      </c>
      <c r="AI969" s="3" t="e">
        <f t="shared" ca="1" si="158"/>
        <v>#N/A</v>
      </c>
    </row>
    <row r="970" spans="7:35" ht="15" thickBot="1" x14ac:dyDescent="0.35">
      <c r="G970" s="3">
        <f t="shared" ca="1" si="150"/>
        <v>21</v>
      </c>
      <c r="H970" s="99">
        <f t="shared" ca="1" si="159"/>
        <v>46042</v>
      </c>
      <c r="I970" s="123">
        <f ca="1">HLOOKUP($H$4,'Met Data'!$A$2:$F$368,G970,FALSE)</f>
        <v>18.125</v>
      </c>
      <c r="J970" s="121">
        <f ca="1">HLOOKUP($H$4,'Met Data'!$H$2:$M$368,G970,FALSE)*L970</f>
        <v>3.3333333333333299</v>
      </c>
      <c r="K970" s="100">
        <f ca="1">HLOOKUP($H$4,'Met Data'!$O$2:$T$368,G970,FALSE)</f>
        <v>4.4627747616983804</v>
      </c>
      <c r="L970">
        <f t="shared" ca="1" si="151"/>
        <v>1</v>
      </c>
      <c r="N970" t="e">
        <f t="shared" ca="1" si="152"/>
        <v>#N/A</v>
      </c>
      <c r="O970" t="e">
        <f t="shared" ca="1" si="153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4"/>
        <v>0</v>
      </c>
      <c r="AE970">
        <f t="shared" ca="1" si="155"/>
        <v>0</v>
      </c>
      <c r="AG970" s="65" t="e">
        <f t="shared" ca="1" si="156"/>
        <v>#N/A</v>
      </c>
      <c r="AH970" s="65" t="e">
        <f t="shared" ca="1" si="157"/>
        <v>#N/A</v>
      </c>
      <c r="AI970" s="3" t="e">
        <f t="shared" ca="1" si="158"/>
        <v>#N/A</v>
      </c>
    </row>
    <row r="971" spans="7:35" ht="15" thickBot="1" x14ac:dyDescent="0.35">
      <c r="G971" s="3">
        <f t="shared" ca="1" si="150"/>
        <v>22</v>
      </c>
      <c r="H971" s="99">
        <f t="shared" ca="1" si="159"/>
        <v>46043</v>
      </c>
      <c r="I971" s="123">
        <f ca="1">HLOOKUP($H$4,'Met Data'!$A$2:$F$368,G971,FALSE)</f>
        <v>17.6791666666666</v>
      </c>
      <c r="J971" s="121">
        <f ca="1">HLOOKUP($H$4,'Met Data'!$H$2:$M$368,G971,FALSE)*L971</f>
        <v>2.4</v>
      </c>
      <c r="K971" s="100">
        <f ca="1">HLOOKUP($H$4,'Met Data'!$O$2:$T$368,G971,FALSE)</f>
        <v>3.8954755691343999</v>
      </c>
      <c r="L971">
        <f t="shared" ca="1" si="151"/>
        <v>1</v>
      </c>
      <c r="N971" t="e">
        <f t="shared" ca="1" si="152"/>
        <v>#N/A</v>
      </c>
      <c r="O971" t="e">
        <f t="shared" ca="1" si="153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4"/>
        <v>0</v>
      </c>
      <c r="AE971">
        <f t="shared" ca="1" si="155"/>
        <v>0</v>
      </c>
      <c r="AG971" s="65" t="e">
        <f t="shared" ca="1" si="156"/>
        <v>#N/A</v>
      </c>
      <c r="AH971" s="65" t="e">
        <f t="shared" ca="1" si="157"/>
        <v>#N/A</v>
      </c>
      <c r="AI971" s="3" t="e">
        <f t="shared" ca="1" si="158"/>
        <v>#N/A</v>
      </c>
    </row>
    <row r="972" spans="7:35" ht="15" thickBot="1" x14ac:dyDescent="0.35">
      <c r="G972" s="3">
        <f t="shared" ca="1" si="150"/>
        <v>23</v>
      </c>
      <c r="H972" s="99">
        <f t="shared" ca="1" si="159"/>
        <v>46044</v>
      </c>
      <c r="I972" s="123">
        <f ca="1">HLOOKUP($H$4,'Met Data'!$A$2:$F$368,G972,FALSE)</f>
        <v>17.350000000000001</v>
      </c>
      <c r="J972" s="121">
        <f ca="1">HLOOKUP($H$4,'Met Data'!$H$2:$M$368,G972,FALSE)*L972</f>
        <v>2.6333333333333302</v>
      </c>
      <c r="K972" s="100">
        <f ca="1">HLOOKUP($H$4,'Met Data'!$O$2:$T$368,G972,FALSE)</f>
        <v>3.2997711779398098</v>
      </c>
      <c r="L972">
        <f t="shared" ca="1" si="151"/>
        <v>1</v>
      </c>
      <c r="N972" t="e">
        <f t="shared" ca="1" si="152"/>
        <v>#N/A</v>
      </c>
      <c r="O972" t="e">
        <f t="shared" ca="1" si="153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4"/>
        <v>0</v>
      </c>
      <c r="AE972">
        <f t="shared" ca="1" si="155"/>
        <v>0</v>
      </c>
      <c r="AG972" s="65" t="e">
        <f t="shared" ca="1" si="156"/>
        <v>#N/A</v>
      </c>
      <c r="AH972" s="65" t="e">
        <f t="shared" ca="1" si="157"/>
        <v>#N/A</v>
      </c>
      <c r="AI972" s="3" t="e">
        <f t="shared" ca="1" si="158"/>
        <v>#N/A</v>
      </c>
    </row>
    <row r="973" spans="7:35" ht="15" thickBot="1" x14ac:dyDescent="0.35">
      <c r="G973" s="3">
        <f t="shared" ca="1" si="150"/>
        <v>24</v>
      </c>
      <c r="H973" s="99">
        <f t="shared" ca="1" si="159"/>
        <v>46045</v>
      </c>
      <c r="I973" s="123">
        <f ca="1">HLOOKUP($H$4,'Met Data'!$A$2:$F$368,G973,FALSE)</f>
        <v>17.504166666666599</v>
      </c>
      <c r="J973" s="121">
        <f ca="1">HLOOKUP($H$4,'Met Data'!$H$2:$M$368,G973,FALSE)*L973</f>
        <v>5.5166666666666604</v>
      </c>
      <c r="K973" s="100">
        <f ca="1">HLOOKUP($H$4,'Met Data'!$O$2:$T$368,G973,FALSE)</f>
        <v>3.46570930270954</v>
      </c>
      <c r="L973">
        <f t="shared" ca="1" si="151"/>
        <v>1</v>
      </c>
      <c r="N973" t="e">
        <f t="shared" ca="1" si="152"/>
        <v>#N/A</v>
      </c>
      <c r="O973" t="e">
        <f t="shared" ca="1" si="153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4"/>
        <v>0</v>
      </c>
      <c r="AE973">
        <f t="shared" ca="1" si="155"/>
        <v>0</v>
      </c>
      <c r="AG973" s="65" t="e">
        <f t="shared" ca="1" si="156"/>
        <v>#N/A</v>
      </c>
      <c r="AH973" s="65" t="e">
        <f t="shared" ca="1" si="157"/>
        <v>#N/A</v>
      </c>
      <c r="AI973" s="3" t="e">
        <f t="shared" ca="1" si="158"/>
        <v>#N/A</v>
      </c>
    </row>
    <row r="974" spans="7:35" ht="15" thickBot="1" x14ac:dyDescent="0.35">
      <c r="G974" s="3">
        <f t="shared" ca="1" si="150"/>
        <v>25</v>
      </c>
      <c r="H974" s="99">
        <f t="shared" ca="1" si="159"/>
        <v>46046</v>
      </c>
      <c r="I974" s="123">
        <f ca="1">HLOOKUP($H$4,'Met Data'!$A$2:$F$368,G974,FALSE)</f>
        <v>17.713636363636301</v>
      </c>
      <c r="J974" s="121">
        <f ca="1">HLOOKUP($H$4,'Met Data'!$H$2:$M$368,G974,FALSE)*L974</f>
        <v>1.3818181818181801</v>
      </c>
      <c r="K974" s="100">
        <f ca="1">HLOOKUP($H$4,'Met Data'!$O$2:$T$368,G974,FALSE)</f>
        <v>4.0186876239346203</v>
      </c>
      <c r="L974">
        <f t="shared" ca="1" si="151"/>
        <v>1</v>
      </c>
      <c r="N974" t="e">
        <f t="shared" ca="1" si="152"/>
        <v>#N/A</v>
      </c>
      <c r="O974" t="e">
        <f t="shared" ca="1" si="153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4"/>
        <v>0</v>
      </c>
      <c r="AE974">
        <f t="shared" ca="1" si="155"/>
        <v>0</v>
      </c>
      <c r="AG974" s="65" t="e">
        <f t="shared" ca="1" si="156"/>
        <v>#N/A</v>
      </c>
      <c r="AH974" s="65" t="e">
        <f t="shared" ca="1" si="157"/>
        <v>#N/A</v>
      </c>
      <c r="AI974" s="3" t="e">
        <f t="shared" ca="1" si="158"/>
        <v>#N/A</v>
      </c>
    </row>
    <row r="975" spans="7:35" ht="15" thickBot="1" x14ac:dyDescent="0.35">
      <c r="G975" s="3">
        <f t="shared" ca="1" si="150"/>
        <v>26</v>
      </c>
      <c r="H975" s="99">
        <f t="shared" ca="1" si="159"/>
        <v>46047</v>
      </c>
      <c r="I975" s="123">
        <f ca="1">HLOOKUP($H$4,'Met Data'!$A$2:$F$368,G975,FALSE)</f>
        <v>17.8541666666666</v>
      </c>
      <c r="J975" s="121">
        <f ca="1">HLOOKUP($H$4,'Met Data'!$H$2:$M$368,G975,FALSE)*L975</f>
        <v>0.46666666666666601</v>
      </c>
      <c r="K975" s="100">
        <f ca="1">HLOOKUP($H$4,'Met Data'!$O$2:$T$368,G975,FALSE)</f>
        <v>4.1496250953293998</v>
      </c>
      <c r="L975">
        <f t="shared" ca="1" si="151"/>
        <v>1</v>
      </c>
      <c r="N975" t="e">
        <f t="shared" ca="1" si="152"/>
        <v>#N/A</v>
      </c>
      <c r="O975" t="e">
        <f t="shared" ca="1" si="153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4"/>
        <v>0</v>
      </c>
      <c r="AE975">
        <f t="shared" ca="1" si="155"/>
        <v>0</v>
      </c>
      <c r="AG975" s="65" t="e">
        <f t="shared" ca="1" si="156"/>
        <v>#N/A</v>
      </c>
      <c r="AH975" s="65" t="e">
        <f t="shared" ca="1" si="157"/>
        <v>#N/A</v>
      </c>
      <c r="AI975" s="3" t="e">
        <f t="shared" ca="1" si="158"/>
        <v>#N/A</v>
      </c>
    </row>
    <row r="976" spans="7:35" ht="15" thickBot="1" x14ac:dyDescent="0.35">
      <c r="G976" s="3">
        <f t="shared" ca="1" si="150"/>
        <v>27</v>
      </c>
      <c r="H976" s="99">
        <f t="shared" ca="1" si="159"/>
        <v>46048</v>
      </c>
      <c r="I976" s="123">
        <f ca="1">HLOOKUP($H$4,'Met Data'!$A$2:$F$368,G976,FALSE)</f>
        <v>18.933333333333302</v>
      </c>
      <c r="J976" s="121">
        <f ca="1">HLOOKUP($H$4,'Met Data'!$H$2:$M$368,G976,FALSE)*L976</f>
        <v>1.8</v>
      </c>
      <c r="K976" s="100">
        <f ca="1">HLOOKUP($H$4,'Met Data'!$O$2:$T$368,G976,FALSE)</f>
        <v>4.1034832888531598</v>
      </c>
      <c r="L976">
        <f t="shared" ca="1" si="151"/>
        <v>1</v>
      </c>
      <c r="N976" t="e">
        <f t="shared" ca="1" si="152"/>
        <v>#N/A</v>
      </c>
      <c r="O976" t="e">
        <f t="shared" ca="1" si="153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4"/>
        <v>0</v>
      </c>
      <c r="AE976">
        <f t="shared" ca="1" si="155"/>
        <v>0</v>
      </c>
      <c r="AG976" s="65" t="e">
        <f t="shared" ca="1" si="156"/>
        <v>#N/A</v>
      </c>
      <c r="AH976" s="65" t="e">
        <f t="shared" ca="1" si="157"/>
        <v>#N/A</v>
      </c>
      <c r="AI976" s="3" t="e">
        <f t="shared" ca="1" si="158"/>
        <v>#N/A</v>
      </c>
    </row>
    <row r="977" spans="7:35" ht="15" thickBot="1" x14ac:dyDescent="0.35">
      <c r="G977" s="3">
        <f t="shared" ca="1" si="150"/>
        <v>28</v>
      </c>
      <c r="H977" s="99">
        <f t="shared" ca="1" si="159"/>
        <v>46049</v>
      </c>
      <c r="I977" s="123">
        <f ca="1">HLOOKUP($H$4,'Met Data'!$A$2:$F$368,G977,FALSE)</f>
        <v>18.524999999999999</v>
      </c>
      <c r="J977" s="121">
        <f ca="1">HLOOKUP($H$4,'Met Data'!$H$2:$M$368,G977,FALSE)*L977</f>
        <v>4.2166666666666597</v>
      </c>
      <c r="K977" s="100">
        <f ca="1">HLOOKUP($H$4,'Met Data'!$O$2:$T$368,G977,FALSE)</f>
        <v>3.2920480795367801</v>
      </c>
      <c r="L977">
        <f t="shared" ca="1" si="151"/>
        <v>1</v>
      </c>
      <c r="N977" t="e">
        <f t="shared" ca="1" si="152"/>
        <v>#N/A</v>
      </c>
      <c r="O977" t="e">
        <f t="shared" ca="1" si="153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4"/>
        <v>0</v>
      </c>
      <c r="AE977">
        <f t="shared" ca="1" si="155"/>
        <v>0</v>
      </c>
      <c r="AG977" s="65" t="e">
        <f t="shared" ca="1" si="156"/>
        <v>#N/A</v>
      </c>
      <c r="AH977" s="65" t="e">
        <f t="shared" ca="1" si="157"/>
        <v>#N/A</v>
      </c>
      <c r="AI977" s="3" t="e">
        <f t="shared" ca="1" si="158"/>
        <v>#N/A</v>
      </c>
    </row>
    <row r="978" spans="7:35" ht="15" thickBot="1" x14ac:dyDescent="0.35">
      <c r="G978" s="3">
        <f t="shared" ca="1" si="150"/>
        <v>29</v>
      </c>
      <c r="H978" s="99">
        <f t="shared" ca="1" si="159"/>
        <v>46050</v>
      </c>
      <c r="I978" s="123">
        <f ca="1">HLOOKUP($H$4,'Met Data'!$A$2:$F$368,G978,FALSE)</f>
        <v>18.283333333333299</v>
      </c>
      <c r="J978" s="121">
        <f ca="1">HLOOKUP($H$4,'Met Data'!$H$2:$M$368,G978,FALSE)*L978</f>
        <v>0.96666666666666601</v>
      </c>
      <c r="K978" s="100">
        <f ca="1">HLOOKUP($H$4,'Met Data'!$O$2:$T$368,G978,FALSE)</f>
        <v>3.7580315328576899</v>
      </c>
      <c r="L978">
        <f t="shared" ca="1" si="151"/>
        <v>1</v>
      </c>
      <c r="N978" t="e">
        <f t="shared" ca="1" si="152"/>
        <v>#N/A</v>
      </c>
      <c r="O978" t="e">
        <f t="shared" ca="1" si="153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4"/>
        <v>0</v>
      </c>
      <c r="AE978">
        <f t="shared" ca="1" si="155"/>
        <v>0</v>
      </c>
      <c r="AG978" s="65" t="e">
        <f t="shared" ca="1" si="156"/>
        <v>#N/A</v>
      </c>
      <c r="AH978" s="65" t="e">
        <f t="shared" ca="1" si="157"/>
        <v>#N/A</v>
      </c>
      <c r="AI978" s="3" t="e">
        <f t="shared" ca="1" si="158"/>
        <v>#N/A</v>
      </c>
    </row>
    <row r="979" spans="7:35" ht="15" thickBot="1" x14ac:dyDescent="0.35">
      <c r="G979" s="3">
        <f t="shared" ca="1" si="150"/>
        <v>30</v>
      </c>
      <c r="H979" s="99">
        <f t="shared" ca="1" si="159"/>
        <v>46051</v>
      </c>
      <c r="I979" s="123">
        <f ca="1">HLOOKUP($H$4,'Met Data'!$A$2:$F$368,G979,FALSE)</f>
        <v>18.95</v>
      </c>
      <c r="J979" s="121">
        <f ca="1">HLOOKUP($H$4,'Met Data'!$H$2:$M$368,G979,FALSE)*L979</f>
        <v>0.233333333333333</v>
      </c>
      <c r="K979" s="100">
        <f ca="1">HLOOKUP($H$4,'Met Data'!$O$2:$T$368,G979,FALSE)</f>
        <v>4.4825712398856101</v>
      </c>
      <c r="L979">
        <f t="shared" ca="1" si="151"/>
        <v>1</v>
      </c>
      <c r="N979" t="e">
        <f t="shared" ca="1" si="152"/>
        <v>#N/A</v>
      </c>
      <c r="O979" t="e">
        <f t="shared" ca="1" si="153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4"/>
        <v>0</v>
      </c>
      <c r="AE979">
        <f t="shared" ca="1" si="155"/>
        <v>0</v>
      </c>
      <c r="AG979" s="65" t="e">
        <f t="shared" ca="1" si="156"/>
        <v>#N/A</v>
      </c>
      <c r="AH979" s="65" t="e">
        <f t="shared" ca="1" si="157"/>
        <v>#N/A</v>
      </c>
      <c r="AI979" s="3" t="e">
        <f t="shared" ca="1" si="158"/>
        <v>#N/A</v>
      </c>
    </row>
    <row r="980" spans="7:35" ht="15" thickBot="1" x14ac:dyDescent="0.35">
      <c r="G980" s="3">
        <f t="shared" ca="1" si="150"/>
        <v>31</v>
      </c>
      <c r="H980" s="99">
        <f t="shared" ca="1" si="159"/>
        <v>46052</v>
      </c>
      <c r="I980" s="123">
        <f ca="1">HLOOKUP($H$4,'Met Data'!$A$2:$F$368,G980,FALSE)</f>
        <v>19.070833333333301</v>
      </c>
      <c r="J980" s="121">
        <f ca="1">HLOOKUP($H$4,'Met Data'!$H$2:$M$368,G980,FALSE)*L980</f>
        <v>1.45</v>
      </c>
      <c r="K980" s="100">
        <f ca="1">HLOOKUP($H$4,'Met Data'!$O$2:$T$368,G980,FALSE)</f>
        <v>4.1485395322845697</v>
      </c>
      <c r="L980">
        <f t="shared" ca="1" si="151"/>
        <v>1</v>
      </c>
      <c r="N980" t="e">
        <f t="shared" ca="1" si="152"/>
        <v>#N/A</v>
      </c>
      <c r="O980" t="e">
        <f t="shared" ca="1" si="153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4"/>
        <v>0</v>
      </c>
      <c r="AE980">
        <f t="shared" ca="1" si="155"/>
        <v>0</v>
      </c>
      <c r="AG980" s="65" t="e">
        <f t="shared" ca="1" si="156"/>
        <v>#N/A</v>
      </c>
      <c r="AH980" s="65" t="e">
        <f t="shared" ca="1" si="157"/>
        <v>#N/A</v>
      </c>
      <c r="AI980" s="3" t="e">
        <f t="shared" ca="1" si="158"/>
        <v>#N/A</v>
      </c>
    </row>
    <row r="981" spans="7:35" ht="15" thickBot="1" x14ac:dyDescent="0.35">
      <c r="G981" s="3">
        <f t="shared" ca="1" si="150"/>
        <v>32</v>
      </c>
      <c r="H981" s="99">
        <f t="shared" ca="1" si="159"/>
        <v>46053</v>
      </c>
      <c r="I981" s="123">
        <f ca="1">HLOOKUP($H$4,'Met Data'!$A$2:$F$368,G981,FALSE)</f>
        <v>18.716666666666601</v>
      </c>
      <c r="J981" s="121">
        <f ca="1">HLOOKUP($H$4,'Met Data'!$H$2:$M$368,G981,FALSE)*L981</f>
        <v>1.6666666666666601E-2</v>
      </c>
      <c r="K981" s="100">
        <f ca="1">HLOOKUP($H$4,'Met Data'!$O$2:$T$368,G981,FALSE)</f>
        <v>3.9002627778438899</v>
      </c>
      <c r="L981">
        <f t="shared" ca="1" si="151"/>
        <v>1</v>
      </c>
      <c r="N981" t="e">
        <f t="shared" ca="1" si="152"/>
        <v>#N/A</v>
      </c>
      <c r="O981" t="e">
        <f t="shared" ca="1" si="153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4"/>
        <v>0</v>
      </c>
      <c r="AE981">
        <f t="shared" ca="1" si="155"/>
        <v>0</v>
      </c>
      <c r="AG981" s="65" t="e">
        <f t="shared" ca="1" si="156"/>
        <v>#N/A</v>
      </c>
      <c r="AH981" s="65" t="e">
        <f t="shared" ca="1" si="157"/>
        <v>#N/A</v>
      </c>
      <c r="AI981" s="3" t="e">
        <f t="shared" ca="1" si="158"/>
        <v>#N/A</v>
      </c>
    </row>
    <row r="982" spans="7:35" ht="15" thickBot="1" x14ac:dyDescent="0.35">
      <c r="G982" s="3">
        <f t="shared" ca="1" si="150"/>
        <v>33</v>
      </c>
      <c r="H982" s="99">
        <f t="shared" ca="1" si="159"/>
        <v>46054</v>
      </c>
      <c r="I982" s="123">
        <f ca="1">HLOOKUP($H$4,'Met Data'!$A$2:$F$368,G982,FALSE)</f>
        <v>18.720833333333299</v>
      </c>
      <c r="J982" s="121">
        <f ca="1">HLOOKUP($H$4,'Met Data'!$H$2:$M$368,G982,FALSE)*L982</f>
        <v>5.1333333333333302</v>
      </c>
      <c r="K982" s="100">
        <f ca="1">HLOOKUP($H$4,'Met Data'!$O$2:$T$368,G982,FALSE)</f>
        <v>3.3425533464765702</v>
      </c>
      <c r="L982">
        <f t="shared" ca="1" si="151"/>
        <v>1</v>
      </c>
      <c r="N982" t="e">
        <f t="shared" ca="1" si="152"/>
        <v>#N/A</v>
      </c>
      <c r="O982" t="e">
        <f t="shared" ca="1" si="153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4"/>
        <v>0</v>
      </c>
      <c r="AE982">
        <f t="shared" ca="1" si="155"/>
        <v>0</v>
      </c>
      <c r="AG982" s="65" t="e">
        <f t="shared" ca="1" si="156"/>
        <v>#N/A</v>
      </c>
      <c r="AH982" s="65" t="e">
        <f t="shared" ca="1" si="157"/>
        <v>#N/A</v>
      </c>
      <c r="AI982" s="3" t="e">
        <f t="shared" ca="1" si="158"/>
        <v>#N/A</v>
      </c>
    </row>
    <row r="983" spans="7:35" ht="15" thickBot="1" x14ac:dyDescent="0.35">
      <c r="G983" s="3">
        <f t="shared" ca="1" si="150"/>
        <v>34</v>
      </c>
      <c r="H983" s="99">
        <f t="shared" ca="1" si="159"/>
        <v>46055</v>
      </c>
      <c r="I983" s="123">
        <f ca="1">HLOOKUP($H$4,'Met Data'!$A$2:$F$368,G983,FALSE)</f>
        <v>18.558333333333302</v>
      </c>
      <c r="J983" s="121">
        <f ca="1">HLOOKUP($H$4,'Met Data'!$H$2:$M$368,G983,FALSE)*L983</f>
        <v>5.1666666666666599</v>
      </c>
      <c r="K983" s="100">
        <f ca="1">HLOOKUP($H$4,'Met Data'!$O$2:$T$368,G983,FALSE)</f>
        <v>3.37031285883524</v>
      </c>
      <c r="L983">
        <f t="shared" ca="1" si="151"/>
        <v>1</v>
      </c>
      <c r="N983" t="e">
        <f t="shared" ca="1" si="152"/>
        <v>#N/A</v>
      </c>
      <c r="O983" t="e">
        <f t="shared" ca="1" si="153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4"/>
        <v>0</v>
      </c>
      <c r="AE983">
        <f t="shared" ca="1" si="155"/>
        <v>0</v>
      </c>
      <c r="AG983" s="65" t="e">
        <f t="shared" ca="1" si="156"/>
        <v>#N/A</v>
      </c>
      <c r="AH983" s="65" t="e">
        <f t="shared" ca="1" si="157"/>
        <v>#N/A</v>
      </c>
      <c r="AI983" s="3" t="e">
        <f t="shared" ca="1" si="158"/>
        <v>#N/A</v>
      </c>
    </row>
    <row r="984" spans="7:35" ht="15" thickBot="1" x14ac:dyDescent="0.35">
      <c r="G984" s="3">
        <f t="shared" ca="1" si="150"/>
        <v>35</v>
      </c>
      <c r="H984" s="99">
        <f t="shared" ca="1" si="159"/>
        <v>46056</v>
      </c>
      <c r="I984" s="123">
        <f ca="1">HLOOKUP($H$4,'Met Data'!$A$2:$F$368,G984,FALSE)</f>
        <v>18.841666666666601</v>
      </c>
      <c r="J984" s="121">
        <f ca="1">HLOOKUP($H$4,'Met Data'!$H$2:$M$368,G984,FALSE)*L984</f>
        <v>0.483333333333333</v>
      </c>
      <c r="K984" s="100">
        <f ca="1">HLOOKUP($H$4,'Met Data'!$O$2:$T$368,G984,FALSE)</f>
        <v>4.5373745966907704</v>
      </c>
      <c r="L984">
        <f t="shared" ca="1" si="151"/>
        <v>1</v>
      </c>
      <c r="N984" t="e">
        <f t="shared" ca="1" si="152"/>
        <v>#N/A</v>
      </c>
      <c r="O984" t="e">
        <f t="shared" ca="1" si="153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4"/>
        <v>0</v>
      </c>
      <c r="AE984">
        <f t="shared" ca="1" si="155"/>
        <v>0</v>
      </c>
      <c r="AG984" s="65" t="e">
        <f t="shared" ca="1" si="156"/>
        <v>#N/A</v>
      </c>
      <c r="AH984" s="65" t="e">
        <f t="shared" ca="1" si="157"/>
        <v>#N/A</v>
      </c>
      <c r="AI984" s="3" t="e">
        <f t="shared" ca="1" si="158"/>
        <v>#N/A</v>
      </c>
    </row>
    <row r="985" spans="7:35" ht="15" thickBot="1" x14ac:dyDescent="0.35">
      <c r="G985" s="3">
        <f t="shared" ca="1" si="150"/>
        <v>36</v>
      </c>
      <c r="H985" s="99">
        <f t="shared" ca="1" si="159"/>
        <v>46057</v>
      </c>
      <c r="I985" s="123">
        <f ca="1">HLOOKUP($H$4,'Met Data'!$A$2:$F$368,G985,FALSE)</f>
        <v>18.441666666666599</v>
      </c>
      <c r="J985" s="121">
        <f ca="1">HLOOKUP($H$4,'Met Data'!$H$2:$M$368,G985,FALSE)*L985</f>
        <v>4.8</v>
      </c>
      <c r="K985" s="100">
        <f ca="1">HLOOKUP($H$4,'Met Data'!$O$2:$T$368,G985,FALSE)</f>
        <v>3.5125215918157</v>
      </c>
      <c r="L985">
        <f t="shared" ca="1" si="151"/>
        <v>1</v>
      </c>
      <c r="N985" t="e">
        <f t="shared" ca="1" si="152"/>
        <v>#N/A</v>
      </c>
      <c r="O985" t="e">
        <f t="shared" ca="1" si="153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4"/>
        <v>0</v>
      </c>
      <c r="AE985">
        <f t="shared" ca="1" si="155"/>
        <v>0</v>
      </c>
      <c r="AG985" s="65" t="e">
        <f t="shared" ca="1" si="156"/>
        <v>#N/A</v>
      </c>
      <c r="AH985" s="65" t="e">
        <f t="shared" ca="1" si="157"/>
        <v>#N/A</v>
      </c>
      <c r="AI985" s="3" t="e">
        <f t="shared" ca="1" si="158"/>
        <v>#N/A</v>
      </c>
    </row>
    <row r="986" spans="7:35" ht="15" thickBot="1" x14ac:dyDescent="0.35">
      <c r="G986" s="3">
        <f t="shared" ca="1" si="150"/>
        <v>37</v>
      </c>
      <c r="H986" s="99">
        <f t="shared" ca="1" si="159"/>
        <v>46058</v>
      </c>
      <c r="I986" s="123">
        <f ca="1">HLOOKUP($H$4,'Met Data'!$A$2:$F$368,G986,FALSE)</f>
        <v>17.975000000000001</v>
      </c>
      <c r="J986" s="121">
        <f ca="1">HLOOKUP($H$4,'Met Data'!$H$2:$M$368,G986,FALSE)*L986</f>
        <v>2.0166666666666599</v>
      </c>
      <c r="K986" s="100">
        <f ca="1">HLOOKUP($H$4,'Met Data'!$O$2:$T$368,G986,FALSE)</f>
        <v>3.7922889429532498</v>
      </c>
      <c r="L986">
        <f t="shared" ca="1" si="151"/>
        <v>1</v>
      </c>
      <c r="N986" t="e">
        <f t="shared" ca="1" si="152"/>
        <v>#N/A</v>
      </c>
      <c r="O986" t="e">
        <f t="shared" ca="1" si="153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4"/>
        <v>0</v>
      </c>
      <c r="AE986">
        <f t="shared" ca="1" si="155"/>
        <v>0</v>
      </c>
      <c r="AG986" s="65" t="e">
        <f t="shared" ca="1" si="156"/>
        <v>#N/A</v>
      </c>
      <c r="AH986" s="65" t="e">
        <f t="shared" ca="1" si="157"/>
        <v>#N/A</v>
      </c>
      <c r="AI986" s="3" t="e">
        <f t="shared" ca="1" si="158"/>
        <v>#N/A</v>
      </c>
    </row>
    <row r="987" spans="7:35" ht="15" thickBot="1" x14ac:dyDescent="0.35">
      <c r="G987" s="3">
        <f t="shared" ca="1" si="150"/>
        <v>38</v>
      </c>
      <c r="H987" s="99">
        <f t="shared" ca="1" si="159"/>
        <v>46059</v>
      </c>
      <c r="I987" s="123">
        <f ca="1">HLOOKUP($H$4,'Met Data'!$A$2:$F$368,G987,FALSE)</f>
        <v>17.383333333333301</v>
      </c>
      <c r="J987" s="121">
        <f ca="1">HLOOKUP($H$4,'Met Data'!$H$2:$M$368,G987,FALSE)*L987</f>
        <v>0.15</v>
      </c>
      <c r="K987" s="100">
        <f ca="1">HLOOKUP($H$4,'Met Data'!$O$2:$T$368,G987,FALSE)</f>
        <v>3.67022287265541</v>
      </c>
      <c r="L987">
        <f t="shared" ca="1" si="151"/>
        <v>1</v>
      </c>
      <c r="N987" t="e">
        <f t="shared" ca="1" si="152"/>
        <v>#N/A</v>
      </c>
      <c r="O987" t="e">
        <f t="shared" ca="1" si="153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4"/>
        <v>0</v>
      </c>
      <c r="AE987">
        <f t="shared" ca="1" si="155"/>
        <v>0</v>
      </c>
      <c r="AG987" s="65" t="e">
        <f t="shared" ca="1" si="156"/>
        <v>#N/A</v>
      </c>
      <c r="AH987" s="65" t="e">
        <f t="shared" ca="1" si="157"/>
        <v>#N/A</v>
      </c>
      <c r="AI987" s="3" t="e">
        <f t="shared" ca="1" si="158"/>
        <v>#N/A</v>
      </c>
    </row>
    <row r="988" spans="7:35" ht="15" thickBot="1" x14ac:dyDescent="0.35">
      <c r="G988" s="3">
        <f t="shared" ca="1" si="150"/>
        <v>39</v>
      </c>
      <c r="H988" s="99">
        <f t="shared" ca="1" si="159"/>
        <v>46060</v>
      </c>
      <c r="I988" s="123">
        <f ca="1">HLOOKUP($H$4,'Met Data'!$A$2:$F$368,G988,FALSE)</f>
        <v>17.0416666666666</v>
      </c>
      <c r="J988" s="121">
        <f ca="1">HLOOKUP($H$4,'Met Data'!$H$2:$M$368,G988,FALSE)*L988</f>
        <v>3.0166666666666599</v>
      </c>
      <c r="K988" s="100">
        <f ca="1">HLOOKUP($H$4,'Met Data'!$O$2:$T$368,G988,FALSE)</f>
        <v>3.8754357428809398</v>
      </c>
      <c r="L988">
        <f t="shared" ca="1" si="151"/>
        <v>1</v>
      </c>
      <c r="N988" t="e">
        <f t="shared" ca="1" si="152"/>
        <v>#N/A</v>
      </c>
      <c r="O988" t="e">
        <f t="shared" ca="1" si="153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4"/>
        <v>0</v>
      </c>
      <c r="AE988">
        <f t="shared" ca="1" si="155"/>
        <v>0</v>
      </c>
      <c r="AG988" s="65" t="e">
        <f t="shared" ca="1" si="156"/>
        <v>#N/A</v>
      </c>
      <c r="AH988" s="65" t="e">
        <f t="shared" ca="1" si="157"/>
        <v>#N/A</v>
      </c>
      <c r="AI988" s="3" t="e">
        <f t="shared" ca="1" si="158"/>
        <v>#N/A</v>
      </c>
    </row>
    <row r="989" spans="7:35" ht="15" thickBot="1" x14ac:dyDescent="0.35">
      <c r="G989" s="3">
        <f t="shared" ca="1" si="150"/>
        <v>40</v>
      </c>
      <c r="H989" s="99">
        <f t="shared" ca="1" si="159"/>
        <v>46061</v>
      </c>
      <c r="I989" s="123">
        <f ca="1">HLOOKUP($H$4,'Met Data'!$A$2:$F$368,G989,FALSE)</f>
        <v>17.483333333333299</v>
      </c>
      <c r="J989" s="121">
        <f ca="1">HLOOKUP($H$4,'Met Data'!$H$2:$M$368,G989,FALSE)*L989</f>
        <v>2.69999999999999</v>
      </c>
      <c r="K989" s="100">
        <f ca="1">HLOOKUP($H$4,'Met Data'!$O$2:$T$368,G989,FALSE)</f>
        <v>3.8024866154372199</v>
      </c>
      <c r="L989">
        <f t="shared" ca="1" si="151"/>
        <v>1</v>
      </c>
      <c r="N989" t="e">
        <f t="shared" ca="1" si="152"/>
        <v>#N/A</v>
      </c>
      <c r="O989" t="e">
        <f t="shared" ca="1" si="153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4"/>
        <v>0</v>
      </c>
      <c r="AE989">
        <f t="shared" ca="1" si="155"/>
        <v>0</v>
      </c>
      <c r="AG989" s="65" t="e">
        <f t="shared" ca="1" si="156"/>
        <v>#N/A</v>
      </c>
      <c r="AH989" s="65" t="e">
        <f t="shared" ca="1" si="157"/>
        <v>#N/A</v>
      </c>
      <c r="AI989" s="3" t="e">
        <f t="shared" ca="1" si="158"/>
        <v>#N/A</v>
      </c>
    </row>
    <row r="990" spans="7:35" ht="15" thickBot="1" x14ac:dyDescent="0.35">
      <c r="G990" s="3">
        <f t="shared" ca="1" si="150"/>
        <v>41</v>
      </c>
      <c r="H990" s="99">
        <f t="shared" ca="1" si="159"/>
        <v>46062</v>
      </c>
      <c r="I990" s="123">
        <f ca="1">HLOOKUP($H$4,'Met Data'!$A$2:$F$368,G990,FALSE)</f>
        <v>17.5625</v>
      </c>
      <c r="J990" s="121">
        <f ca="1">HLOOKUP($H$4,'Met Data'!$H$2:$M$368,G990,FALSE)*L990</f>
        <v>0.51666666666666605</v>
      </c>
      <c r="K990" s="100">
        <f ca="1">HLOOKUP($H$4,'Met Data'!$O$2:$T$368,G990,FALSE)</f>
        <v>3.9226252937625699</v>
      </c>
      <c r="L990">
        <f t="shared" ca="1" si="151"/>
        <v>1</v>
      </c>
      <c r="N990" t="e">
        <f t="shared" ca="1" si="152"/>
        <v>#N/A</v>
      </c>
      <c r="O990" t="e">
        <f t="shared" ca="1" si="153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4"/>
        <v>0</v>
      </c>
      <c r="AE990">
        <f t="shared" ca="1" si="155"/>
        <v>0</v>
      </c>
      <c r="AG990" s="65" t="e">
        <f t="shared" ca="1" si="156"/>
        <v>#N/A</v>
      </c>
      <c r="AH990" s="65" t="e">
        <f t="shared" ca="1" si="157"/>
        <v>#N/A</v>
      </c>
      <c r="AI990" s="3" t="e">
        <f t="shared" ca="1" si="158"/>
        <v>#N/A</v>
      </c>
    </row>
    <row r="991" spans="7:35" ht="15" thickBot="1" x14ac:dyDescent="0.35">
      <c r="G991" s="3">
        <f t="shared" ca="1" si="150"/>
        <v>42</v>
      </c>
      <c r="H991" s="99">
        <f t="shared" ca="1" si="159"/>
        <v>46063</v>
      </c>
      <c r="I991" s="123">
        <f ca="1">HLOOKUP($H$4,'Met Data'!$A$2:$F$368,G991,FALSE)</f>
        <v>17.7083333333333</v>
      </c>
      <c r="J991" s="121">
        <f ca="1">HLOOKUP($H$4,'Met Data'!$H$2:$M$368,G991,FALSE)*L991</f>
        <v>2.7333333333333298</v>
      </c>
      <c r="K991" s="100">
        <f ca="1">HLOOKUP($H$4,'Met Data'!$O$2:$T$368,G991,FALSE)</f>
        <v>3.6312925833969301</v>
      </c>
      <c r="L991">
        <f t="shared" ca="1" si="151"/>
        <v>1</v>
      </c>
      <c r="N991" t="e">
        <f t="shared" ca="1" si="152"/>
        <v>#N/A</v>
      </c>
      <c r="O991" t="e">
        <f t="shared" ca="1" si="153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4"/>
        <v>0</v>
      </c>
      <c r="AE991">
        <f t="shared" ca="1" si="155"/>
        <v>0</v>
      </c>
      <c r="AG991" s="65" t="e">
        <f t="shared" ca="1" si="156"/>
        <v>#N/A</v>
      </c>
      <c r="AH991" s="65" t="e">
        <f t="shared" ca="1" si="157"/>
        <v>#N/A</v>
      </c>
      <c r="AI991" s="3" t="e">
        <f t="shared" ca="1" si="158"/>
        <v>#N/A</v>
      </c>
    </row>
    <row r="992" spans="7:35" ht="15" thickBot="1" x14ac:dyDescent="0.35">
      <c r="G992" s="3">
        <f t="shared" ca="1" si="150"/>
        <v>43</v>
      </c>
      <c r="H992" s="99">
        <f t="shared" ca="1" si="159"/>
        <v>46064</v>
      </c>
      <c r="I992" s="123">
        <f ca="1">HLOOKUP($H$4,'Met Data'!$A$2:$F$368,G992,FALSE)</f>
        <v>17.654166666666601</v>
      </c>
      <c r="J992" s="121">
        <f ca="1">HLOOKUP($H$4,'Met Data'!$H$2:$M$368,G992,FALSE)*L992</f>
        <v>5.3166666666666602</v>
      </c>
      <c r="K992" s="100">
        <f ca="1">HLOOKUP($H$4,'Met Data'!$O$2:$T$368,G992,FALSE)</f>
        <v>3.7825096271499201</v>
      </c>
      <c r="L992">
        <f t="shared" ca="1" si="151"/>
        <v>1</v>
      </c>
      <c r="N992" t="e">
        <f t="shared" ca="1" si="152"/>
        <v>#N/A</v>
      </c>
      <c r="O992" t="e">
        <f t="shared" ca="1" si="153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4"/>
        <v>0</v>
      </c>
      <c r="AE992">
        <f t="shared" ca="1" si="155"/>
        <v>0</v>
      </c>
      <c r="AG992" s="65" t="e">
        <f t="shared" ca="1" si="156"/>
        <v>#N/A</v>
      </c>
      <c r="AH992" s="65" t="e">
        <f t="shared" ca="1" si="157"/>
        <v>#N/A</v>
      </c>
      <c r="AI992" s="3" t="e">
        <f t="shared" ca="1" si="158"/>
        <v>#N/A</v>
      </c>
    </row>
    <row r="993" spans="7:35" ht="15" thickBot="1" x14ac:dyDescent="0.35">
      <c r="G993" s="3">
        <f t="shared" ca="1" si="150"/>
        <v>44</v>
      </c>
      <c r="H993" s="99">
        <f t="shared" ca="1" si="159"/>
        <v>46065</v>
      </c>
      <c r="I993" s="123">
        <f ca="1">HLOOKUP($H$4,'Met Data'!$A$2:$F$368,G993,FALSE)</f>
        <v>18.245833333333302</v>
      </c>
      <c r="J993" s="121">
        <f ca="1">HLOOKUP($H$4,'Met Data'!$H$2:$M$368,G993,FALSE)*L993</f>
        <v>1.8</v>
      </c>
      <c r="K993" s="100">
        <f ca="1">HLOOKUP($H$4,'Met Data'!$O$2:$T$368,G993,FALSE)</f>
        <v>3.5345089397679601</v>
      </c>
      <c r="L993">
        <f t="shared" ca="1" si="151"/>
        <v>1</v>
      </c>
      <c r="N993" t="e">
        <f t="shared" ca="1" si="152"/>
        <v>#N/A</v>
      </c>
      <c r="O993" t="e">
        <f t="shared" ca="1" si="153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4"/>
        <v>0</v>
      </c>
      <c r="AE993">
        <f t="shared" ca="1" si="155"/>
        <v>0</v>
      </c>
      <c r="AG993" s="65" t="e">
        <f t="shared" ca="1" si="156"/>
        <v>#N/A</v>
      </c>
      <c r="AH993" s="65" t="e">
        <f t="shared" ca="1" si="157"/>
        <v>#N/A</v>
      </c>
      <c r="AI993" s="3" t="e">
        <f t="shared" ca="1" si="158"/>
        <v>#N/A</v>
      </c>
    </row>
    <row r="994" spans="7:35" ht="15" thickBot="1" x14ac:dyDescent="0.35">
      <c r="G994" s="3">
        <f t="shared" ca="1" si="150"/>
        <v>45</v>
      </c>
      <c r="H994" s="99">
        <f t="shared" ca="1" si="159"/>
        <v>46066</v>
      </c>
      <c r="I994" s="123">
        <f ca="1">HLOOKUP($H$4,'Met Data'!$A$2:$F$368,G994,FALSE)</f>
        <v>18.674999999999901</v>
      </c>
      <c r="J994" s="121">
        <f ca="1">HLOOKUP($H$4,'Met Data'!$H$2:$M$368,G994,FALSE)*L994</f>
        <v>0.44999999999999901</v>
      </c>
      <c r="K994" s="100">
        <f ca="1">HLOOKUP($H$4,'Met Data'!$O$2:$T$368,G994,FALSE)</f>
        <v>3.2860966338213999</v>
      </c>
      <c r="L994">
        <f t="shared" ca="1" si="151"/>
        <v>1</v>
      </c>
      <c r="N994" t="e">
        <f t="shared" ca="1" si="152"/>
        <v>#N/A</v>
      </c>
      <c r="O994" t="e">
        <f t="shared" ca="1" si="153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4"/>
        <v>0</v>
      </c>
      <c r="AE994">
        <f t="shared" ca="1" si="155"/>
        <v>0</v>
      </c>
      <c r="AG994" s="65" t="e">
        <f t="shared" ca="1" si="156"/>
        <v>#N/A</v>
      </c>
      <c r="AH994" s="65" t="e">
        <f t="shared" ca="1" si="157"/>
        <v>#N/A</v>
      </c>
      <c r="AI994" s="3" t="e">
        <f t="shared" ca="1" si="158"/>
        <v>#N/A</v>
      </c>
    </row>
    <row r="995" spans="7:35" ht="15" thickBot="1" x14ac:dyDescent="0.35">
      <c r="G995" s="3">
        <f t="shared" ca="1" si="150"/>
        <v>46</v>
      </c>
      <c r="H995" s="99">
        <f t="shared" ca="1" si="159"/>
        <v>46067</v>
      </c>
      <c r="I995" s="123">
        <f ca="1">HLOOKUP($H$4,'Met Data'!$A$2:$F$368,G995,FALSE)</f>
        <v>18.670833333333299</v>
      </c>
      <c r="J995" s="121">
        <f ca="1">HLOOKUP($H$4,'Met Data'!$H$2:$M$368,G995,FALSE)*L995</f>
        <v>1.13333333333333</v>
      </c>
      <c r="K995" s="100">
        <f ca="1">HLOOKUP($H$4,'Met Data'!$O$2:$T$368,G995,FALSE)</f>
        <v>3.8932908527116399</v>
      </c>
      <c r="L995">
        <f t="shared" ca="1" si="151"/>
        <v>1</v>
      </c>
      <c r="N995" t="e">
        <f t="shared" ca="1" si="152"/>
        <v>#N/A</v>
      </c>
      <c r="O995" t="e">
        <f t="shared" ca="1" si="153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4"/>
        <v>0</v>
      </c>
      <c r="AE995">
        <f t="shared" ca="1" si="155"/>
        <v>0</v>
      </c>
      <c r="AG995" s="65" t="e">
        <f t="shared" ca="1" si="156"/>
        <v>#N/A</v>
      </c>
      <c r="AH995" s="65" t="e">
        <f t="shared" ca="1" si="157"/>
        <v>#N/A</v>
      </c>
      <c r="AI995" s="3" t="e">
        <f t="shared" ca="1" si="158"/>
        <v>#N/A</v>
      </c>
    </row>
    <row r="996" spans="7:35" ht="15" thickBot="1" x14ac:dyDescent="0.35">
      <c r="G996" s="3">
        <f t="shared" ca="1" si="150"/>
        <v>47</v>
      </c>
      <c r="H996" s="99">
        <f t="shared" ca="1" si="159"/>
        <v>46068</v>
      </c>
      <c r="I996" s="123">
        <f ca="1">HLOOKUP($H$4,'Met Data'!$A$2:$F$368,G996,FALSE)</f>
        <v>18.1666666666666</v>
      </c>
      <c r="J996" s="121">
        <f ca="1">HLOOKUP($H$4,'Met Data'!$H$2:$M$368,G996,FALSE)*L996</f>
        <v>1.7333333333333301</v>
      </c>
      <c r="K996" s="100">
        <f ca="1">HLOOKUP($H$4,'Met Data'!$O$2:$T$368,G996,FALSE)</f>
        <v>3.7918051722380999</v>
      </c>
      <c r="L996">
        <f t="shared" ca="1" si="151"/>
        <v>1</v>
      </c>
      <c r="N996" t="e">
        <f t="shared" ca="1" si="152"/>
        <v>#N/A</v>
      </c>
      <c r="O996" t="e">
        <f t="shared" ca="1" si="153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4"/>
        <v>0</v>
      </c>
      <c r="AE996">
        <f t="shared" ca="1" si="155"/>
        <v>0</v>
      </c>
      <c r="AG996" s="65" t="e">
        <f t="shared" ca="1" si="156"/>
        <v>#N/A</v>
      </c>
      <c r="AH996" s="65" t="e">
        <f t="shared" ca="1" si="157"/>
        <v>#N/A</v>
      </c>
      <c r="AI996" s="3" t="e">
        <f t="shared" ca="1" si="158"/>
        <v>#N/A</v>
      </c>
    </row>
    <row r="997" spans="7:35" ht="15" thickBot="1" x14ac:dyDescent="0.35">
      <c r="G997" s="3">
        <f t="shared" ca="1" si="150"/>
        <v>48</v>
      </c>
      <c r="H997" s="99">
        <f t="shared" ca="1" si="159"/>
        <v>46069</v>
      </c>
      <c r="I997" s="123">
        <f ca="1">HLOOKUP($H$4,'Met Data'!$A$2:$F$368,G997,FALSE)</f>
        <v>17.879166666666599</v>
      </c>
      <c r="J997" s="121">
        <f ca="1">HLOOKUP($H$4,'Met Data'!$H$2:$M$368,G997,FALSE)*L997</f>
        <v>0.73333333333333295</v>
      </c>
      <c r="K997" s="100">
        <f ca="1">HLOOKUP($H$4,'Met Data'!$O$2:$T$368,G997,FALSE)</f>
        <v>3.8813294167315999</v>
      </c>
      <c r="L997">
        <f t="shared" ca="1" si="151"/>
        <v>1</v>
      </c>
      <c r="N997" t="e">
        <f t="shared" ca="1" si="152"/>
        <v>#N/A</v>
      </c>
      <c r="O997" t="e">
        <f t="shared" ca="1" si="153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4"/>
        <v>0</v>
      </c>
      <c r="AE997">
        <f t="shared" ca="1" si="155"/>
        <v>0</v>
      </c>
      <c r="AG997" s="65" t="e">
        <f t="shared" ca="1" si="156"/>
        <v>#N/A</v>
      </c>
      <c r="AH997" s="65" t="e">
        <f t="shared" ca="1" si="157"/>
        <v>#N/A</v>
      </c>
      <c r="AI997" s="3" t="e">
        <f t="shared" ca="1" si="158"/>
        <v>#N/A</v>
      </c>
    </row>
    <row r="998" spans="7:35" ht="15" thickBot="1" x14ac:dyDescent="0.35">
      <c r="G998" s="3">
        <f t="shared" ca="1" si="150"/>
        <v>49</v>
      </c>
      <c r="H998" s="99">
        <f t="shared" ca="1" si="159"/>
        <v>46070</v>
      </c>
      <c r="I998" s="123">
        <f ca="1">HLOOKUP($H$4,'Met Data'!$A$2:$F$368,G998,FALSE)</f>
        <v>18.2083333333333</v>
      </c>
      <c r="J998" s="121">
        <f ca="1">HLOOKUP($H$4,'Met Data'!$H$2:$M$368,G998,FALSE)*L998</f>
        <v>2.8833333333333302</v>
      </c>
      <c r="K998" s="100">
        <f ca="1">HLOOKUP($H$4,'Met Data'!$O$2:$T$368,G998,FALSE)</f>
        <v>3.5062121478789399</v>
      </c>
      <c r="L998">
        <f t="shared" ca="1" si="151"/>
        <v>1</v>
      </c>
      <c r="N998" t="e">
        <f t="shared" ca="1" si="152"/>
        <v>#N/A</v>
      </c>
      <c r="O998" t="e">
        <f t="shared" ca="1" si="153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4"/>
        <v>0</v>
      </c>
      <c r="AE998">
        <f t="shared" ca="1" si="155"/>
        <v>0</v>
      </c>
      <c r="AG998" s="65" t="e">
        <f t="shared" ca="1" si="156"/>
        <v>#N/A</v>
      </c>
      <c r="AH998" s="65" t="e">
        <f t="shared" ca="1" si="157"/>
        <v>#N/A</v>
      </c>
      <c r="AI998" s="3" t="e">
        <f t="shared" ca="1" si="158"/>
        <v>#N/A</v>
      </c>
    </row>
    <row r="999" spans="7:35" ht="15" thickBot="1" x14ac:dyDescent="0.35">
      <c r="G999" s="3">
        <f t="shared" ca="1" si="150"/>
        <v>50</v>
      </c>
      <c r="H999" s="99">
        <f t="shared" ca="1" si="159"/>
        <v>46071</v>
      </c>
      <c r="I999" s="123">
        <f ca="1">HLOOKUP($H$4,'Met Data'!$A$2:$F$368,G999,FALSE)</f>
        <v>18.529166666666601</v>
      </c>
      <c r="J999" s="121">
        <f ca="1">HLOOKUP($H$4,'Met Data'!$H$2:$M$368,G999,FALSE)*L999</f>
        <v>2.85</v>
      </c>
      <c r="K999" s="100">
        <f ca="1">HLOOKUP($H$4,'Met Data'!$O$2:$T$368,G999,FALSE)</f>
        <v>3.5342235016405201</v>
      </c>
      <c r="L999">
        <f t="shared" ca="1" si="151"/>
        <v>1</v>
      </c>
      <c r="N999" t="e">
        <f t="shared" ca="1" si="152"/>
        <v>#N/A</v>
      </c>
      <c r="O999" t="e">
        <f t="shared" ca="1" si="153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4"/>
        <v>0</v>
      </c>
      <c r="AE999">
        <f t="shared" ca="1" si="155"/>
        <v>0</v>
      </c>
      <c r="AG999" s="65" t="e">
        <f t="shared" ca="1" si="156"/>
        <v>#N/A</v>
      </c>
      <c r="AH999" s="65" t="e">
        <f t="shared" ca="1" si="157"/>
        <v>#N/A</v>
      </c>
      <c r="AI999" s="3" t="e">
        <f t="shared" ca="1" si="158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workbookViewId="0">
      <selection activeCell="E8" sqref="E8"/>
    </sheetView>
  </sheetViews>
  <sheetFormatPr defaultRowHeight="14.4" x14ac:dyDescent="0.3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53" x14ac:dyDescent="0.3">
      <c r="A1" s="32" t="s">
        <v>45</v>
      </c>
      <c r="B1" s="54" t="s">
        <v>44</v>
      </c>
      <c r="C1" s="54" t="s">
        <v>56</v>
      </c>
      <c r="D1" s="54" t="s">
        <v>97</v>
      </c>
      <c r="E1" s="54" t="s">
        <v>80</v>
      </c>
      <c r="F1" s="54" t="s">
        <v>79</v>
      </c>
      <c r="G1" s="54" t="s">
        <v>78</v>
      </c>
      <c r="H1" s="54" t="s">
        <v>51</v>
      </c>
      <c r="I1" s="54" t="s">
        <v>64</v>
      </c>
      <c r="J1" s="54" t="s">
        <v>11</v>
      </c>
      <c r="K1" s="54" t="s">
        <v>76</v>
      </c>
      <c r="L1" s="54" t="s">
        <v>52</v>
      </c>
      <c r="M1" s="54" t="s">
        <v>83</v>
      </c>
      <c r="N1" s="54" t="s">
        <v>63</v>
      </c>
      <c r="O1" s="54" t="s">
        <v>85</v>
      </c>
      <c r="P1" s="54" t="s">
        <v>38</v>
      </c>
      <c r="Q1" s="54" t="s">
        <v>75</v>
      </c>
      <c r="R1" s="54" t="s">
        <v>35</v>
      </c>
      <c r="S1" s="54" t="s">
        <v>41</v>
      </c>
      <c r="T1" s="54" t="s">
        <v>91</v>
      </c>
      <c r="U1" s="54" t="s">
        <v>70</v>
      </c>
      <c r="V1" s="54" t="s">
        <v>54</v>
      </c>
      <c r="W1" s="54" t="s">
        <v>6</v>
      </c>
      <c r="X1" s="54" t="s">
        <v>55</v>
      </c>
      <c r="Y1" s="54" t="s">
        <v>58</v>
      </c>
      <c r="Z1" s="54" t="s">
        <v>49</v>
      </c>
      <c r="AA1" s="54" t="s">
        <v>60</v>
      </c>
      <c r="AB1" s="54" t="s">
        <v>37</v>
      </c>
      <c r="AC1" s="54" t="s">
        <v>7</v>
      </c>
      <c r="AD1" s="54" t="s">
        <v>62</v>
      </c>
      <c r="AE1" s="54" t="s">
        <v>94</v>
      </c>
      <c r="AF1" s="54" t="s">
        <v>57</v>
      </c>
      <c r="AG1" s="54" t="s">
        <v>59</v>
      </c>
      <c r="AH1" s="54" t="s">
        <v>8</v>
      </c>
      <c r="AI1" s="54" t="s">
        <v>89</v>
      </c>
      <c r="AJ1" s="54" t="s">
        <v>66</v>
      </c>
      <c r="AK1" s="54" t="s">
        <v>40</v>
      </c>
      <c r="AL1" s="54" t="s">
        <v>61</v>
      </c>
      <c r="AM1" s="54" t="s">
        <v>87</v>
      </c>
      <c r="AN1" s="54" t="s">
        <v>46</v>
      </c>
      <c r="AO1" s="54" t="s">
        <v>65</v>
      </c>
      <c r="AP1" s="54" t="s">
        <v>77</v>
      </c>
      <c r="AQ1" s="54" t="s">
        <v>96</v>
      </c>
      <c r="AR1" s="54" t="s">
        <v>74</v>
      </c>
      <c r="AS1" s="54" t="s">
        <v>88</v>
      </c>
      <c r="AT1" s="54" t="s">
        <v>53</v>
      </c>
      <c r="AU1" s="54" t="s">
        <v>39</v>
      </c>
      <c r="AV1" s="54" t="s">
        <v>98</v>
      </c>
      <c r="AW1" s="54" t="s">
        <v>95</v>
      </c>
      <c r="AX1" s="54" t="s">
        <v>48</v>
      </c>
      <c r="AY1" s="54" t="s">
        <v>32</v>
      </c>
      <c r="AZ1" s="55" t="s">
        <v>42</v>
      </c>
      <c r="BA1" s="1"/>
    </row>
    <row r="2" spans="1:53" x14ac:dyDescent="0.3">
      <c r="A2" s="14" t="s">
        <v>33</v>
      </c>
      <c r="B2" t="s">
        <v>33</v>
      </c>
      <c r="C2" t="s">
        <v>33</v>
      </c>
      <c r="D2" t="s">
        <v>33</v>
      </c>
      <c r="E2" t="s">
        <v>81</v>
      </c>
      <c r="F2" t="s">
        <v>33</v>
      </c>
      <c r="G2" t="s">
        <v>33</v>
      </c>
      <c r="H2" t="s">
        <v>33</v>
      </c>
      <c r="I2" t="s">
        <v>33</v>
      </c>
      <c r="J2" t="s">
        <v>33</v>
      </c>
      <c r="K2" t="s">
        <v>33</v>
      </c>
      <c r="L2" t="s">
        <v>33</v>
      </c>
      <c r="M2" t="s">
        <v>33</v>
      </c>
      <c r="N2" t="s">
        <v>33</v>
      </c>
      <c r="O2" t="s">
        <v>33</v>
      </c>
      <c r="P2" t="s">
        <v>33</v>
      </c>
      <c r="Q2" t="s">
        <v>33</v>
      </c>
      <c r="R2" t="s">
        <v>33</v>
      </c>
      <c r="S2" t="s">
        <v>33</v>
      </c>
      <c r="T2" t="s">
        <v>33</v>
      </c>
      <c r="U2" t="s">
        <v>33</v>
      </c>
      <c r="V2" t="s">
        <v>33</v>
      </c>
      <c r="W2" t="s">
        <v>92</v>
      </c>
      <c r="X2" t="s">
        <v>33</v>
      </c>
      <c r="Y2" t="s">
        <v>33</v>
      </c>
      <c r="Z2" t="s">
        <v>33</v>
      </c>
      <c r="AA2" t="s">
        <v>33</v>
      </c>
      <c r="AB2" t="s">
        <v>33</v>
      </c>
      <c r="AC2" t="s">
        <v>71</v>
      </c>
      <c r="AD2" t="s">
        <v>33</v>
      </c>
      <c r="AE2" t="s">
        <v>33</v>
      </c>
      <c r="AF2" t="s">
        <v>33</v>
      </c>
      <c r="AG2" t="s">
        <v>33</v>
      </c>
      <c r="AH2" t="s">
        <v>33</v>
      </c>
      <c r="AI2" t="s">
        <v>33</v>
      </c>
      <c r="AJ2" t="s">
        <v>67</v>
      </c>
      <c r="AK2" t="s">
        <v>33</v>
      </c>
      <c r="AL2" t="s">
        <v>33</v>
      </c>
      <c r="AM2" t="s">
        <v>33</v>
      </c>
      <c r="AN2" t="s">
        <v>33</v>
      </c>
      <c r="AO2" t="s">
        <v>33</v>
      </c>
      <c r="AP2" t="s">
        <v>33</v>
      </c>
      <c r="AQ2" t="s">
        <v>33</v>
      </c>
      <c r="AR2" t="s">
        <v>33</v>
      </c>
      <c r="AS2" t="s">
        <v>33</v>
      </c>
      <c r="AT2" t="s">
        <v>33</v>
      </c>
      <c r="AU2" t="s">
        <v>33</v>
      </c>
      <c r="AV2" t="s">
        <v>33</v>
      </c>
      <c r="AW2" t="s">
        <v>33</v>
      </c>
      <c r="AX2" t="s">
        <v>33</v>
      </c>
      <c r="AY2" t="s">
        <v>33</v>
      </c>
      <c r="AZ2" s="15" t="s">
        <v>31</v>
      </c>
    </row>
    <row r="3" spans="1:53" x14ac:dyDescent="0.3">
      <c r="A3" s="14"/>
      <c r="E3" t="s">
        <v>82</v>
      </c>
      <c r="W3" t="s">
        <v>93</v>
      </c>
      <c r="AC3" t="s">
        <v>72</v>
      </c>
      <c r="AZ3" s="15" t="s">
        <v>43</v>
      </c>
    </row>
    <row r="4" spans="1:53" x14ac:dyDescent="0.3">
      <c r="A4" s="14"/>
      <c r="AC4" t="s">
        <v>73</v>
      </c>
      <c r="AZ4" s="15"/>
    </row>
    <row r="5" spans="1:53" ht="15" thickBot="1" x14ac:dyDescent="0.35">
      <c r="A5" s="16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17"/>
    </row>
    <row r="6" spans="1:53" ht="15" thickBot="1" x14ac:dyDescent="0.35">
      <c r="AI6" t="s">
        <v>236</v>
      </c>
      <c r="AJ6" t="s">
        <v>238</v>
      </c>
    </row>
    <row r="7" spans="1:53" x14ac:dyDescent="0.3">
      <c r="A7" s="47" t="s">
        <v>31</v>
      </c>
      <c r="B7" s="48" t="s">
        <v>34</v>
      </c>
      <c r="C7" s="48" t="s">
        <v>36</v>
      </c>
      <c r="D7" s="48" t="s">
        <v>50</v>
      </c>
      <c r="E7" s="48" t="s">
        <v>241</v>
      </c>
      <c r="F7" s="48" t="s">
        <v>20</v>
      </c>
      <c r="G7" s="49" t="s">
        <v>69</v>
      </c>
      <c r="J7" s="32" t="s">
        <v>106</v>
      </c>
      <c r="L7" s="46" t="s">
        <v>107</v>
      </c>
      <c r="N7" s="43" t="s">
        <v>171</v>
      </c>
      <c r="P7" s="43" t="s">
        <v>172</v>
      </c>
      <c r="R7" s="43" t="s">
        <v>1</v>
      </c>
      <c r="U7" s="43" t="s">
        <v>3</v>
      </c>
      <c r="X7" s="119" t="s">
        <v>198</v>
      </c>
      <c r="Z7" s="119" t="s">
        <v>217</v>
      </c>
      <c r="AA7">
        <v>1.7</v>
      </c>
      <c r="AC7" t="s">
        <v>220</v>
      </c>
      <c r="AE7" t="s">
        <v>229</v>
      </c>
      <c r="AF7">
        <v>2</v>
      </c>
      <c r="AH7" t="s">
        <v>231</v>
      </c>
      <c r="AI7">
        <v>0.7</v>
      </c>
      <c r="AJ7">
        <v>0.76</v>
      </c>
    </row>
    <row r="8" spans="1:53" x14ac:dyDescent="0.3">
      <c r="A8" s="50" t="s">
        <v>32</v>
      </c>
      <c r="B8" s="51" t="s">
        <v>35</v>
      </c>
      <c r="C8" s="51" t="s">
        <v>45</v>
      </c>
      <c r="D8" s="51" t="s">
        <v>44</v>
      </c>
      <c r="E8" s="51" t="s">
        <v>58</v>
      </c>
      <c r="F8" s="51" t="s">
        <v>64</v>
      </c>
      <c r="G8" s="52" t="s">
        <v>56</v>
      </c>
      <c r="J8" s="14" t="s">
        <v>20</v>
      </c>
      <c r="L8" s="44" t="s">
        <v>21</v>
      </c>
      <c r="N8" s="44" t="s">
        <v>170</v>
      </c>
      <c r="P8" s="44" t="s">
        <v>179</v>
      </c>
      <c r="R8" s="44" t="s">
        <v>2</v>
      </c>
      <c r="S8">
        <v>1000</v>
      </c>
      <c r="U8" s="44" t="s">
        <v>191</v>
      </c>
      <c r="V8">
        <v>1</v>
      </c>
      <c r="X8" s="44" t="s">
        <v>199</v>
      </c>
      <c r="Z8" s="44" t="s">
        <v>205</v>
      </c>
      <c r="AA8">
        <v>1.35</v>
      </c>
      <c r="AC8" t="s">
        <v>228</v>
      </c>
      <c r="AE8" t="s">
        <v>230</v>
      </c>
      <c r="AF8">
        <v>3</v>
      </c>
      <c r="AH8" t="s">
        <v>71</v>
      </c>
      <c r="AI8">
        <v>1.1499999999999999</v>
      </c>
      <c r="AJ8">
        <v>1.22</v>
      </c>
    </row>
    <row r="9" spans="1:53" ht="15" thickBot="1" x14ac:dyDescent="0.35">
      <c r="A9" s="14"/>
      <c r="C9" s="51" t="s">
        <v>44</v>
      </c>
      <c r="D9" s="51" t="s">
        <v>56</v>
      </c>
      <c r="E9" s="51" t="s">
        <v>60</v>
      </c>
      <c r="F9" s="51" t="s">
        <v>63</v>
      </c>
      <c r="G9" s="52" t="s">
        <v>97</v>
      </c>
      <c r="J9" s="16" t="s">
        <v>22</v>
      </c>
      <c r="L9" s="44" t="s">
        <v>23</v>
      </c>
      <c r="N9" s="44" t="s">
        <v>108</v>
      </c>
      <c r="P9" s="44" t="s">
        <v>181</v>
      </c>
      <c r="R9" s="44" t="s">
        <v>109</v>
      </c>
      <c r="S9">
        <v>1</v>
      </c>
      <c r="U9" s="44" t="s">
        <v>192</v>
      </c>
      <c r="V9">
        <v>2</v>
      </c>
      <c r="X9" s="44" t="s">
        <v>201</v>
      </c>
      <c r="Z9" s="44" t="s">
        <v>204</v>
      </c>
      <c r="AA9">
        <v>1</v>
      </c>
      <c r="AH9" t="s">
        <v>232</v>
      </c>
      <c r="AI9">
        <v>1.1499999999999999</v>
      </c>
      <c r="AJ9">
        <v>1.2</v>
      </c>
    </row>
    <row r="10" spans="1:53" ht="15" thickBot="1" x14ac:dyDescent="0.35">
      <c r="A10" s="14"/>
      <c r="C10" s="51" t="s">
        <v>38</v>
      </c>
      <c r="D10" s="51" t="s">
        <v>51</v>
      </c>
      <c r="E10" s="51" t="s">
        <v>59</v>
      </c>
      <c r="F10" s="51" t="s">
        <v>62</v>
      </c>
      <c r="G10" s="52" t="s">
        <v>80</v>
      </c>
      <c r="L10" s="44" t="s">
        <v>24</v>
      </c>
      <c r="N10" s="44" t="s">
        <v>110</v>
      </c>
      <c r="P10" s="45" t="s">
        <v>180</v>
      </c>
      <c r="R10" s="45" t="s">
        <v>16</v>
      </c>
      <c r="S10">
        <v>1</v>
      </c>
      <c r="U10" s="45" t="s">
        <v>193</v>
      </c>
      <c r="V10">
        <v>3</v>
      </c>
      <c r="X10" s="45" t="s">
        <v>200</v>
      </c>
      <c r="Z10" s="44" t="s">
        <v>206</v>
      </c>
      <c r="AA10">
        <v>0.65</v>
      </c>
      <c r="AH10" t="s">
        <v>233</v>
      </c>
      <c r="AI10">
        <v>0.8</v>
      </c>
      <c r="AJ10">
        <v>0.83</v>
      </c>
    </row>
    <row r="11" spans="1:53" ht="15" thickBot="1" x14ac:dyDescent="0.35">
      <c r="A11" s="14"/>
      <c r="C11" s="51" t="s">
        <v>41</v>
      </c>
      <c r="D11" s="51" t="s">
        <v>52</v>
      </c>
      <c r="E11" s="51" t="s">
        <v>40</v>
      </c>
      <c r="F11" s="51" t="s">
        <v>66</v>
      </c>
      <c r="G11" s="52" t="s">
        <v>79</v>
      </c>
      <c r="L11" s="44" t="s">
        <v>25</v>
      </c>
      <c r="N11" s="44" t="s">
        <v>111</v>
      </c>
      <c r="Z11" s="45" t="s">
        <v>218</v>
      </c>
      <c r="AA11">
        <v>0.3</v>
      </c>
      <c r="AH11" t="s">
        <v>234</v>
      </c>
      <c r="AI11">
        <v>1.17</v>
      </c>
      <c r="AJ11">
        <v>1.24</v>
      </c>
    </row>
    <row r="12" spans="1:53" x14ac:dyDescent="0.3">
      <c r="A12" s="14"/>
      <c r="C12" s="51" t="s">
        <v>49</v>
      </c>
      <c r="D12" s="51" t="s">
        <v>35</v>
      </c>
      <c r="E12" s="51" t="s">
        <v>42</v>
      </c>
      <c r="F12" s="51" t="s">
        <v>40</v>
      </c>
      <c r="G12" s="52" t="s">
        <v>78</v>
      </c>
      <c r="L12" s="44" t="s">
        <v>26</v>
      </c>
      <c r="N12" s="44" t="s">
        <v>155</v>
      </c>
      <c r="AH12" t="s">
        <v>235</v>
      </c>
      <c r="AI12">
        <v>1.1599999999999999</v>
      </c>
      <c r="AJ12">
        <v>1.19</v>
      </c>
    </row>
    <row r="13" spans="1:53" ht="15" thickBot="1" x14ac:dyDescent="0.35">
      <c r="A13" s="14"/>
      <c r="C13" s="51" t="s">
        <v>37</v>
      </c>
      <c r="D13" s="51" t="s">
        <v>54</v>
      </c>
      <c r="F13" s="51" t="s">
        <v>61</v>
      </c>
      <c r="G13" s="52" t="s">
        <v>64</v>
      </c>
      <c r="L13" s="45" t="s">
        <v>112</v>
      </c>
      <c r="N13" s="45"/>
      <c r="AH13" t="s">
        <v>239</v>
      </c>
    </row>
    <row r="14" spans="1:53" x14ac:dyDescent="0.3">
      <c r="A14" s="14"/>
      <c r="C14" s="51" t="s">
        <v>40</v>
      </c>
      <c r="D14" s="51" t="s">
        <v>55</v>
      </c>
      <c r="F14" s="51" t="s">
        <v>65</v>
      </c>
      <c r="G14" s="52" t="s">
        <v>11</v>
      </c>
    </row>
    <row r="15" spans="1:53" x14ac:dyDescent="0.3">
      <c r="A15" s="14"/>
      <c r="C15" s="51" t="s">
        <v>46</v>
      </c>
      <c r="D15" s="51" t="s">
        <v>49</v>
      </c>
      <c r="F15" s="51" t="s">
        <v>68</v>
      </c>
      <c r="G15" s="52" t="s">
        <v>76</v>
      </c>
    </row>
    <row r="16" spans="1:53" x14ac:dyDescent="0.3">
      <c r="A16" s="14"/>
      <c r="C16" s="51" t="s">
        <v>39</v>
      </c>
      <c r="D16" s="51" t="s">
        <v>37</v>
      </c>
      <c r="G16" s="52" t="s">
        <v>83</v>
      </c>
    </row>
    <row r="17" spans="1:7" x14ac:dyDescent="0.3">
      <c r="A17" s="14"/>
      <c r="C17" s="51" t="s">
        <v>48</v>
      </c>
      <c r="D17" s="51" t="s">
        <v>57</v>
      </c>
      <c r="G17" s="52" t="s">
        <v>85</v>
      </c>
    </row>
    <row r="18" spans="1:7" x14ac:dyDescent="0.3">
      <c r="A18" s="14"/>
      <c r="C18" s="51" t="s">
        <v>42</v>
      </c>
      <c r="D18" s="51" t="s">
        <v>53</v>
      </c>
      <c r="G18" s="52" t="s">
        <v>75</v>
      </c>
    </row>
    <row r="19" spans="1:7" x14ac:dyDescent="0.3">
      <c r="A19" s="14"/>
      <c r="C19" s="51" t="s">
        <v>47</v>
      </c>
      <c r="D19" s="51" t="s">
        <v>47</v>
      </c>
      <c r="G19" s="52" t="s">
        <v>91</v>
      </c>
    </row>
    <row r="20" spans="1:7" x14ac:dyDescent="0.3">
      <c r="A20" s="14"/>
      <c r="G20" s="52" t="s">
        <v>70</v>
      </c>
    </row>
    <row r="21" spans="1:7" x14ac:dyDescent="0.3">
      <c r="A21" s="14"/>
      <c r="G21" s="52" t="s">
        <v>6</v>
      </c>
    </row>
    <row r="22" spans="1:7" x14ac:dyDescent="0.3">
      <c r="A22" s="14"/>
      <c r="G22" s="52" t="s">
        <v>7</v>
      </c>
    </row>
    <row r="23" spans="1:7" x14ac:dyDescent="0.3">
      <c r="A23" s="14"/>
      <c r="G23" s="52" t="s">
        <v>62</v>
      </c>
    </row>
    <row r="24" spans="1:7" x14ac:dyDescent="0.3">
      <c r="A24" s="14"/>
      <c r="G24" s="52" t="s">
        <v>94</v>
      </c>
    </row>
    <row r="25" spans="1:7" x14ac:dyDescent="0.3">
      <c r="A25" s="14"/>
      <c r="G25" s="52" t="s">
        <v>57</v>
      </c>
    </row>
    <row r="26" spans="1:7" x14ac:dyDescent="0.3">
      <c r="A26" s="14"/>
      <c r="G26" s="52" t="s">
        <v>8</v>
      </c>
    </row>
    <row r="27" spans="1:7" x14ac:dyDescent="0.3">
      <c r="A27" s="14"/>
      <c r="G27" s="52" t="s">
        <v>89</v>
      </c>
    </row>
    <row r="28" spans="1:7" x14ac:dyDescent="0.3">
      <c r="A28" s="14"/>
      <c r="G28" s="52" t="s">
        <v>61</v>
      </c>
    </row>
    <row r="29" spans="1:7" x14ac:dyDescent="0.3">
      <c r="A29" s="14"/>
      <c r="G29" s="52" t="s">
        <v>87</v>
      </c>
    </row>
    <row r="30" spans="1:7" x14ac:dyDescent="0.3">
      <c r="A30" s="14"/>
      <c r="G30" s="52" t="s">
        <v>77</v>
      </c>
    </row>
    <row r="31" spans="1:7" x14ac:dyDescent="0.3">
      <c r="A31" s="14"/>
      <c r="G31" s="52" t="s">
        <v>96</v>
      </c>
    </row>
    <row r="32" spans="1:7" x14ac:dyDescent="0.3">
      <c r="A32" s="14"/>
      <c r="G32" s="52" t="s">
        <v>74</v>
      </c>
    </row>
    <row r="33" spans="1:7" x14ac:dyDescent="0.3">
      <c r="A33" s="14"/>
      <c r="G33" s="52" t="s">
        <v>88</v>
      </c>
    </row>
    <row r="34" spans="1:7" x14ac:dyDescent="0.3">
      <c r="A34" s="14"/>
      <c r="G34" s="52" t="s">
        <v>98</v>
      </c>
    </row>
    <row r="35" spans="1:7" x14ac:dyDescent="0.3">
      <c r="A35" s="14"/>
      <c r="G35" s="52" t="s">
        <v>95</v>
      </c>
    </row>
    <row r="36" spans="1:7" x14ac:dyDescent="0.3">
      <c r="A36" s="14"/>
      <c r="G36" s="52" t="s">
        <v>86</v>
      </c>
    </row>
    <row r="37" spans="1:7" x14ac:dyDescent="0.3">
      <c r="A37" s="14"/>
      <c r="G37" s="52" t="s">
        <v>84</v>
      </c>
    </row>
    <row r="38" spans="1:7" ht="15" thickBot="1" x14ac:dyDescent="0.35">
      <c r="A38" s="16"/>
      <c r="B38" s="27"/>
      <c r="C38" s="27"/>
      <c r="D38" s="27"/>
      <c r="E38" s="27"/>
      <c r="F38" s="27"/>
      <c r="G38" s="53" t="s">
        <v>90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A75" sqref="A1:A75"/>
    </sheetView>
  </sheetViews>
  <sheetFormatPr defaultRowHeight="14.4" x14ac:dyDescent="0.3"/>
  <cols>
    <col min="1" max="1" width="31.6640625" bestFit="1" customWidth="1"/>
    <col min="11" max="11" width="16.33203125" customWidth="1"/>
    <col min="13" max="13" width="21" bestFit="1" customWidth="1"/>
  </cols>
  <sheetData>
    <row r="1" spans="1:33" x14ac:dyDescent="0.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 x14ac:dyDescent="0.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 x14ac:dyDescent="0.3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 x14ac:dyDescent="0.3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 x14ac:dyDescent="0.3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 x14ac:dyDescent="0.3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 x14ac:dyDescent="0.3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 x14ac:dyDescent="0.3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 x14ac:dyDescent="0.3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 x14ac:dyDescent="0.3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 x14ac:dyDescent="0.3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 x14ac:dyDescent="0.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 x14ac:dyDescent="0.3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 x14ac:dyDescent="0.3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 x14ac:dyDescent="0.3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 x14ac:dyDescent="0.3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 x14ac:dyDescent="0.3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 x14ac:dyDescent="0.3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 x14ac:dyDescent="0.3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 x14ac:dyDescent="0.3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 x14ac:dyDescent="0.3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 x14ac:dyDescent="0.3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 x14ac:dyDescent="0.3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 x14ac:dyDescent="0.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 x14ac:dyDescent="0.3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 x14ac:dyDescent="0.3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 x14ac:dyDescent="0.3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 x14ac:dyDescent="0.3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 x14ac:dyDescent="0.3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 x14ac:dyDescent="0.3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 x14ac:dyDescent="0.3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 x14ac:dyDescent="0.3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 x14ac:dyDescent="0.3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 x14ac:dyDescent="0.3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 x14ac:dyDescent="0.3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 x14ac:dyDescent="0.3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 x14ac:dyDescent="0.3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 x14ac:dyDescent="0.3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 x14ac:dyDescent="0.3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 x14ac:dyDescent="0.3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 x14ac:dyDescent="0.3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 x14ac:dyDescent="0.3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 x14ac:dyDescent="0.3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 x14ac:dyDescent="0.3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 x14ac:dyDescent="0.3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 x14ac:dyDescent="0.3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 x14ac:dyDescent="0.3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 x14ac:dyDescent="0.3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 x14ac:dyDescent="0.3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 x14ac:dyDescent="0.3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 x14ac:dyDescent="0.3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 x14ac:dyDescent="0.3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 x14ac:dyDescent="0.3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 x14ac:dyDescent="0.3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 x14ac:dyDescent="0.3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 x14ac:dyDescent="0.3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 x14ac:dyDescent="0.3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 x14ac:dyDescent="0.3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 x14ac:dyDescent="0.3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 x14ac:dyDescent="0.3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 x14ac:dyDescent="0.3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 x14ac:dyDescent="0.3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 x14ac:dyDescent="0.3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 x14ac:dyDescent="0.3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 x14ac:dyDescent="0.3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 x14ac:dyDescent="0.3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 x14ac:dyDescent="0.3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 x14ac:dyDescent="0.3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 x14ac:dyDescent="0.3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 x14ac:dyDescent="0.3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 x14ac:dyDescent="0.3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 x14ac:dyDescent="0.3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 x14ac:dyDescent="0.3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 x14ac:dyDescent="0.3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 x14ac:dyDescent="0.3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 x14ac:dyDescent="0.3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 x14ac:dyDescent="0.3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 x14ac:dyDescent="0.3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 x14ac:dyDescent="0.3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 x14ac:dyDescent="0.3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 x14ac:dyDescent="0.3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 x14ac:dyDescent="0.3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 x14ac:dyDescent="0.3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 x14ac:dyDescent="0.3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 x14ac:dyDescent="0.3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 x14ac:dyDescent="0.3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 x14ac:dyDescent="0.3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 x14ac:dyDescent="0.3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 x14ac:dyDescent="0.3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 x14ac:dyDescent="0.3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 x14ac:dyDescent="0.3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 x14ac:dyDescent="0.3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 x14ac:dyDescent="0.3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 x14ac:dyDescent="0.3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 x14ac:dyDescent="0.3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 x14ac:dyDescent="0.3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 x14ac:dyDescent="0.3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 x14ac:dyDescent="0.3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 x14ac:dyDescent="0.3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 x14ac:dyDescent="0.3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 x14ac:dyDescent="0.3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 x14ac:dyDescent="0.3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 x14ac:dyDescent="0.3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 x14ac:dyDescent="0.3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 x14ac:dyDescent="0.3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 x14ac:dyDescent="0.3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 x14ac:dyDescent="0.3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 x14ac:dyDescent="0.3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 x14ac:dyDescent="0.3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 x14ac:dyDescent="0.3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 x14ac:dyDescent="0.3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 x14ac:dyDescent="0.3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 x14ac:dyDescent="0.3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 x14ac:dyDescent="0.3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 x14ac:dyDescent="0.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 x14ac:dyDescent="0.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 x14ac:dyDescent="0.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 x14ac:dyDescent="0.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 x14ac:dyDescent="0.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 x14ac:dyDescent="0.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 x14ac:dyDescent="0.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 x14ac:dyDescent="0.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 x14ac:dyDescent="0.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 x14ac:dyDescent="0.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 x14ac:dyDescent="0.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 x14ac:dyDescent="0.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 x14ac:dyDescent="0.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 x14ac:dyDescent="0.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 x14ac:dyDescent="0.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 x14ac:dyDescent="0.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 x14ac:dyDescent="0.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 x14ac:dyDescent="0.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 x14ac:dyDescent="0.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 x14ac:dyDescent="0.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 x14ac:dyDescent="0.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 x14ac:dyDescent="0.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 x14ac:dyDescent="0.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 x14ac:dyDescent="0.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 x14ac:dyDescent="0.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 x14ac:dyDescent="0.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 x14ac:dyDescent="0.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4.4" x14ac:dyDescent="0.3"/>
  <cols>
    <col min="3" max="3" width="12" bestFit="1" customWidth="1"/>
    <col min="9" max="9" width="6.33203125" customWidth="1"/>
  </cols>
  <sheetData>
    <row r="1" spans="1:27" x14ac:dyDescent="0.3">
      <c r="A1" s="147" t="s">
        <v>207</v>
      </c>
      <c r="B1" s="147"/>
      <c r="C1" s="147"/>
      <c r="D1" s="147"/>
      <c r="E1" s="147"/>
      <c r="F1" s="147"/>
      <c r="H1" s="147" t="s">
        <v>208</v>
      </c>
      <c r="I1" s="147"/>
      <c r="J1" s="147"/>
      <c r="K1" s="147"/>
      <c r="L1" s="147"/>
      <c r="M1" s="147"/>
      <c r="O1" s="147" t="s">
        <v>209</v>
      </c>
      <c r="P1" s="147"/>
      <c r="Q1" s="147"/>
      <c r="R1" s="147"/>
      <c r="S1" s="147"/>
      <c r="T1" s="147"/>
      <c r="V1" s="147"/>
      <c r="W1" s="147"/>
      <c r="X1" s="147"/>
      <c r="Y1" s="147"/>
      <c r="Z1" s="147"/>
      <c r="AA1" s="147"/>
    </row>
    <row r="2" spans="1:27" x14ac:dyDescent="0.3">
      <c r="A2" t="s">
        <v>101</v>
      </c>
      <c r="B2" t="s">
        <v>102</v>
      </c>
      <c r="C2" t="s">
        <v>9</v>
      </c>
      <c r="D2" t="s">
        <v>103</v>
      </c>
      <c r="E2" t="s">
        <v>104</v>
      </c>
      <c r="F2" t="s">
        <v>10</v>
      </c>
      <c r="H2" t="s">
        <v>101</v>
      </c>
      <c r="I2" t="s">
        <v>102</v>
      </c>
      <c r="J2" t="s">
        <v>9</v>
      </c>
      <c r="K2" t="s">
        <v>103</v>
      </c>
      <c r="L2" t="s">
        <v>104</v>
      </c>
      <c r="M2" t="s">
        <v>10</v>
      </c>
      <c r="O2" t="s">
        <v>101</v>
      </c>
      <c r="P2" t="s">
        <v>102</v>
      </c>
      <c r="Q2" t="s">
        <v>9</v>
      </c>
      <c r="R2" t="s">
        <v>103</v>
      </c>
      <c r="S2" t="s">
        <v>104</v>
      </c>
      <c r="T2" t="s">
        <v>10</v>
      </c>
    </row>
    <row r="3" spans="1:27" x14ac:dyDescent="0.3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 x14ac:dyDescent="0.3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 x14ac:dyDescent="0.3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 x14ac:dyDescent="0.3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 x14ac:dyDescent="0.3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 x14ac:dyDescent="0.3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 x14ac:dyDescent="0.3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 x14ac:dyDescent="0.3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 x14ac:dyDescent="0.3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 x14ac:dyDescent="0.3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 x14ac:dyDescent="0.3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 x14ac:dyDescent="0.3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 x14ac:dyDescent="0.3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 x14ac:dyDescent="0.3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 x14ac:dyDescent="0.3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 x14ac:dyDescent="0.3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 x14ac:dyDescent="0.3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 x14ac:dyDescent="0.3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 x14ac:dyDescent="0.3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 x14ac:dyDescent="0.3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 x14ac:dyDescent="0.3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 x14ac:dyDescent="0.3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 x14ac:dyDescent="0.3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 x14ac:dyDescent="0.3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 x14ac:dyDescent="0.3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 x14ac:dyDescent="0.3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 x14ac:dyDescent="0.3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 x14ac:dyDescent="0.3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 x14ac:dyDescent="0.3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 x14ac:dyDescent="0.3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 x14ac:dyDescent="0.3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 x14ac:dyDescent="0.3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 x14ac:dyDescent="0.3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 x14ac:dyDescent="0.3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 x14ac:dyDescent="0.3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 x14ac:dyDescent="0.3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 x14ac:dyDescent="0.3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 x14ac:dyDescent="0.3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 x14ac:dyDescent="0.3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 x14ac:dyDescent="0.3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 x14ac:dyDescent="0.3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 x14ac:dyDescent="0.3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 x14ac:dyDescent="0.3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 x14ac:dyDescent="0.3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 x14ac:dyDescent="0.3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 x14ac:dyDescent="0.3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 x14ac:dyDescent="0.3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 x14ac:dyDescent="0.3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 x14ac:dyDescent="0.3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 x14ac:dyDescent="0.3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 x14ac:dyDescent="0.3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 x14ac:dyDescent="0.3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 x14ac:dyDescent="0.3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 x14ac:dyDescent="0.3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 x14ac:dyDescent="0.3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 x14ac:dyDescent="0.3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 x14ac:dyDescent="0.3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 x14ac:dyDescent="0.3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 x14ac:dyDescent="0.3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 x14ac:dyDescent="0.3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 x14ac:dyDescent="0.3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 x14ac:dyDescent="0.3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 x14ac:dyDescent="0.3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 x14ac:dyDescent="0.3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 x14ac:dyDescent="0.3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 x14ac:dyDescent="0.3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 x14ac:dyDescent="0.3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 x14ac:dyDescent="0.3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 x14ac:dyDescent="0.3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 x14ac:dyDescent="0.3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 x14ac:dyDescent="0.3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 x14ac:dyDescent="0.3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 x14ac:dyDescent="0.3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 x14ac:dyDescent="0.3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 x14ac:dyDescent="0.3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 x14ac:dyDescent="0.3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 x14ac:dyDescent="0.3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 x14ac:dyDescent="0.3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 x14ac:dyDescent="0.3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 x14ac:dyDescent="0.3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 x14ac:dyDescent="0.3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 x14ac:dyDescent="0.3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 x14ac:dyDescent="0.3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 x14ac:dyDescent="0.3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 x14ac:dyDescent="0.3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 x14ac:dyDescent="0.3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 x14ac:dyDescent="0.3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 x14ac:dyDescent="0.3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 x14ac:dyDescent="0.3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 x14ac:dyDescent="0.3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 x14ac:dyDescent="0.3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 x14ac:dyDescent="0.3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 x14ac:dyDescent="0.3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 x14ac:dyDescent="0.3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 x14ac:dyDescent="0.3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 x14ac:dyDescent="0.3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 x14ac:dyDescent="0.3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 x14ac:dyDescent="0.3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 x14ac:dyDescent="0.3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 x14ac:dyDescent="0.3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 x14ac:dyDescent="0.3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 x14ac:dyDescent="0.3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 x14ac:dyDescent="0.3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 x14ac:dyDescent="0.3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 x14ac:dyDescent="0.3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 x14ac:dyDescent="0.3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 x14ac:dyDescent="0.3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 x14ac:dyDescent="0.3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 x14ac:dyDescent="0.3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 x14ac:dyDescent="0.3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 x14ac:dyDescent="0.3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 x14ac:dyDescent="0.3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 x14ac:dyDescent="0.3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 x14ac:dyDescent="0.3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 x14ac:dyDescent="0.3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 x14ac:dyDescent="0.3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 x14ac:dyDescent="0.3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 x14ac:dyDescent="0.3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 x14ac:dyDescent="0.3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 x14ac:dyDescent="0.3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 x14ac:dyDescent="0.3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 x14ac:dyDescent="0.3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 x14ac:dyDescent="0.3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 x14ac:dyDescent="0.3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 x14ac:dyDescent="0.3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 x14ac:dyDescent="0.3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 x14ac:dyDescent="0.3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 x14ac:dyDescent="0.3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 x14ac:dyDescent="0.3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 x14ac:dyDescent="0.3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 x14ac:dyDescent="0.3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 x14ac:dyDescent="0.3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 x14ac:dyDescent="0.3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 x14ac:dyDescent="0.3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 x14ac:dyDescent="0.3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 x14ac:dyDescent="0.3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 x14ac:dyDescent="0.3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 x14ac:dyDescent="0.3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 x14ac:dyDescent="0.3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 x14ac:dyDescent="0.3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 x14ac:dyDescent="0.3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 x14ac:dyDescent="0.3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 x14ac:dyDescent="0.3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 x14ac:dyDescent="0.3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 x14ac:dyDescent="0.3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 x14ac:dyDescent="0.3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 x14ac:dyDescent="0.3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 x14ac:dyDescent="0.3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 x14ac:dyDescent="0.3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 x14ac:dyDescent="0.3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 x14ac:dyDescent="0.3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 x14ac:dyDescent="0.3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 x14ac:dyDescent="0.3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 x14ac:dyDescent="0.3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 x14ac:dyDescent="0.3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 x14ac:dyDescent="0.3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 x14ac:dyDescent="0.3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 x14ac:dyDescent="0.3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 x14ac:dyDescent="0.3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 x14ac:dyDescent="0.3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 x14ac:dyDescent="0.3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 x14ac:dyDescent="0.3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 x14ac:dyDescent="0.3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 x14ac:dyDescent="0.3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 x14ac:dyDescent="0.3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 x14ac:dyDescent="0.3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 x14ac:dyDescent="0.3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 x14ac:dyDescent="0.3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 x14ac:dyDescent="0.3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 x14ac:dyDescent="0.3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 x14ac:dyDescent="0.3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 x14ac:dyDescent="0.3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 x14ac:dyDescent="0.3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 x14ac:dyDescent="0.3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 x14ac:dyDescent="0.3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 x14ac:dyDescent="0.3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 x14ac:dyDescent="0.3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 x14ac:dyDescent="0.3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 x14ac:dyDescent="0.3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 x14ac:dyDescent="0.3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 x14ac:dyDescent="0.3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 x14ac:dyDescent="0.3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 x14ac:dyDescent="0.3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 x14ac:dyDescent="0.3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 x14ac:dyDescent="0.3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 x14ac:dyDescent="0.3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 x14ac:dyDescent="0.3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 x14ac:dyDescent="0.3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 x14ac:dyDescent="0.3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 x14ac:dyDescent="0.3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 x14ac:dyDescent="0.3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 x14ac:dyDescent="0.3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 x14ac:dyDescent="0.3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 x14ac:dyDescent="0.3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 x14ac:dyDescent="0.3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 x14ac:dyDescent="0.3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 x14ac:dyDescent="0.3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 x14ac:dyDescent="0.3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 x14ac:dyDescent="0.3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 x14ac:dyDescent="0.3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 x14ac:dyDescent="0.3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 x14ac:dyDescent="0.3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 x14ac:dyDescent="0.3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 x14ac:dyDescent="0.3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 x14ac:dyDescent="0.3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 x14ac:dyDescent="0.3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 x14ac:dyDescent="0.3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 x14ac:dyDescent="0.3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 x14ac:dyDescent="0.3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 x14ac:dyDescent="0.3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 x14ac:dyDescent="0.3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 x14ac:dyDescent="0.3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 x14ac:dyDescent="0.3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 x14ac:dyDescent="0.3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 x14ac:dyDescent="0.3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 x14ac:dyDescent="0.3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 x14ac:dyDescent="0.3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 x14ac:dyDescent="0.3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 x14ac:dyDescent="0.3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 x14ac:dyDescent="0.3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 x14ac:dyDescent="0.3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 x14ac:dyDescent="0.3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 x14ac:dyDescent="0.3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 x14ac:dyDescent="0.3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 x14ac:dyDescent="0.3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 x14ac:dyDescent="0.3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 x14ac:dyDescent="0.3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 x14ac:dyDescent="0.3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 x14ac:dyDescent="0.3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 x14ac:dyDescent="0.3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 x14ac:dyDescent="0.3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 x14ac:dyDescent="0.3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 x14ac:dyDescent="0.3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 x14ac:dyDescent="0.3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 x14ac:dyDescent="0.3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 x14ac:dyDescent="0.3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 x14ac:dyDescent="0.3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 x14ac:dyDescent="0.3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 x14ac:dyDescent="0.3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 x14ac:dyDescent="0.3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 x14ac:dyDescent="0.3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 x14ac:dyDescent="0.3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 x14ac:dyDescent="0.3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 x14ac:dyDescent="0.3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 x14ac:dyDescent="0.3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 x14ac:dyDescent="0.3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 x14ac:dyDescent="0.3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 x14ac:dyDescent="0.3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 x14ac:dyDescent="0.3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 x14ac:dyDescent="0.3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 x14ac:dyDescent="0.3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 x14ac:dyDescent="0.3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 x14ac:dyDescent="0.3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 x14ac:dyDescent="0.3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 x14ac:dyDescent="0.3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 x14ac:dyDescent="0.3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 x14ac:dyDescent="0.3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 x14ac:dyDescent="0.3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 x14ac:dyDescent="0.3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 x14ac:dyDescent="0.3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 x14ac:dyDescent="0.3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 x14ac:dyDescent="0.3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 x14ac:dyDescent="0.3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 x14ac:dyDescent="0.3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 x14ac:dyDescent="0.3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 x14ac:dyDescent="0.3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 x14ac:dyDescent="0.3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 x14ac:dyDescent="0.3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 x14ac:dyDescent="0.3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 x14ac:dyDescent="0.3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 x14ac:dyDescent="0.3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 x14ac:dyDescent="0.3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 x14ac:dyDescent="0.3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 x14ac:dyDescent="0.3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 x14ac:dyDescent="0.3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 x14ac:dyDescent="0.3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 x14ac:dyDescent="0.3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 x14ac:dyDescent="0.3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 x14ac:dyDescent="0.3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 x14ac:dyDescent="0.3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 x14ac:dyDescent="0.3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 x14ac:dyDescent="0.3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 x14ac:dyDescent="0.3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 x14ac:dyDescent="0.3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 x14ac:dyDescent="0.3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 x14ac:dyDescent="0.3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 x14ac:dyDescent="0.3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 x14ac:dyDescent="0.3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 x14ac:dyDescent="0.3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 x14ac:dyDescent="0.3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 x14ac:dyDescent="0.3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 x14ac:dyDescent="0.3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 x14ac:dyDescent="0.3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 x14ac:dyDescent="0.3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 x14ac:dyDescent="0.3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 x14ac:dyDescent="0.3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 x14ac:dyDescent="0.3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 x14ac:dyDescent="0.3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 x14ac:dyDescent="0.3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 x14ac:dyDescent="0.3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 x14ac:dyDescent="0.3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 x14ac:dyDescent="0.3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 x14ac:dyDescent="0.3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 x14ac:dyDescent="0.3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 x14ac:dyDescent="0.3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 x14ac:dyDescent="0.3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 x14ac:dyDescent="0.3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 x14ac:dyDescent="0.3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 x14ac:dyDescent="0.3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 x14ac:dyDescent="0.3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 x14ac:dyDescent="0.3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 x14ac:dyDescent="0.3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 x14ac:dyDescent="0.3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 x14ac:dyDescent="0.3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 x14ac:dyDescent="0.3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 x14ac:dyDescent="0.3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 x14ac:dyDescent="0.3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 x14ac:dyDescent="0.3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 x14ac:dyDescent="0.3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 x14ac:dyDescent="0.3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 x14ac:dyDescent="0.3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 x14ac:dyDescent="0.3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 x14ac:dyDescent="0.3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 x14ac:dyDescent="0.3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 x14ac:dyDescent="0.3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 x14ac:dyDescent="0.3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 x14ac:dyDescent="0.3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 x14ac:dyDescent="0.3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 x14ac:dyDescent="0.3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 x14ac:dyDescent="0.3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 x14ac:dyDescent="0.3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 x14ac:dyDescent="0.3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 x14ac:dyDescent="0.3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 x14ac:dyDescent="0.3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 x14ac:dyDescent="0.3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 x14ac:dyDescent="0.3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 x14ac:dyDescent="0.3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 x14ac:dyDescent="0.3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 x14ac:dyDescent="0.3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 x14ac:dyDescent="0.3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 x14ac:dyDescent="0.3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 x14ac:dyDescent="0.3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 x14ac:dyDescent="0.3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 x14ac:dyDescent="0.3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 x14ac:dyDescent="0.3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 x14ac:dyDescent="0.3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 x14ac:dyDescent="0.3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 x14ac:dyDescent="0.3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 x14ac:dyDescent="0.3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 x14ac:dyDescent="0.3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 x14ac:dyDescent="0.3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 x14ac:dyDescent="0.3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 x14ac:dyDescent="0.3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 x14ac:dyDescent="0.3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 x14ac:dyDescent="0.3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 x14ac:dyDescent="0.3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 x14ac:dyDescent="0.3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 x14ac:dyDescent="0.3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 x14ac:dyDescent="0.3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 x14ac:dyDescent="0.3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 x14ac:dyDescent="0.3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 x14ac:dyDescent="0.3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 x14ac:dyDescent="0.3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 x14ac:dyDescent="0.3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 x14ac:dyDescent="0.3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 x14ac:dyDescent="0.3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BulkDensity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Rye_corn</vt:lpstr>
      <vt:lpstr>Ryegrass</vt:lpstr>
      <vt:lpstr>SampleDepth</vt:lpstr>
      <vt:lpstr>Seed</vt:lpstr>
      <vt:lpstr>Silver_beet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2023-05-25T02:39:24Z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